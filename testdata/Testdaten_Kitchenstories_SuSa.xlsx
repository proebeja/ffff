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enbücher\"/>
    </mc:Choice>
  </mc:AlternateContent>
  <xr:revisionPtr revIDLastSave="0" documentId="8_{6E602AC8-69E3-48B8-AE45-73B7639F765B}" xr6:coauthVersionLast="47" xr6:coauthVersionMax="47" xr10:uidLastSave="{00000000-0000-0000-0000-000000000000}"/>
  <bookViews>
    <workbookView xWindow="-120" yWindow="-120" windowWidth="29040" windowHeight="15720" xr2:uid="{C7F3014B-D923-45D1-A878-426FFB723673}"/>
  </bookViews>
  <sheets>
    <sheet name="Trial Balance (Susa)" sheetId="2" r:id="rId1"/>
  </sheets>
  <externalReferences>
    <externalReference r:id="rId2"/>
  </externalReferences>
  <definedNames>
    <definedName name="\" hidden="1">{"detail",#N/A,FALSE,"mfg";"summary",#N/A,FALSE,"mfg"}</definedName>
    <definedName name="__________________________________________________________guv1" hidden="1">{"K GuV o. Kommentar",#N/A,FALSE,"Kaufhof"}</definedName>
    <definedName name="__________________________________________________________guv3" hidden="1">{"K GuV o. Kommentar",#N/A,FALSE,"Kaufhof"}</definedName>
    <definedName name="_________________________________________________________guv1" hidden="1">{"K GuV o. Kommentar",#N/A,FALSE,"Kaufhof"}</definedName>
    <definedName name="_________________________________________________________guv3" hidden="1">{"K GuV o. Kommentar",#N/A,FALSE,"Kaufhof"}</definedName>
    <definedName name="________________________________________________________guv1" hidden="1">{"K GuV o. Kommentar",#N/A,FALSE,"Kaufhof"}</definedName>
    <definedName name="________________________________________________________guv3" hidden="1">{"K GuV o. Kommentar",#N/A,FALSE,"Kaufhof"}</definedName>
    <definedName name="_______________________________________________________guv1" hidden="1">{"K GuV o. Kommentar",#N/A,FALSE,"Kaufhof"}</definedName>
    <definedName name="_______________________________________________________guv3" hidden="1">{"K GuV o. Kommentar",#N/A,FALSE,"Kaufhof"}</definedName>
    <definedName name="______________________________________________________guv1" hidden="1">{"K GuV o. Kommentar",#N/A,FALSE,"Kaufhof"}</definedName>
    <definedName name="______________________________________________________guv3" hidden="1">{"K GuV o. Kommentar",#N/A,FALSE,"Kaufhof"}</definedName>
    <definedName name="_____________________________________________________guv1" hidden="1">{"K GuV o. Kommentar",#N/A,FALSE,"Kaufhof"}</definedName>
    <definedName name="_____________________________________________________guv3" hidden="1">{"K GuV o. Kommentar",#N/A,FALSE,"Kaufhof"}</definedName>
    <definedName name="____________________________________________________guv1" hidden="1">{"K GuV o. Kommentar",#N/A,FALSE,"Kaufhof"}</definedName>
    <definedName name="____________________________________________________guv3" hidden="1">{"K GuV o. Kommentar",#N/A,FALSE,"Kaufhof"}</definedName>
    <definedName name="___________________________________________________guv1" hidden="1">{"K GuV o. Kommentar",#N/A,FALSE,"Kaufhof"}</definedName>
    <definedName name="___________________________________________________guv3" hidden="1">{"K GuV o. Kommentar",#N/A,FALSE,"Kaufhof"}</definedName>
    <definedName name="__________________________________________________guv1" hidden="1">{"K GuV o. Kommentar",#N/A,FALSE,"Kaufhof"}</definedName>
    <definedName name="__________________________________________________guv3" hidden="1">{"K GuV o. Kommentar",#N/A,FALSE,"Kaufhof"}</definedName>
    <definedName name="_________________________________________________guv1" hidden="1">{"K GuV o. Kommentar",#N/A,FALSE,"Kaufhof"}</definedName>
    <definedName name="_________________________________________________guv3" hidden="1">{"K GuV o. Kommentar",#N/A,FALSE,"Kaufhof"}</definedName>
    <definedName name="________________________________________________guv1" hidden="1">{"K GuV o. Kommentar",#N/A,FALSE,"Kaufhof"}</definedName>
    <definedName name="________________________________________________guv3" hidden="1">{"K GuV o. Kommentar",#N/A,FALSE,"Kaufhof"}</definedName>
    <definedName name="_______________________________________________guv1" hidden="1">{"K GuV o. Kommentar",#N/A,FALSE,"Kaufhof"}</definedName>
    <definedName name="_______________________________________________guv3" hidden="1">{"K GuV o. Kommentar",#N/A,FALSE,"Kaufhof"}</definedName>
    <definedName name="______________________________________________guv1" hidden="1">{"K GuV o. Kommentar",#N/A,FALSE,"Kaufhof"}</definedName>
    <definedName name="______________________________________________guv3" hidden="1">{"K GuV o. Kommentar",#N/A,FALSE,"Kaufhof"}</definedName>
    <definedName name="_____________________________________________guv1" hidden="1">{"K GuV o. Kommentar",#N/A,FALSE,"Kaufhof"}</definedName>
    <definedName name="_____________________________________________guv3" hidden="1">{"K GuV o. Kommentar",#N/A,FALSE,"Kaufhof"}</definedName>
    <definedName name="____________________________________________guv1" hidden="1">{"K GuV o. Kommentar",#N/A,FALSE,"Kaufhof"}</definedName>
    <definedName name="____________________________________________guv3" hidden="1">{"K GuV o. Kommentar",#N/A,FALSE,"Kaufhof"}</definedName>
    <definedName name="___________________________________________guv1" hidden="1">{"K GuV o. Kommentar",#N/A,FALSE,"Kaufhof"}</definedName>
    <definedName name="___________________________________________guv3" hidden="1">{"K GuV o. Kommentar",#N/A,FALSE,"Kaufhof"}</definedName>
    <definedName name="__________________________________________guv1" hidden="1">{"K GuV o. Kommentar",#N/A,FALSE,"Kaufhof"}</definedName>
    <definedName name="__________________________________________guv3" hidden="1">{"K GuV o. Kommentar",#N/A,FALSE,"Kaufhof"}</definedName>
    <definedName name="_________________________________________guv1" hidden="1">{"K GuV o. Kommentar",#N/A,FALSE,"Kaufhof"}</definedName>
    <definedName name="_________________________________________guv3" hidden="1">{"K GuV o. Kommentar",#N/A,FALSE,"Kaufhof"}</definedName>
    <definedName name="________________________________________guv1" hidden="1">{"K GuV o. Kommentar",#N/A,FALSE,"Kaufhof"}</definedName>
    <definedName name="________________________________________guv3" hidden="1">{"K GuV o. Kommentar",#N/A,FALSE,"Kaufhof"}</definedName>
    <definedName name="_______________________________________guv1" hidden="1">{"K GuV o. Kommentar",#N/A,FALSE,"Kaufhof"}</definedName>
    <definedName name="_______________________________________guv3" hidden="1">{"K GuV o. Kommentar",#N/A,FALSE,"Kaufhof"}</definedName>
    <definedName name="______________________________________guv1" hidden="1">{"K GuV o. Kommentar",#N/A,FALSE,"Kaufhof"}</definedName>
    <definedName name="______________________________________guv3" hidden="1">{"K GuV o. Kommentar",#N/A,FALSE,"Kaufhof"}</definedName>
    <definedName name="_____________________________________guv1" hidden="1">{"K GuV o. Kommentar",#N/A,FALSE,"Kaufhof"}</definedName>
    <definedName name="_____________________________________guv3" hidden="1">{"K GuV o. Kommentar",#N/A,FALSE,"Kaufhof"}</definedName>
    <definedName name="____________________________________guv1" hidden="1">{"K GuV o. Kommentar",#N/A,FALSE,"Kaufhof"}</definedName>
    <definedName name="____________________________________guv3" hidden="1">{"K GuV o. Kommentar",#N/A,FALSE,"Kaufhof"}</definedName>
    <definedName name="___________________________________guv1" hidden="1">{"K GuV o. Kommentar",#N/A,FALSE,"Kaufhof"}</definedName>
    <definedName name="___________________________________guv3" hidden="1">{"K GuV o. Kommentar",#N/A,FALSE,"Kaufhof"}</definedName>
    <definedName name="__________________________________guv1" hidden="1">{"K GuV o. Kommentar",#N/A,FALSE,"Kaufhof"}</definedName>
    <definedName name="__________________________________guv3" hidden="1">{"K GuV o. Kommentar",#N/A,FALSE,"Kaufhof"}</definedName>
    <definedName name="_________________________________guv1" hidden="1">{"K GuV o. Kommentar",#N/A,FALSE,"Kaufhof"}</definedName>
    <definedName name="_________________________________guv3" hidden="1">{"K GuV o. Kommentar",#N/A,FALSE,"Kaufhof"}</definedName>
    <definedName name="________________________________guv1" hidden="1">{"K GuV o. Kommentar",#N/A,FALSE,"Kaufhof"}</definedName>
    <definedName name="________________________________guv3" hidden="1">{"K GuV o. Kommentar",#N/A,FALSE,"Kaufhof"}</definedName>
    <definedName name="_______________________________guv1" hidden="1">{"K GuV o. Kommentar",#N/A,FALSE,"Kaufhof"}</definedName>
    <definedName name="_______________________________guv3" hidden="1">{"K GuV o. Kommentar",#N/A,FALSE,"Kaufhof"}</definedName>
    <definedName name="______________________________guv1" hidden="1">{"K GuV o. Kommentar",#N/A,FALSE,"Kaufhof"}</definedName>
    <definedName name="______________________________guv3" hidden="1">{"K GuV o. Kommentar",#N/A,FALSE,"Kaufhof"}</definedName>
    <definedName name="_____________________________guv1" hidden="1">{"K GuV o. Kommentar",#N/A,FALSE,"Kaufhof"}</definedName>
    <definedName name="_____________________________guv3" hidden="1">{"K GuV o. Kommentar",#N/A,FALSE,"Kaufhof"}</definedName>
    <definedName name="____________________________guv1" hidden="1">{"K GuV o. Kommentar",#N/A,FALSE,"Kaufhof"}</definedName>
    <definedName name="____________________________guv3" hidden="1">{"K GuV o. Kommentar",#N/A,FALSE,"Kaufhof"}</definedName>
    <definedName name="____________________________ww2" hidden="1">{#N/A,#N/A,FALSE,"Admin";#N/A,#N/A,FALSE,"Other"}</definedName>
    <definedName name="___________________________guv1" hidden="1">{"K GuV o. Kommentar",#N/A,FALSE,"Kaufhof"}</definedName>
    <definedName name="___________________________guv3" hidden="1">{"K GuV o. Kommentar",#N/A,FALSE,"Kaufhof"}</definedName>
    <definedName name="__________________________guv1" hidden="1">{"K GuV o. Kommentar",#N/A,FALSE,"Kaufhof"}</definedName>
    <definedName name="__________________________guv3" hidden="1">{"K GuV o. Kommentar",#N/A,FALSE,"Kaufhof"}</definedName>
    <definedName name="_________________________guv1" hidden="1">{"K GuV o. Kommentar",#N/A,FALSE,"Kaufhof"}</definedName>
    <definedName name="_________________________guv3" hidden="1">{"K GuV o. Kommentar",#N/A,FALSE,"Kaufhof"}</definedName>
    <definedName name="________________________guv1" hidden="1">{"K GuV o. Kommentar",#N/A,FALSE,"Kaufhof"}</definedName>
    <definedName name="________________________guv3" hidden="1">{"K GuV o. Kommentar",#N/A,FALSE,"Kaufhof"}</definedName>
    <definedName name="_______________________guv1" hidden="1">{"K GuV o. Kommentar",#N/A,FALSE,"Kaufhof"}</definedName>
    <definedName name="_______________________guv3" hidden="1">{"K GuV o. Kommentar",#N/A,FALSE,"Kaufhof"}</definedName>
    <definedName name="______________________guv1" hidden="1">{"K GuV o. Kommentar",#N/A,FALSE,"Kaufhof"}</definedName>
    <definedName name="______________________guv3" hidden="1">{"K GuV o. Kommentar",#N/A,FALSE,"Kaufhof"}</definedName>
    <definedName name="_____________________guv1" hidden="1">{"K GuV o. Kommentar",#N/A,FALSE,"Kaufhof"}</definedName>
    <definedName name="_____________________guv3" hidden="1">{"K GuV o. Kommentar",#N/A,FALSE,"Kaufhof"}</definedName>
    <definedName name="____________________guv1" hidden="1">{"K GuV o. Kommentar",#N/A,FALSE,"Kaufhof"}</definedName>
    <definedName name="____________________guv3" hidden="1">{"K GuV o. Kommentar",#N/A,FALSE,"Kaufhof"}</definedName>
    <definedName name="___________________guv1" hidden="1">{"K GuV o. Kommentar",#N/A,FALSE,"Kaufhof"}</definedName>
    <definedName name="___________________guv3" hidden="1">{"K GuV o. Kommentar",#N/A,FALSE,"Kaufhof"}</definedName>
    <definedName name="__________________guv1" hidden="1">{"K GuV o. Kommentar",#N/A,FALSE,"Kaufhof"}</definedName>
    <definedName name="__________________guv3" hidden="1">{"K GuV o. Kommentar",#N/A,FALSE,"Kaufhof"}</definedName>
    <definedName name="___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___guv1" hidden="1">{"K GuV o. Kommentar",#N/A,FALSE,"Kaufhof"}</definedName>
    <definedName name="_________________guv3" hidden="1">{"K GuV o. Kommentar",#N/A,FALSE,"Kaufhof"}</definedName>
    <definedName name="________________guv1" hidden="1">{"K GuV o. Kommentar",#N/A,FALSE,"Kaufhof"}</definedName>
    <definedName name="________________guv3" hidden="1">{"K GuV o. Kommentar",#N/A,FALSE,"Kaufhof"}</definedName>
    <definedName name="_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_SDW1" hidden="1">#REF!</definedName>
    <definedName name="_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_guv1" hidden="1">{"K GuV o. Kommentar",#N/A,FALSE,"Kaufhof"}</definedName>
    <definedName name="_______________guv3" hidden="1">{"K GuV o. Kommentar",#N/A,FALSE,"Kaufhof"}</definedName>
    <definedName name="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SDW1" hidden="1">#REF!</definedName>
    <definedName name="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a14" hidden="1">{"TAG1AGMS",#N/A,FALSE,"TAG 1A"}</definedName>
    <definedName name="______________a15" hidden="1">{"weichwaren",#N/A,FALSE,"Liste 1";"hartwaren",#N/A,FALSE,"Liste 1";"food",#N/A,FALSE,"Liste 1";"fleisch",#N/A,FALSE,"Liste 1"}</definedName>
    <definedName name="______________a16" hidden="1">{"weichwaren",#N/A,FALSE,"Liste 1";"hartwaren",#N/A,FALSE,"Liste 1";"food",#N/A,FALSE,"Liste 1";"fleisch",#N/A,FALSE,"Liste 1"}</definedName>
    <definedName name="______________a17" hidden="1">{"TAG1AGMS",#N/A,FALSE,"TAG 1A"}</definedName>
    <definedName name="______________a18" hidden="1">{"Tages_D",#N/A,FALSE,"Tagesbericht";"Tages_PL",#N/A,FALSE,"Tagesbericht"}</definedName>
    <definedName name="______________a19" hidden="1">{"fleisch",#N/A,FALSE,"WG HK";"food",#N/A,FALSE,"WG HK";"hartwaren",#N/A,FALSE,"WG HK";"weichwaren",#N/A,FALSE,"WG HK"}</definedName>
    <definedName name="______________a33" hidden="1">{"fleisch",#N/A,FALSE,"WG HK";"food",#N/A,FALSE,"WG HK";"hartwaren",#N/A,FALSE,"WG HK";"weichwaren",#N/A,FALSE,"WG HK"}</definedName>
    <definedName name="______________a55" hidden="1">{"Tages_D",#N/A,FALSE,"Tagesbericht";"Tages_PL",#N/A,FALSE,"Tagesbericht"}</definedName>
    <definedName name="______________a66" hidden="1">{"TAG1AGMS",#N/A,FALSE,"TAG 1A"}</definedName>
    <definedName name="______________aa22" hidden="1">{"Tages_D",#N/A,FALSE,"Tagesbericht";"Tages_PL",#N/A,FALSE,"Tagesbericht"}</definedName>
    <definedName name="______________b18" hidden="1">{"Tages_D",#N/A,FALSE,"Tagesbericht";"Tages_PL",#N/A,FALSE,"Tagesbericht"}</definedName>
    <definedName name="______________guv1" hidden="1">{"K GuV o. Kommentar",#N/A,FALSE,"Kaufhof"}</definedName>
    <definedName name="______________guv3" hidden="1">{"K GuV o. Kommentar",#N/A,FALSE,"Kaufhof"}</definedName>
    <definedName name="______________LG2" hidden="1">{#N/A,#N/A,TRUE,"매출진척-1";#N/A,#N/A,TRUE,"매출진척-2";#N/A,#N/A,TRUE,"제품실적";#N/A,#N/A,TRUE,"RAC";#N/A,#N/A,TRUE,"PAC ";#N/A,#N/A,TRUE,"재고현황";#N/A,#N/A,TRUE,"공지사항"}</definedName>
    <definedName name="______________na2" hidden="1">{"'SIVA Pricing Model'!$A$1:$F$39"}</definedName>
    <definedName name="______________na3" hidden="1">{"'SIVA Pricing Model'!$A$1:$F$39"}</definedName>
    <definedName name="______________P2" hidden="1">{#N/A,#N/A,FALSE,"단축1";#N/A,#N/A,FALSE,"단축2";#N/A,#N/A,FALSE,"단축3";#N/A,#N/A,FALSE,"장축";#N/A,#N/A,FALSE,"4WD"}</definedName>
    <definedName name="______________s" hidden="1">{"SCM_Detail",#N/A,FALSE,"SCM";"SCM_Top",#N/A,FALSE,"SCM"}</definedName>
    <definedName name="______________T2" hidden="1">{#N/A,#N/A,FALSE,"단축1";#N/A,#N/A,FALSE,"단축2";#N/A,#N/A,FALSE,"단축3";#N/A,#N/A,FALSE,"장축";#N/A,#N/A,FALSE,"4WD"}</definedName>
    <definedName name="______________T3" hidden="1">{#N/A,#N/A,FALSE,"단축1";#N/A,#N/A,FALSE,"단축2";#N/A,#N/A,FALSE,"단축3";#N/A,#N/A,FALSE,"장축";#N/A,#N/A,FALSE,"4WD"}</definedName>
    <definedName name="______________T5" hidden="1">{#N/A,#N/A,FALSE,"단축1";#N/A,#N/A,FALSE,"단축2";#N/A,#N/A,FALSE,"단축3";#N/A,#N/A,FALSE,"장축";#N/A,#N/A,FALSE,"4WD"}</definedName>
    <definedName name="______________Tes6" hidden="1">{"'SIVA Pricing Model'!$A$1:$F$39"}</definedName>
    <definedName name="______________u18" hidden="1">{"Tages_D",#N/A,FALSE,"Tagesbericht";"Tages_PL",#N/A,FALSE,"Tagesbericht"}</definedName>
    <definedName name="______________u20" hidden="1">{"fleisch",#N/A,FALSE,"WG HK";"food",#N/A,FALSE,"WG HK";"hartwaren",#N/A,FALSE,"WG HK";"weichwaren",#N/A,FALSE,"WG HK"}</definedName>
    <definedName name="______________ww2" hidden="1">{#N/A,#N/A,FALSE,"Admin";#N/A,#N/A,FALSE,"Other"}</definedName>
    <definedName name="______________XG2" hidden="1">{#N/A,#N/A,FALSE,"단축1";#N/A,#N/A,FALSE,"단축2";#N/A,#N/A,FALSE,"단축3";#N/A,#N/A,FALSE,"장축";#N/A,#N/A,FALSE,"4WD"}</definedName>
    <definedName name="_____________A11" hidden="1">{#N/A,#N/A,FALSE,"Umsatz 99";#N/A,#N/A,FALSE,"ER 99 "}</definedName>
    <definedName name="_____________a14" hidden="1">{"TAG1AGMS",#N/A,FALSE,"TAG 1A"}</definedName>
    <definedName name="_____________a15" hidden="1">{"weichwaren",#N/A,FALSE,"Liste 1";"hartwaren",#N/A,FALSE,"Liste 1";"food",#N/A,FALSE,"Liste 1";"fleisch",#N/A,FALSE,"Liste 1"}</definedName>
    <definedName name="_____________a16" hidden="1">{"weichwaren",#N/A,FALSE,"Liste 1";"hartwaren",#N/A,FALSE,"Liste 1";"food",#N/A,FALSE,"Liste 1";"fleisch",#N/A,FALSE,"Liste 1"}</definedName>
    <definedName name="_____________a17" hidden="1">{"TAG1AGMS",#N/A,FALSE,"TAG 1A"}</definedName>
    <definedName name="_____________a18" hidden="1">{"Tages_D",#N/A,FALSE,"Tagesbericht";"Tages_PL",#N/A,FALSE,"Tagesbericht"}</definedName>
    <definedName name="_____________a19" hidden="1">{"fleisch",#N/A,FALSE,"WG HK";"food",#N/A,FALSE,"WG HK";"hartwaren",#N/A,FALSE,"WG HK";"weichwaren",#N/A,FALSE,"WG HK"}</definedName>
    <definedName name="_____________a33" hidden="1">{"fleisch",#N/A,FALSE,"WG HK";"food",#N/A,FALSE,"WG HK";"hartwaren",#N/A,FALSE,"WG HK";"weichwaren",#N/A,FALSE,"WG HK"}</definedName>
    <definedName name="_____________a55" hidden="1">{"Tages_D",#N/A,FALSE,"Tagesbericht";"Tages_PL",#N/A,FALSE,"Tagesbericht"}</definedName>
    <definedName name="_____________a66" hidden="1">{"TAG1AGMS",#N/A,FALSE,"TAG 1A"}</definedName>
    <definedName name="_____________aa22" hidden="1">{"Tages_D",#N/A,FALSE,"Tagesbericht";"Tages_PL",#N/A,FALSE,"Tagesbericht"}</definedName>
    <definedName name="_____________b18" hidden="1">{"Tages_D",#N/A,FALSE,"Tagesbericht";"Tages_PL",#N/A,FALSE,"Tagesbericht"}</definedName>
    <definedName name="_____________b19" hidden="1">{"Tages_D",#N/A,FALSE,"Tagesbericht";"Tages_PL",#N/A,FALSE,"Tagesbericht"}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guv1" hidden="1">{"K GuV o. Kommentar",#N/A,FALSE,"Kaufhof"}</definedName>
    <definedName name="_____________guv3" hidden="1">{"K GuV o. Kommentar",#N/A,FALSE,"Kaufhof"}</definedName>
    <definedName name="_____________LG2" hidden="1">{#N/A,#N/A,TRUE,"매출진척-1";#N/A,#N/A,TRUE,"매출진척-2";#N/A,#N/A,TRUE,"제품실적";#N/A,#N/A,TRUE,"RAC";#N/A,#N/A,TRUE,"PAC ";#N/A,#N/A,TRUE,"재고현황";#N/A,#N/A,TRUE,"공지사항"}</definedName>
    <definedName name="_____________P2" hidden="1">{#N/A,#N/A,FALSE,"단축1";#N/A,#N/A,FALSE,"단축2";#N/A,#N/A,FALSE,"단축3";#N/A,#N/A,FALSE,"장축";#N/A,#N/A,FALSE,"4WD"}</definedName>
    <definedName name="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SDW1" hidden="1">#REF!</definedName>
    <definedName name="_____________T2" hidden="1">{#N/A,#N/A,FALSE,"단축1";#N/A,#N/A,FALSE,"단축2";#N/A,#N/A,FALSE,"단축3";#N/A,#N/A,FALSE,"장축";#N/A,#N/A,FALSE,"4WD"}</definedName>
    <definedName name="_____________T3" hidden="1">{#N/A,#N/A,FALSE,"단축1";#N/A,#N/A,FALSE,"단축2";#N/A,#N/A,FALSE,"단축3";#N/A,#N/A,FALSE,"장축";#N/A,#N/A,FALSE,"4WD"}</definedName>
    <definedName name="_____________T5" hidden="1">{#N/A,#N/A,FALSE,"단축1";#N/A,#N/A,FALSE,"단축2";#N/A,#N/A,FALSE,"단축3";#N/A,#N/A,FALSE,"장축";#N/A,#N/A,FALSE,"4WD"}</definedName>
    <definedName name="_____________u18" hidden="1">{"Tages_D",#N/A,FALSE,"Tagesbericht";"Tages_PL",#N/A,FALSE,"Tagesbericht"}</definedName>
    <definedName name="_____________u20" hidden="1">{"fleisch",#N/A,FALSE,"WG HK";"food",#N/A,FALSE,"WG HK";"hartwaren",#N/A,FALSE,"WG HK";"weichwaren",#N/A,FALSE,"WG HK"}</definedName>
    <definedName name="_____________ww2" hidden="1">{#N/A,#N/A,FALSE,"Admin";#N/A,#N/A,FALSE,"Other"}</definedName>
    <definedName name="_____________XG2" hidden="1">{#N/A,#N/A,FALSE,"단축1";#N/A,#N/A,FALSE,"단축2";#N/A,#N/A,FALSE,"단축3";#N/A,#N/A,FALSE,"장축";#N/A,#N/A,FALSE,"4WD"}</definedName>
    <definedName name="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A11" hidden="1">{#N/A,#N/A,FALSE,"Umsatz 99";#N/A,#N/A,FALSE,"ER 99 "}</definedName>
    <definedName name="____________a14" hidden="1">{"TAG1AGMS",#N/A,FALSE,"TAG 1A"}</definedName>
    <definedName name="____________a15" hidden="1">{"weichwaren",#N/A,FALSE,"Liste 1";"hartwaren",#N/A,FALSE,"Liste 1";"food",#N/A,FALSE,"Liste 1";"fleisch",#N/A,FALSE,"Liste 1"}</definedName>
    <definedName name="____________a16" hidden="1">{"weichwaren",#N/A,FALSE,"Liste 1";"hartwaren",#N/A,FALSE,"Liste 1";"food",#N/A,FALSE,"Liste 1";"fleisch",#N/A,FALSE,"Liste 1"}</definedName>
    <definedName name="____________a17" hidden="1">{"TAG1AGMS",#N/A,FALSE,"TAG 1A"}</definedName>
    <definedName name="____________a18" hidden="1">{"Tages_D",#N/A,FALSE,"Tagesbericht";"Tages_PL",#N/A,FALSE,"Tagesbericht"}</definedName>
    <definedName name="____________a19" hidden="1">{"fleisch",#N/A,FALSE,"WG HK";"food",#N/A,FALSE,"WG HK";"hartwaren",#N/A,FALSE,"WG HK";"weichwaren",#N/A,FALSE,"WG HK"}</definedName>
    <definedName name="____________a33" hidden="1">{"fleisch",#N/A,FALSE,"WG HK";"food",#N/A,FALSE,"WG HK";"hartwaren",#N/A,FALSE,"WG HK";"weichwaren",#N/A,FALSE,"WG HK"}</definedName>
    <definedName name="____________a55" hidden="1">{"Tages_D",#N/A,FALSE,"Tagesbericht";"Tages_PL",#N/A,FALSE,"Tagesbericht"}</definedName>
    <definedName name="____________a66" hidden="1">{"TAG1AGMS",#N/A,FALSE,"TAG 1A"}</definedName>
    <definedName name="____________aa22" hidden="1">{"Tages_D",#N/A,FALSE,"Tagesbericht";"Tages_PL",#N/A,FALSE,"Tagesbericht"}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18" hidden="1">{"Tages_D",#N/A,FALSE,"Tagesbericht";"Tages_PL",#N/A,FALSE,"Tagesbericht"}</definedName>
    <definedName name="____________b19" hidden="1">{"Tages_D",#N/A,FALSE,"Tagesbericht";"Tages_PL",#N/A,FALSE,"Tagesbericht"}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guv1" hidden="1">{"K GuV o. Kommentar",#N/A,FALSE,"Kaufhof"}</definedName>
    <definedName name="____________guv3" hidden="1">{"K GuV o. Kommentar",#N/A,FALSE,"Kaufhof"}</definedName>
    <definedName name="____________LG2" hidden="1">{#N/A,#N/A,TRUE,"매출진척-1";#N/A,#N/A,TRUE,"매출진척-2";#N/A,#N/A,TRUE,"제품실적";#N/A,#N/A,TRUE,"RAC";#N/A,#N/A,TRUE,"PAC ";#N/A,#N/A,TRUE,"재고현황";#N/A,#N/A,TRUE,"공지사항"}</definedName>
    <definedName name="__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__OSX2" hidden="1">{"Area1",#N/A,FALSE,"OREWACC";"Area2",#N/A,FALSE,"OREWACC"}</definedName>
    <definedName name="____________P2" hidden="1">{#N/A,#N/A,FALSE,"단축1";#N/A,#N/A,FALSE,"단축2";#N/A,#N/A,FALSE,"단축3";#N/A,#N/A,FALSE,"장축";#N/A,#N/A,FALSE,"4WD"}</definedName>
    <definedName name="____________s" hidden="1">{"SCM_Detail",#N/A,FALSE,"SCM";"SCM_Top",#N/A,FALSE,"SCM"}</definedName>
    <definedName name="____________SDW1" hidden="1">#REF!</definedName>
    <definedName name="____________T2" hidden="1">{#N/A,#N/A,FALSE,"단축1";#N/A,#N/A,FALSE,"단축2";#N/A,#N/A,FALSE,"단축3";#N/A,#N/A,FALSE,"장축";#N/A,#N/A,FALSE,"4WD"}</definedName>
    <definedName name="____________T3" hidden="1">{#N/A,#N/A,FALSE,"단축1";#N/A,#N/A,FALSE,"단축2";#N/A,#N/A,FALSE,"단축3";#N/A,#N/A,FALSE,"장축";#N/A,#N/A,FALSE,"4WD"}</definedName>
    <definedName name="____________T5" hidden="1">{#N/A,#N/A,FALSE,"단축1";#N/A,#N/A,FALSE,"단축2";#N/A,#N/A,FALSE,"단축3";#N/A,#N/A,FALSE,"장축";#N/A,#N/A,FALSE,"4WD"}</definedName>
    <definedName name="____________u18" hidden="1">{"Tages_D",#N/A,FALSE,"Tagesbericht";"Tages_PL",#N/A,FALSE,"Tagesbericht"}</definedName>
    <definedName name="____________u20" hidden="1">{"fleisch",#N/A,FALSE,"WG HK";"food",#N/A,FALSE,"WG HK";"hartwaren",#N/A,FALSE,"WG HK";"weichwaren",#N/A,FALSE,"WG HK"}</definedName>
    <definedName name="____________ww2" hidden="1">{#N/A,#N/A,FALSE,"Admin";#N/A,#N/A,FALSE,"Other"}</definedName>
    <definedName name="____________XG2" hidden="1">{#N/A,#N/A,FALSE,"단축1";#N/A,#N/A,FALSE,"단축2";#N/A,#N/A,FALSE,"단축3";#N/A,#N/A,FALSE,"장축";#N/A,#N/A,FALSE,"4WD"}</definedName>
    <definedName name="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4" hidden="1">{"TAG1AGMS",#N/A,FALSE,"TAG 1A"}</definedName>
    <definedName name="___________a15" hidden="1">{"weichwaren",#N/A,FALSE,"Liste 1";"hartwaren",#N/A,FALSE,"Liste 1";"food",#N/A,FALSE,"Liste 1";"fleisch",#N/A,FALSE,"Liste 1"}</definedName>
    <definedName name="___________a16" hidden="1">{"weichwaren",#N/A,FALSE,"Liste 1";"hartwaren",#N/A,FALSE,"Liste 1";"food",#N/A,FALSE,"Liste 1";"fleisch",#N/A,FALSE,"Liste 1"}</definedName>
    <definedName name="___________a17" hidden="1">{"TAG1AGMS",#N/A,FALSE,"TAG 1A"}</definedName>
    <definedName name="___________a18" hidden="1">{"Tages_D",#N/A,FALSE,"Tagesbericht";"Tages_PL",#N/A,FALSE,"Tagesbericht"}</definedName>
    <definedName name="___________a19" hidden="1">{"fleisch",#N/A,FALSE,"WG HK";"food",#N/A,FALSE,"WG HK";"hartwaren",#N/A,FALSE,"WG HK";"weichwaren",#N/A,FALSE,"WG HK"}</definedName>
    <definedName name="___________a33" hidden="1">{"fleisch",#N/A,FALSE,"WG HK";"food",#N/A,FALSE,"WG HK";"hartwaren",#N/A,FALSE,"WG HK";"weichwaren",#N/A,FALSE,"WG HK"}</definedName>
    <definedName name="___________a55" hidden="1">{"Tages_D",#N/A,FALSE,"Tagesbericht";"Tages_PL",#N/A,FALSE,"Tagesbericht"}</definedName>
    <definedName name="___________a66" hidden="1">{"TAG1AGMS",#N/A,FALSE,"TAG 1A"}</definedName>
    <definedName name="___________aa22" hidden="1">{"Tages_D",#N/A,FALSE,"Tagesbericht";"Tages_PL",#N/A,FALSE,"Tagesbericht"}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b18" hidden="1">{"Tages_D",#N/A,FALSE,"Tagesbericht";"Tages_PL",#N/A,FALSE,"Tagesbericht"}</definedName>
    <definedName name="___________b19" hidden="1">{"Tages_D",#N/A,FALSE,"Tagesbericht";"Tages_PL",#N/A,FALSE,"Tagesbericht"}</definedName>
    <definedName name="___________guv1" hidden="1">{"K GuV o. Kommentar",#N/A,FALSE,"Kaufhof"}</definedName>
    <definedName name="___________guv3" hidden="1">{"K GuV o. Kommentar",#N/A,FALSE,"Kaufhof"}</definedName>
    <definedName name="___________LG2" hidden="1">{#N/A,#N/A,TRUE,"매출진척-1";#N/A,#N/A,TRUE,"매출진척-2";#N/A,#N/A,TRUE,"제품실적";#N/A,#N/A,TRUE,"RAC";#N/A,#N/A,TRUE,"PAC ";#N/A,#N/A,TRUE,"재고현황";#N/A,#N/A,TRUE,"공지사항"}</definedName>
    <definedName name="_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_OSX2" hidden="1">{"Area1",#N/A,FALSE,"OREWACC";"Area2",#N/A,FALSE,"OREWACC"}</definedName>
    <definedName name="___________P2" hidden="1">{#N/A,#N/A,FALSE,"단축1";#N/A,#N/A,FALSE,"단축2";#N/A,#N/A,FALSE,"단축3";#N/A,#N/A,FALSE,"장축";#N/A,#N/A,FALSE,"4WD"}</definedName>
    <definedName name="___________q3" hidden="1">#REF!</definedName>
    <definedName name="___________s" hidden="1">{"SCM_Detail",#N/A,FALSE,"SCM";"SCM_Top",#N/A,FALSE,"SCM"}</definedName>
    <definedName name="___________SDW1" hidden="1">#REF!</definedName>
    <definedName name="___________T2" hidden="1">{#N/A,#N/A,FALSE,"단축1";#N/A,#N/A,FALSE,"단축2";#N/A,#N/A,FALSE,"단축3";#N/A,#N/A,FALSE,"장축";#N/A,#N/A,FALSE,"4WD"}</definedName>
    <definedName name="___________T3" hidden="1">{#N/A,#N/A,FALSE,"단축1";#N/A,#N/A,FALSE,"단축2";#N/A,#N/A,FALSE,"단축3";#N/A,#N/A,FALSE,"장축";#N/A,#N/A,FALSE,"4WD"}</definedName>
    <definedName name="___________T5" hidden="1">{#N/A,#N/A,FALSE,"단축1";#N/A,#N/A,FALSE,"단축2";#N/A,#N/A,FALSE,"단축3";#N/A,#N/A,FALSE,"장축";#N/A,#N/A,FALSE,"4WD"}</definedName>
    <definedName name="___________u18" hidden="1">{"Tages_D",#N/A,FALSE,"Tagesbericht";"Tages_PL",#N/A,FALSE,"Tagesbericht"}</definedName>
    <definedName name="___________u20" hidden="1">{"fleisch",#N/A,FALSE,"WG HK";"food",#N/A,FALSE,"WG HK";"hartwaren",#N/A,FALSE,"WG HK";"weichwaren",#N/A,FALSE,"WG HK"}</definedName>
    <definedName name="___________ww2" hidden="1">{#N/A,#N/A,FALSE,"Admin";#N/A,#N/A,FALSE,"Other"}</definedName>
    <definedName name="___________XG2" hidden="1">{#N/A,#N/A,FALSE,"단축1";#N/A,#N/A,FALSE,"단축2";#N/A,#N/A,FALSE,"단축3";#N/A,#N/A,FALSE,"장축";#N/A,#N/A,FALSE,"4WD"}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1" hidden="1">{#N/A,#N/A,FALSE,"Umsatz 99";#N/A,#N/A,FALSE,"ER 99 "}</definedName>
    <definedName name="__________a14" hidden="1">{"TAG1AGMS",#N/A,FALSE,"TAG 1A"}</definedName>
    <definedName name="__________a15" hidden="1">{"weichwaren",#N/A,FALSE,"Liste 1";"hartwaren",#N/A,FALSE,"Liste 1";"food",#N/A,FALSE,"Liste 1";"fleisch",#N/A,FALSE,"Liste 1"}</definedName>
    <definedName name="__________a16" hidden="1">{"weichwaren",#N/A,FALSE,"Liste 1";"hartwaren",#N/A,FALSE,"Liste 1";"food",#N/A,FALSE,"Liste 1";"fleisch",#N/A,FALSE,"Liste 1"}</definedName>
    <definedName name="__________a17" hidden="1">{"TAG1AGMS",#N/A,FALSE,"TAG 1A"}</definedName>
    <definedName name="__________a18" hidden="1">{"Tages_D",#N/A,FALSE,"Tagesbericht";"Tages_PL",#N/A,FALSE,"Tagesbericht"}</definedName>
    <definedName name="__________a19" hidden="1">{"fleisch",#N/A,FALSE,"WG HK";"food",#N/A,FALSE,"WG HK";"hartwaren",#N/A,FALSE,"WG HK";"weichwaren",#N/A,FALSE,"WG HK"}</definedName>
    <definedName name="__________a33" hidden="1">{"fleisch",#N/A,FALSE,"WG HK";"food",#N/A,FALSE,"WG HK";"hartwaren",#N/A,FALSE,"WG HK";"weichwaren",#N/A,FALSE,"WG HK"}</definedName>
    <definedName name="__________a55" hidden="1">{"Tages_D",#N/A,FALSE,"Tagesbericht";"Tages_PL",#N/A,FALSE,"Tagesbericht"}</definedName>
    <definedName name="__________a66" hidden="1">{"TAG1AGMS",#N/A,FALSE,"TAG 1A"}</definedName>
    <definedName name="__________aa22" hidden="1">{"Tages_D",#N/A,FALSE,"Tagesbericht";"Tages_PL",#N/A,FALSE,"Tagesbericht"}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b18" hidden="1">{"Tages_D",#N/A,FALSE,"Tagesbericht";"Tages_PL",#N/A,FALSE,"Tagesbericht"}</definedName>
    <definedName name="__________b19" hidden="1">{"Tages_D",#N/A,FALSE,"Tagesbericht";"Tages_PL",#N/A,FALSE,"Tagesbericht"}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guv1" hidden="1">{"K GuV o. Kommentar",#N/A,FALSE,"Kaufhof"}</definedName>
    <definedName name="__________guv3" hidden="1">{"K GuV o. Kommentar",#N/A,FALSE,"Kaufhof"}</definedName>
    <definedName name="__________LG2" hidden="1">{#N/A,#N/A,TRUE,"매출진척-1";#N/A,#N/A,TRUE,"매출진척-2";#N/A,#N/A,TRUE,"제품실적";#N/A,#N/A,TRUE,"RAC";#N/A,#N/A,TRUE,"PAC ";#N/A,#N/A,TRUE,"재고현황";#N/A,#N/A,TRUE,"공지사항"}</definedName>
    <definedName name="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OSX2" hidden="1">{"Area1",#N/A,FALSE,"OREWACC";"Area2",#N/A,FALSE,"OREWACC"}</definedName>
    <definedName name="__________P2" hidden="1">{#N/A,#N/A,FALSE,"단축1";#N/A,#N/A,FALSE,"단축2";#N/A,#N/A,FALSE,"단축3";#N/A,#N/A,FALSE,"장축";#N/A,#N/A,FALSE,"4WD"}</definedName>
    <definedName name="__________q3" hidden="1">#REF!</definedName>
    <definedName name="__________s" hidden="1">{"SCM_Detail",#N/A,FALSE,"SCM";"SCM_Top",#N/A,FALSE,"SCM"}</definedName>
    <definedName name="__________SDW1" hidden="1">#REF!</definedName>
    <definedName name="__________T2" hidden="1">{#N/A,#N/A,FALSE,"단축1";#N/A,#N/A,FALSE,"단축2";#N/A,#N/A,FALSE,"단축3";#N/A,#N/A,FALSE,"장축";#N/A,#N/A,FALSE,"4WD"}</definedName>
    <definedName name="__________T3" hidden="1">{#N/A,#N/A,FALSE,"단축1";#N/A,#N/A,FALSE,"단축2";#N/A,#N/A,FALSE,"단축3";#N/A,#N/A,FALSE,"장축";#N/A,#N/A,FALSE,"4WD"}</definedName>
    <definedName name="__________T5" hidden="1">{#N/A,#N/A,FALSE,"단축1";#N/A,#N/A,FALSE,"단축2";#N/A,#N/A,FALSE,"단축3";#N/A,#N/A,FALSE,"장축";#N/A,#N/A,FALSE,"4WD"}</definedName>
    <definedName name="__________u18" hidden="1">{"Tages_D",#N/A,FALSE,"Tagesbericht";"Tages_PL",#N/A,FALSE,"Tagesbericht"}</definedName>
    <definedName name="__________u20" hidden="1">{"fleisch",#N/A,FALSE,"WG HK";"food",#N/A,FALSE,"WG HK";"hartwaren",#N/A,FALSE,"WG HK";"weichwaren",#N/A,FALSE,"WG HK"}</definedName>
    <definedName name="__________ww2" hidden="1">{#N/A,#N/A,FALSE,"Admin";#N/A,#N/A,FALSE,"Other"}</definedName>
    <definedName name="__________XG2" hidden="1">{#N/A,#N/A,FALSE,"단축1";#N/A,#N/A,FALSE,"단축2";#N/A,#N/A,FALSE,"단축3";#N/A,#N/A,FALSE,"장축";#N/A,#N/A,FALSE,"4WD"}</definedName>
    <definedName name="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4" hidden="1">{"TAG1AGMS",#N/A,FALSE,"TAG 1A"}</definedName>
    <definedName name="_________a15" hidden="1">{"weichwaren",#N/A,FALSE,"Liste 1";"hartwaren",#N/A,FALSE,"Liste 1";"food",#N/A,FALSE,"Liste 1";"fleisch",#N/A,FALSE,"Liste 1"}</definedName>
    <definedName name="_________a16" hidden="1">{"weichwaren",#N/A,FALSE,"Liste 1";"hartwaren",#N/A,FALSE,"Liste 1";"food",#N/A,FALSE,"Liste 1";"fleisch",#N/A,FALSE,"Liste 1"}</definedName>
    <definedName name="_________a17" hidden="1">{"TAG1AGMS",#N/A,FALSE,"TAG 1A"}</definedName>
    <definedName name="_________a18" hidden="1">{"Tages_D",#N/A,FALSE,"Tagesbericht";"Tages_PL",#N/A,FALSE,"Tagesbericht"}</definedName>
    <definedName name="_________a19" hidden="1">{"fleisch",#N/A,FALSE,"WG HK";"food",#N/A,FALSE,"WG HK";"hartwaren",#N/A,FALSE,"WG HK";"weichwaren",#N/A,FALSE,"WG HK"}</definedName>
    <definedName name="_________a33" hidden="1">{"fleisch",#N/A,FALSE,"WG HK";"food",#N/A,FALSE,"WG HK";"hartwaren",#N/A,FALSE,"WG HK";"weichwaren",#N/A,FALSE,"WG HK"}</definedName>
    <definedName name="_________a55" hidden="1">{"Tages_D",#N/A,FALSE,"Tagesbericht";"Tages_PL",#N/A,FALSE,"Tagesbericht"}</definedName>
    <definedName name="_________a66" hidden="1">{"TAG1AGMS",#N/A,FALSE,"TAG 1A"}</definedName>
    <definedName name="_________aa22" hidden="1">{"Tages_D",#N/A,FALSE,"Tagesbericht";"Tages_PL",#N/A,FALSE,"Tagesbericht"}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b18" hidden="1">{"Tages_D",#N/A,FALSE,"Tagesbericht";"Tages_PL",#N/A,FALSE,"Tagesbericht"}</definedName>
    <definedName name="_________b19" hidden="1">{"Tages_D",#N/A,FALSE,"Tagesbericht";"Tages_PL",#N/A,FALSE,"Tagesbericht"}</definedName>
    <definedName name="_________c" hidden="1">{"Fiesta Facer Page",#N/A,FALSE,"Q_C_S";"Fiesta Main Page",#N/A,FALSE,"V_L";"Fiesta 95BP Struct",#N/A,FALSE,"StructBP";"Fiesta Post 95BP Struct",#N/A,FALSE,"AdjStructBP"}</definedName>
    <definedName name="_________eo2" hidden="1">{"'B1'!$B$3:$E$3"}</definedName>
    <definedName name="_________eo4" hidden="1">{"'B1'!$B$3:$E$3"}</definedName>
    <definedName name="_________ew10" hidden="1">{"'B1'!$B$3:$E$3"}</definedName>
    <definedName name="_________ew2" hidden="1">{"'B1'!$B$3:$E$3"}</definedName>
    <definedName name="_________ew3" hidden="1">{"'B1'!$B$3:$E$3"}</definedName>
    <definedName name="_________ew4" hidden="1">{"'B1'!$B$3:$E$3"}</definedName>
    <definedName name="_________ew5" hidden="1">{"'B1'!$B$3:$E$3"}</definedName>
    <definedName name="_________ew6" hidden="1">{"'B1'!$B$3:$E$3"}</definedName>
    <definedName name="_________ew8" hidden="1">{"'B1'!$B$3:$E$3"}</definedName>
    <definedName name="_________guv1" hidden="1">{"K GuV o. Kommentar",#N/A,FALSE,"Kaufhof"}</definedName>
    <definedName name="_________guv3" hidden="1">{"K GuV o. Kommentar",#N/A,FALSE,"Kaufhof"}</definedName>
    <definedName name="_________LG2" hidden="1">{#N/A,#N/A,TRUE,"매출진척-1";#N/A,#N/A,TRUE,"매출진척-2";#N/A,#N/A,TRUE,"제품실적";#N/A,#N/A,TRUE,"RAC";#N/A,#N/A,TRUE,"PAC ";#N/A,#N/A,TRUE,"재고현황";#N/A,#N/A,TRUE,"공지사항"}</definedName>
    <definedName name="_________P2" hidden="1">{#N/A,#N/A,FALSE,"단축1";#N/A,#N/A,FALSE,"단축2";#N/A,#N/A,FALSE,"단축3";#N/A,#N/A,FALSE,"장축";#N/A,#N/A,FALSE,"4WD"}</definedName>
    <definedName name="_________q3" hidden="1">#REF!</definedName>
    <definedName name="_________s" hidden="1">{"SCM_Detail",#N/A,FALSE,"SCM";"SCM_Top",#N/A,FALSE,"SCM"}</definedName>
    <definedName name="_________SDW1" hidden="1">#REF!</definedName>
    <definedName name="_________T2" hidden="1">{#N/A,#N/A,FALSE,"단축1";#N/A,#N/A,FALSE,"단축2";#N/A,#N/A,FALSE,"단축3";#N/A,#N/A,FALSE,"장축";#N/A,#N/A,FALSE,"4WD"}</definedName>
    <definedName name="_________T3" hidden="1">{#N/A,#N/A,FALSE,"단축1";#N/A,#N/A,FALSE,"단축2";#N/A,#N/A,FALSE,"단축3";#N/A,#N/A,FALSE,"장축";#N/A,#N/A,FALSE,"4WD"}</definedName>
    <definedName name="_________T5" hidden="1">{#N/A,#N/A,FALSE,"단축1";#N/A,#N/A,FALSE,"단축2";#N/A,#N/A,FALSE,"단축3";#N/A,#N/A,FALSE,"장축";#N/A,#N/A,FALSE,"4WD"}</definedName>
    <definedName name="_________u18" hidden="1">{"Tages_D",#N/A,FALSE,"Tagesbericht";"Tages_PL",#N/A,FALSE,"Tagesbericht"}</definedName>
    <definedName name="_________u20" hidden="1">{"fleisch",#N/A,FALSE,"WG HK";"food",#N/A,FALSE,"WG HK";"hartwaren",#N/A,FALSE,"WG HK";"weichwaren",#N/A,FALSE,"WG HK"}</definedName>
    <definedName name="_________ww2" hidden="1">{#N/A,#N/A,FALSE,"Admin";#N/A,#N/A,FALSE,"Other"}</definedName>
    <definedName name="_________XG2" hidden="1">{#N/A,#N/A,FALSE,"단축1";#N/A,#N/A,FALSE,"단축2";#N/A,#N/A,FALSE,"단축3";#N/A,#N/A,FALSE,"장축";#N/A,#N/A,FALSE,"4WD"}</definedName>
    <definedName name="_________z" hidden="1">{"mgmt forecast",#N/A,FALSE,"Mgmt Forecast";"dcf table",#N/A,FALSE,"Mgmt Forecast";"sensitivity",#N/A,FALSE,"Mgmt Forecast";"table inputs",#N/A,FALSE,"Mgmt Forecast";"calculations",#N/A,FALSE,"Mgmt Forecast"}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1" hidden="1">{#N/A,#N/A,FALSE,"Umsatz 99";#N/A,#N/A,FALSE,"ER 99 "}</definedName>
    <definedName name="________a14" hidden="1">{"TAG1AGMS",#N/A,FALSE,"TAG 1A"}</definedName>
    <definedName name="________a15" hidden="1">{"weichwaren",#N/A,FALSE,"Liste 1";"hartwaren",#N/A,FALSE,"Liste 1";"food",#N/A,FALSE,"Liste 1";"fleisch",#N/A,FALSE,"Liste 1"}</definedName>
    <definedName name="________a16" hidden="1">{"weichwaren",#N/A,FALSE,"Liste 1";"hartwaren",#N/A,FALSE,"Liste 1";"food",#N/A,FALSE,"Liste 1";"fleisch",#N/A,FALSE,"Liste 1"}</definedName>
    <definedName name="________a17" hidden="1">{"TAG1AGMS",#N/A,FALSE,"TAG 1A"}</definedName>
    <definedName name="________a18" hidden="1">{"Tages_D",#N/A,FALSE,"Tagesbericht";"Tages_PL",#N/A,FALSE,"Tagesbericht"}</definedName>
    <definedName name="________a19" hidden="1">{"fleisch",#N/A,FALSE,"WG HK";"food",#N/A,FALSE,"WG HK";"hartwaren",#N/A,FALSE,"WG HK";"weichwaren",#N/A,FALSE,"WG HK"}</definedName>
    <definedName name="________a33" hidden="1">{"fleisch",#N/A,FALSE,"WG HK";"food",#N/A,FALSE,"WG HK";"hartwaren",#N/A,FALSE,"WG HK";"weichwaren",#N/A,FALSE,"WG HK"}</definedName>
    <definedName name="________a55" hidden="1">{"Tages_D",#N/A,FALSE,"Tagesbericht";"Tages_PL",#N/A,FALSE,"Tagesbericht"}</definedName>
    <definedName name="________a66" hidden="1">{"TAG1AGMS",#N/A,FALSE,"TAG 1A"}</definedName>
    <definedName name="________aa22" hidden="1">{"Tages_D",#N/A,FALSE,"Tagesbericht";"Tages_PL",#N/A,FALSE,"Tagesbericht"}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b18" hidden="1">{"Tages_D",#N/A,FALSE,"Tagesbericht";"Tages_PL",#N/A,FALSE,"Tagesbericht"}</definedName>
    <definedName name="________b19" hidden="1">{"Tages_D",#N/A,FALSE,"Tagesbericht";"Tages_PL",#N/A,FALSE,"Tagesbericht"}</definedName>
    <definedName name="________c" hidden="1">{"Fiesta Facer Page",#N/A,FALSE,"Q_C_S";"Fiesta Main Page",#N/A,FALSE,"V_L";"Fiesta 95BP Struct",#N/A,FALSE,"StructBP";"Fiesta Post 95BP Struct",#N/A,FALSE,"AdjStructBP"}</definedName>
    <definedName name="________cum1" hidden="1">{"SCM_Detail",#N/A,FALSE,"SCM";"SCM_Top",#N/A,FALSE,"SCM"}</definedName>
    <definedName name="________eo2" hidden="1">{"'B1'!$B$3:$E$3"}</definedName>
    <definedName name="________eo4" hidden="1">{"'B1'!$B$3:$E$3"}</definedName>
    <definedName name="________ew10" hidden="1">{"'B1'!$B$3:$E$3"}</definedName>
    <definedName name="________ew2" hidden="1">{"'B1'!$B$3:$E$3"}</definedName>
    <definedName name="________ew3" hidden="1">{"'B1'!$B$3:$E$3"}</definedName>
    <definedName name="________ew4" hidden="1">{"'B1'!$B$3:$E$3"}</definedName>
    <definedName name="________ew5" hidden="1">{"'B1'!$B$3:$E$3"}</definedName>
    <definedName name="________ew6" hidden="1">{"'B1'!$B$3:$E$3"}</definedName>
    <definedName name="________ew8" hidden="1">{"'B1'!$B$3:$E$3"}</definedName>
    <definedName name="________guv1" hidden="1">{"K GuV o. Kommentar",#N/A,FALSE,"Kaufhof"}</definedName>
    <definedName name="________guv3" hidden="1">{"K GuV o. Kommentar",#N/A,FALSE,"Kaufhof"}</definedName>
    <definedName name="________LG2" hidden="1">{#N/A,#N/A,TRUE,"매출진척-1";#N/A,#N/A,TRUE,"매출진척-2";#N/A,#N/A,TRUE,"제품실적";#N/A,#N/A,TRUE,"RAC";#N/A,#N/A,TRUE,"PAC ";#N/A,#N/A,TRUE,"재고현황";#N/A,#N/A,TRUE,"공지사항"}</definedName>
    <definedName name="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OSX2" hidden="1">{"Area1",#N/A,FALSE,"OREWACC";"Area2",#N/A,FALSE,"OREWACC"}</definedName>
    <definedName name="________P2" hidden="1">{#N/A,#N/A,FALSE,"단축1";#N/A,#N/A,FALSE,"단축2";#N/A,#N/A,FALSE,"단축3";#N/A,#N/A,FALSE,"장축";#N/A,#N/A,FALSE,"4WD"}</definedName>
    <definedName name="________q3" hidden="1">#REF!</definedName>
    <definedName name="________s" hidden="1">{"SCM_Detail",#N/A,FALSE,"SCM";"SCM_Top",#N/A,FALSE,"SCM"}</definedName>
    <definedName name="________SDW1" hidden="1">#REF!</definedName>
    <definedName name="________T2" hidden="1">{#N/A,#N/A,FALSE,"단축1";#N/A,#N/A,FALSE,"단축2";#N/A,#N/A,FALSE,"단축3";#N/A,#N/A,FALSE,"장축";#N/A,#N/A,FALSE,"4WD"}</definedName>
    <definedName name="________T3" hidden="1">{#N/A,#N/A,FALSE,"단축1";#N/A,#N/A,FALSE,"단축2";#N/A,#N/A,FALSE,"단축3";#N/A,#N/A,FALSE,"장축";#N/A,#N/A,FALSE,"4WD"}</definedName>
    <definedName name="________T5" hidden="1">{#N/A,#N/A,FALSE,"단축1";#N/A,#N/A,FALSE,"단축2";#N/A,#N/A,FALSE,"단축3";#N/A,#N/A,FALSE,"장축";#N/A,#N/A,FALSE,"4WD"}</definedName>
    <definedName name="________u18" hidden="1">{"Tages_D",#N/A,FALSE,"Tagesbericht";"Tages_PL",#N/A,FALSE,"Tagesbericht"}</definedName>
    <definedName name="________u20" hidden="1">{"fleisch",#N/A,FALSE,"WG HK";"food",#N/A,FALSE,"WG HK";"hartwaren",#N/A,FALSE,"WG HK";"weichwaren",#N/A,FALSE,"WG HK"}</definedName>
    <definedName name="________ww2" hidden="1">{#N/A,#N/A,FALSE,"Admin";#N/A,#N/A,FALSE,"Other"}</definedName>
    <definedName name="________XG2" hidden="1">{#N/A,#N/A,FALSE,"단축1";#N/A,#N/A,FALSE,"단축2";#N/A,#N/A,FALSE,"단축3";#N/A,#N/A,FALSE,"장축";#N/A,#N/A,FALSE,"4WD"}</definedName>
    <definedName name="________z" hidden="1">{"mgmt forecast",#N/A,FALSE,"Mgmt Forecast";"dcf table",#N/A,FALSE,"Mgmt Forecast";"sensitivity",#N/A,FALSE,"Mgmt Forecast";"table inputs",#N/A,FALSE,"Mgmt Forecast";"calculations",#N/A,FALSE,"Mgmt Forecast"}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1" hidden="1">{#N/A,#N/A,FALSE,"Umsatz 99";#N/A,#N/A,FALSE,"ER 99 "}</definedName>
    <definedName name="_______a14" hidden="1">{"TAG1AGMS",#N/A,FALSE,"TAG 1A"}</definedName>
    <definedName name="_______a15" hidden="1">{"weichwaren",#N/A,FALSE,"Liste 1";"hartwaren",#N/A,FALSE,"Liste 1";"food",#N/A,FALSE,"Liste 1";"fleisch",#N/A,FALSE,"Liste 1"}</definedName>
    <definedName name="_______a16" hidden="1">{"weichwaren",#N/A,FALSE,"Liste 1";"hartwaren",#N/A,FALSE,"Liste 1";"food",#N/A,FALSE,"Liste 1";"fleisch",#N/A,FALSE,"Liste 1"}</definedName>
    <definedName name="_______a17" hidden="1">{"TAG1AGMS",#N/A,FALSE,"TAG 1A"}</definedName>
    <definedName name="_______a18" hidden="1">{"Tages_D",#N/A,FALSE,"Tagesbericht";"Tages_PL",#N/A,FALSE,"Tagesbericht"}</definedName>
    <definedName name="_______a19" hidden="1">{"fleisch",#N/A,FALSE,"WG HK";"food",#N/A,FALSE,"WG HK";"hartwaren",#N/A,FALSE,"WG HK";"weichwaren",#N/A,FALSE,"WG HK"}</definedName>
    <definedName name="_______a33" hidden="1">{"fleisch",#N/A,FALSE,"WG HK";"food",#N/A,FALSE,"WG HK";"hartwaren",#N/A,FALSE,"WG HK";"weichwaren",#N/A,FALSE,"WG HK"}</definedName>
    <definedName name="_______a55" hidden="1">{"Tages_D",#N/A,FALSE,"Tagesbericht";"Tages_PL",#N/A,FALSE,"Tagesbericht"}</definedName>
    <definedName name="_______a66" hidden="1">{"TAG1AGMS",#N/A,FALSE,"TAG 1A"}</definedName>
    <definedName name="_______aa22" hidden="1">{"Tages_D",#N/A,FALSE,"Tagesbericht";"Tages_PL",#N/A,FALSE,"Tagesbericht"}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b18" hidden="1">{"Tages_D",#N/A,FALSE,"Tagesbericht";"Tages_PL",#N/A,FALSE,"Tagesbericht"}</definedName>
    <definedName name="_______b19" hidden="1">{"Tages_D",#N/A,FALSE,"Tagesbericht";"Tages_PL",#N/A,FALSE,"Tagesbericht"}</definedName>
    <definedName name="_______c" hidden="1">{"Fiesta Facer Page",#N/A,FALSE,"Q_C_S";"Fiesta Main Page",#N/A,FALSE,"V_L";"Fiesta 95BP Struct",#N/A,FALSE,"StructBP";"Fiesta Post 95BP Struct",#N/A,FALSE,"AdjStructBP"}</definedName>
    <definedName name="_______CAP10" hidden="1">{"LC",#N/A,FALSE,"FC-15 Cap Expend"}</definedName>
    <definedName name="_______cum1" hidden="1">{"SCM_Detail",#N/A,FALSE,"SCM";"SCM_Top",#N/A,FALSE,"SCM"}</definedName>
    <definedName name="__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_guv1" hidden="1">{"K GuV o. Kommentar",#N/A,FALSE,"Kaufhof"}</definedName>
    <definedName name="_______guv3" hidden="1">{"K GuV o. Kommentar",#N/A,FALSE,"Kaufhof"}</definedName>
    <definedName name="_______LG2" hidden="1">{#N/A,#N/A,TRUE,"매출진척-1";#N/A,#N/A,TRUE,"매출진척-2";#N/A,#N/A,TRUE,"제품실적";#N/A,#N/A,TRUE,"RAC";#N/A,#N/A,TRUE,"PAC ";#N/A,#N/A,TRUE,"재고현황";#N/A,#N/A,TRUE,"공지사항"}</definedName>
    <definedName name="_______New2" hidden="1">{"TOTAL",#N/A,FALSE,"A";"FISCAL94",#N/A,FALSE,"A";"FISCAL95",#N/A,FALSE,"A";"FISCAL96",#N/A,FALSE,"A";"misc page",#N/A,FALSE,"A"}</definedName>
    <definedName name="_______new3" hidden="1">{"FY98Q1 nvs",#N/A,FALSE,"FY98 - Q1";"FY98Q2 nvs",#N/A,FALSE,"FY98 - Q2";"FY98Q3 nvs",#N/A,FALSE,"FY98 - Q3";"FY98Q4 nvs",#N/A,FALSE,"FY98 - Q4"}</definedName>
    <definedName name="_______new4" hidden="1">{"INPUT",#N/A,FALSE,"REVENUE AND GM ";"CONTROL",#N/A,FALSE,"REVENUE AND GM ";"SWITCH",#N/A,FALSE,"REVENUE AND GM ";"OUTPUT",#N/A,FALSE,"REVENUE AND GM ";"TOTAL",#N/A,FALSE,"REVENUE AND GM "}</definedName>
    <definedName name="_______new5" hidden="1">{"FY97Total",#N/A,FALSE,"FY97 - Total";"FY98Total",#N/A,FALSE,"FY98 - Total"}</definedName>
    <definedName name="_______new6" hidden="1">{"FY97Q1",#N/A,FALSE,"FY97 - Q1";"FY97Q2",#N/A,FALSE,"FY97 - Q2";"FY97Q3",#N/A,FALSE,"FY97 - Q3";"FY97Q4",#N/A,FALSE,"FY97 - Q4"}</definedName>
    <definedName name="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OSX2" hidden="1">{"Area1",#N/A,FALSE,"OREWACC";"Area2",#N/A,FALSE,"OREWACC"}</definedName>
    <definedName name="_______P2" hidden="1">{#N/A,#N/A,FALSE,"단축1";#N/A,#N/A,FALSE,"단축2";#N/A,#N/A,FALSE,"단축3";#N/A,#N/A,FALSE,"장축";#N/A,#N/A,FALSE,"4WD"}</definedName>
    <definedName name="_______q3" hidden="1">#REF!</definedName>
    <definedName name="_______s" hidden="1">{"SCM_Detail",#N/A,FALSE,"SCM";"SCM_Top",#N/A,FALSE,"SCM"}</definedName>
    <definedName name="_______SDW1" hidden="1">#REF!</definedName>
    <definedName name="_______T2" hidden="1">{#N/A,#N/A,FALSE,"단축1";#N/A,#N/A,FALSE,"단축2";#N/A,#N/A,FALSE,"단축3";#N/A,#N/A,FALSE,"장축";#N/A,#N/A,FALSE,"4WD"}</definedName>
    <definedName name="_______T3" hidden="1">{#N/A,#N/A,FALSE,"단축1";#N/A,#N/A,FALSE,"단축2";#N/A,#N/A,FALSE,"단축3";#N/A,#N/A,FALSE,"장축";#N/A,#N/A,FALSE,"4WD"}</definedName>
    <definedName name="_______T5" hidden="1">{#N/A,#N/A,FALSE,"단축1";#N/A,#N/A,FALSE,"단축2";#N/A,#N/A,FALSE,"단축3";#N/A,#N/A,FALSE,"장축";#N/A,#N/A,FALSE,"4WD"}</definedName>
    <definedName name="_______Tes6" hidden="1">{"'SIVA Pricing Model'!$A$1:$F$39"}</definedName>
    <definedName name="_______u18" hidden="1">{"Tages_D",#N/A,FALSE,"Tagesbericht";"Tages_PL",#N/A,FALSE,"Tagesbericht"}</definedName>
    <definedName name="_______u20" hidden="1">{"fleisch",#N/A,FALSE,"WG HK";"food",#N/A,FALSE,"WG HK";"hartwaren",#N/A,FALSE,"WG HK";"weichwaren",#N/A,FALSE,"WG HK"}</definedName>
    <definedName name="_______ww2" hidden="1">{#N/A,#N/A,FALSE,"Admin";#N/A,#N/A,FALSE,"Other"}</definedName>
    <definedName name="_______XG2" hidden="1">{#N/A,#N/A,FALSE,"단축1";#N/A,#N/A,FALSE,"단축2";#N/A,#N/A,FALSE,"단축3";#N/A,#N/A,FALSE,"장축";#N/A,#N/A,FALSE,"4WD"}</definedName>
    <definedName name="_______z" hidden="1">{"mgmt forecast",#N/A,FALSE,"Mgmt Forecast";"dcf table",#N/A,FALSE,"Mgmt Forecast";"sensitivity",#N/A,FALSE,"Mgmt Forecast";"table inputs",#N/A,FALSE,"Mgmt Forecast";"calculations",#N/A,FALSE,"Mgmt Forecast"}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1" hidden="1">{#N/A,#N/A,FALSE,"Umsatz 99";#N/A,#N/A,FALSE,"ER 99 "}</definedName>
    <definedName name="______a14" hidden="1">{"TAG1AGMS",#N/A,FALSE,"TAG 1A"}</definedName>
    <definedName name="______a15" hidden="1">{"weichwaren",#N/A,FALSE,"Liste 1";"hartwaren",#N/A,FALSE,"Liste 1";"food",#N/A,FALSE,"Liste 1";"fleisch",#N/A,FALSE,"Liste 1"}</definedName>
    <definedName name="______a16" hidden="1">{"weichwaren",#N/A,FALSE,"Liste 1";"hartwaren",#N/A,FALSE,"Liste 1";"food",#N/A,FALSE,"Liste 1";"fleisch",#N/A,FALSE,"Liste 1"}</definedName>
    <definedName name="______a17" hidden="1">{"TAG1AGMS",#N/A,FALSE,"TAG 1A"}</definedName>
    <definedName name="______a18" hidden="1">{"Tages_D",#N/A,FALSE,"Tagesbericht";"Tages_PL",#N/A,FALSE,"Tagesbericht"}</definedName>
    <definedName name="______a19" hidden="1">{"fleisch",#N/A,FALSE,"WG HK";"food",#N/A,FALSE,"WG HK";"hartwaren",#N/A,FALSE,"WG HK";"weichwaren",#N/A,FALSE,"WG HK"}</definedName>
    <definedName name="______a33" hidden="1">{"fleisch",#N/A,FALSE,"WG HK";"food",#N/A,FALSE,"WG HK";"hartwaren",#N/A,FALSE,"WG HK";"weichwaren",#N/A,FALSE,"WG HK"}</definedName>
    <definedName name="______a55" hidden="1">{"Tages_D",#N/A,FALSE,"Tagesbericht";"Tages_PL",#N/A,FALSE,"Tagesbericht"}</definedName>
    <definedName name="______a66" hidden="1">{"TAG1AGMS",#N/A,FALSE,"TAG 1A"}</definedName>
    <definedName name="______aa22" hidden="1">{"Tages_D",#N/A,FALSE,"Tagesbericht";"Tages_PL",#N/A,FALSE,"Tagesbericht"}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_b111" hidden="1">{#N/A,#N/A,FALSE,"Pharm";#N/A,#N/A,FALSE,"WWCM"}</definedName>
    <definedName name="______b18" hidden="1">{"Tages_D",#N/A,FALSE,"Tagesbericht";"Tages_PL",#N/A,FALSE,"Tagesbericht"}</definedName>
    <definedName name="______b19" hidden="1">{"Tages_D",#N/A,FALSE,"Tagesbericht";"Tages_PL",#N/A,FALSE,"Tagesbericht"}</definedName>
    <definedName name="______c" hidden="1">{"Fiesta Facer Page",#N/A,FALSE,"Q_C_S";"Fiesta Main Page",#N/A,FALSE,"V_L";"Fiesta 95BP Struct",#N/A,FALSE,"StructBP";"Fiesta Post 95BP Struct",#N/A,FALSE,"AdjStructBP"}</definedName>
    <definedName name="______CAP10" hidden="1">{"LC",#N/A,FALSE,"FC-15 Cap Expend"}</definedName>
    <definedName name="______cum1" hidden="1">{"SCM_Detail",#N/A,FALSE,"SCM";"SCM_Top",#N/A,FALSE,"SCM"}</definedName>
    <definedName name="_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P6434" hidden="1">{"TOTALDPAK",#N/A,FALSE,"DPAK PRODUCTION";"HADPAK",#N/A,FALSE,"DPAK PRODUCTION";"PSIDPAK",#N/A,FALSE,"DPAK PRODUCTION"}</definedName>
    <definedName name="______eo2" hidden="1">{"'B1'!$B$3:$E$3"}</definedName>
    <definedName name="______eo4" hidden="1">{"'B1'!$B$3:$E$3"}</definedName>
    <definedName name="______ew10" hidden="1">{"'B1'!$B$3:$E$3"}</definedName>
    <definedName name="______ew2" hidden="1">{"'B1'!$B$3:$E$3"}</definedName>
    <definedName name="______ew3" hidden="1">{"'B1'!$B$3:$E$3"}</definedName>
    <definedName name="______ew4" hidden="1">{"'B1'!$B$3:$E$3"}</definedName>
    <definedName name="______ew5" hidden="1">{"'B1'!$B$3:$E$3"}</definedName>
    <definedName name="______ew6" hidden="1">{"'B1'!$B$3:$E$3"}</definedName>
    <definedName name="______ew8" hidden="1">{"'B1'!$B$3:$E$3"}</definedName>
    <definedName name="_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guv1" hidden="1">{"K GuV o. Kommentar",#N/A,FALSE,"Kaufhof"}</definedName>
    <definedName name="______guv3" hidden="1">{"K GuV o. Kommentar",#N/A,FALSE,"Kaufhof"}</definedName>
    <definedName name="______i3" hidden="1">{"vue1",#N/A,FALSE,"synthese";"vue2",#N/A,FALSE,"synthese"}</definedName>
    <definedName name="______LG2" hidden="1">{#N/A,#N/A,TRUE,"매출진척-1";#N/A,#N/A,TRUE,"매출진척-2";#N/A,#N/A,TRUE,"제품실적";#N/A,#N/A,TRUE,"RAC";#N/A,#N/A,TRUE,"PAC ";#N/A,#N/A,TRUE,"재고현황";#N/A,#N/A,TRUE,"공지사항"}</definedName>
    <definedName name="______na2" hidden="1">{"'SIVA Pricing Model'!$A$1:$F$39"}</definedName>
    <definedName name="______na3" hidden="1">{"'SIVA Pricing Model'!$A$1:$F$39"}</definedName>
    <definedName name="______new1" hidden="1">{#N/A,#N/A,FALSE,"Pharm";#N/A,#N/A,FALSE,"WWCM"}</definedName>
    <definedName name="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new3" hidden="1">{"FY98Q1 nvs",#N/A,FALSE,"FY98 - Q1";"FY98Q2 nvs",#N/A,FALSE,"FY98 - Q2";"FY98Q3 nvs",#N/A,FALSE,"FY98 - Q3";"FY98Q4 nvs",#N/A,FALSE,"FY98 - Q4"}</definedName>
    <definedName name="______new4" hidden="1">{"INPUT",#N/A,FALSE,"REVENUE AND GM ";"CONTROL",#N/A,FALSE,"REVENUE AND GM ";"SWITCH",#N/A,FALSE,"REVENUE AND GM ";"OUTPUT",#N/A,FALSE,"REVENUE AND GM ";"TOTAL",#N/A,FALSE,"REVENUE AND GM "}</definedName>
    <definedName name="______new5" hidden="1">{"FY97Total",#N/A,FALSE,"FY97 - Total";"FY98Total",#N/A,FALSE,"FY98 - Total"}</definedName>
    <definedName name="______new6" hidden="1">{"FY97Q1",#N/A,FALSE,"FY97 - Q1";"FY97Q2",#N/A,FALSE,"FY97 - Q2";"FY97Q3",#N/A,FALSE,"FY97 - Q3";"FY97Q4",#N/A,FALSE,"FY97 - Q4"}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SX2" hidden="1">{"Area1",#N/A,FALSE,"OREWACC";"Area2",#N/A,FALSE,"OREWACC"}</definedName>
    <definedName name="______P2" hidden="1">{#N/A,#N/A,FALSE,"단축1";#N/A,#N/A,FALSE,"단축2";#N/A,#N/A,FALSE,"단축3";#N/A,#N/A,FALSE,"장축";#N/A,#N/A,FALSE,"4WD"}</definedName>
    <definedName name="______q3" hidden="1">#REF!</definedName>
    <definedName name="__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_r" hidden="1">{#N/A,#N/A,FALSE,"Pharm";#N/A,#N/A,FALSE,"WWCM"}</definedName>
    <definedName name="______s" hidden="1">{"SCM_Detail",#N/A,FALSE,"SCM";"SCM_Top",#N/A,FALSE,"SCM"}</definedName>
    <definedName name="______SDW1" hidden="1">#REF!</definedName>
    <definedName name="______T2" hidden="1">{#N/A,#N/A,FALSE,"단축1";#N/A,#N/A,FALSE,"단축2";#N/A,#N/A,FALSE,"단축3";#N/A,#N/A,FALSE,"장축";#N/A,#N/A,FALSE,"4WD"}</definedName>
    <definedName name="______T3" hidden="1">{#N/A,#N/A,FALSE,"단축1";#N/A,#N/A,FALSE,"단축2";#N/A,#N/A,FALSE,"단축3";#N/A,#N/A,FALSE,"장축";#N/A,#N/A,FALSE,"4WD"}</definedName>
    <definedName name="______T5" hidden="1">{#N/A,#N/A,FALSE,"단축1";#N/A,#N/A,FALSE,"단축2";#N/A,#N/A,FALSE,"단축3";#N/A,#N/A,FALSE,"장축";#N/A,#N/A,FALSE,"4WD"}</definedName>
    <definedName name="______TEM6434" hidden="1">{"ALLOCATION1",#N/A,FALSE,"EXPENSE ALLOCATIONS";"ALLOCATION2",#N/A,FALSE,"EXPENSE ALLOCATIONS";"ALLOCATION3",#N/A,FALSE,"EXPENSE ALLOCATIONS";"ALLOCATION4",#N/A,FALSE,"EXPENSE ALLOCATIONS"}</definedName>
    <definedName name="______Tes6" hidden="1">{"'SIVA Pricing Model'!$A$1:$F$39"}</definedName>
    <definedName name="______tm1" hidden="1">{#N/A,#N/A,FALSE,"Pharm";#N/A,#N/A,FALSE,"WWCM"}</definedName>
    <definedName name="______u18" hidden="1">{"Tages_D",#N/A,FALSE,"Tagesbericht";"Tages_PL",#N/A,FALSE,"Tagesbericht"}</definedName>
    <definedName name="______u20" hidden="1">{"fleisch",#N/A,FALSE,"WG HK";"food",#N/A,FALSE,"WG HK";"hartwaren",#N/A,FALSE,"WG HK";"weichwaren",#N/A,FALSE,"WG HK"}</definedName>
    <definedName name="______wrm3" hidden="1">{"vue1",#N/A,FALSE,"synthese";"vue2",#N/A,FALSE,"synthese"}</definedName>
    <definedName name="______wrn2" hidden="1">{"vue1",#N/A,FALSE,"synthese";"vue2",#N/A,FALSE,"synthese"}</definedName>
    <definedName name="______wrn3" hidden="1">{"vue1",#N/A,FALSE,"synthese";"vue2",#N/A,FALSE,"synthese"}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XG2" hidden="1">{#N/A,#N/A,FALSE,"단축1";#N/A,#N/A,FALSE,"단축2";#N/A,#N/A,FALSE,"단축3";#N/A,#N/A,FALSE,"장축";#N/A,#N/A,FALSE,"4WD"}</definedName>
    <definedName name="______z" hidden="1">{"mgmt forecast",#N/A,FALSE,"Mgmt Forecast";"dcf table",#N/A,FALSE,"Mgmt Forecast";"sensitivity",#N/A,FALSE,"Mgmt Forecast";"table inputs",#N/A,FALSE,"Mgmt Forecast";"calculations",#N/A,FALSE,"Mgmt Forecast"}</definedName>
    <definedName name="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A11" hidden="1">{#N/A,#N/A,FALSE,"Umsatz 99";#N/A,#N/A,FALSE,"ER 99 "}</definedName>
    <definedName name="_____a14" hidden="1">{"TAG1AGMS",#N/A,FALSE,"TAG 1A"}</definedName>
    <definedName name="_____a15" hidden="1">{"weichwaren",#N/A,FALSE,"Liste 1";"hartwaren",#N/A,FALSE,"Liste 1";"food",#N/A,FALSE,"Liste 1";"fleisch",#N/A,FALSE,"Liste 1"}</definedName>
    <definedName name="_____a16" hidden="1">{"weichwaren",#N/A,FALSE,"Liste 1";"hartwaren",#N/A,FALSE,"Liste 1";"food",#N/A,FALSE,"Liste 1";"fleisch",#N/A,FALSE,"Liste 1"}</definedName>
    <definedName name="_____a17" hidden="1">{"TAG1AGMS",#N/A,FALSE,"TAG 1A"}</definedName>
    <definedName name="_____a18" hidden="1">{"Tages_D",#N/A,FALSE,"Tagesbericht";"Tages_PL",#N/A,FALSE,"Tagesbericht"}</definedName>
    <definedName name="_____a19" hidden="1">{"fleisch",#N/A,FALSE,"WG HK";"food",#N/A,FALSE,"WG HK";"hartwaren",#N/A,FALSE,"WG HK";"weichwaren",#N/A,FALSE,"WG HK"}</definedName>
    <definedName name="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a33" hidden="1">{"fleisch",#N/A,FALSE,"WG HK";"food",#N/A,FALSE,"WG HK";"hartwaren",#N/A,FALSE,"WG HK";"weichwaren",#N/A,FALSE,"WG HK"}</definedName>
    <definedName name="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a55" hidden="1">{"Tages_D",#N/A,FALSE,"Tagesbericht";"Tages_PL",#N/A,FALSE,"Tagesbericht"}</definedName>
    <definedName name="_____a66" hidden="1">{"TAG1AGMS",#N/A,FALSE,"TAG 1A"}</definedName>
    <definedName name="_____aa22" hidden="1">{"Tages_D",#N/A,FALSE,"Tagesbericht";"Tages_PL",#N/A,FALSE,"Tagesbericht"}</definedName>
    <definedName name="_____abc1" hidden="1">{"detail",#N/A,FALSE,"mfg";"summary",#N/A,FALSE,"mfg"}</definedName>
    <definedName name="_____abc2" hidden="1">{"detail",#N/A,FALSE,"mfg";"summary",#N/A,FALSE,"mfg"}</definedName>
    <definedName name="_____ae2" hidden="1">{"'Inventory &amp; Anal-Cur Wkbk'!$A$7:$AP$71"}</definedName>
    <definedName name="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ALL6434" hidden="1">{"ALLOCATION1",#N/A,FALSE,"EXPENSE ALLOCATIONS";"ALLOCATION2",#N/A,FALSE,"EXPENSE ALLOCATIONS";"ALLOCATION3",#N/A,FALSE,"EXPENSE ALLOCATIONS";"ALLOCATION4",#N/A,FALSE,"EXPENSE ALLOCATIONS"}</definedName>
    <definedName name="_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b18" hidden="1">{"Tages_D",#N/A,FALSE,"Tagesbericht";"Tages_PL",#N/A,FALSE,"Tagesbericht"}</definedName>
    <definedName name="_____b19" hidden="1">{"Tages_D",#N/A,FALSE,"Tagesbericht";"Tages_PL",#N/A,FALSE,"Tagesbericht"}</definedName>
    <definedName name="_____c" hidden="1">{"Fiesta Facer Page",#N/A,FALSE,"Q_C_S";"Fiesta Main Page",#N/A,FALSE,"V_L";"Fiesta 95BP Struct",#N/A,FALSE,"StructBP";"Fiesta Post 95BP Struct",#N/A,FALSE,"AdjStructBP"}</definedName>
    <definedName name="_____CAP10" hidden="1">{"LC",#N/A,FALSE,"FC-15 Cap Expend"}</definedName>
    <definedName name="_____cum1" hidden="1">{"SCM_Detail",#N/A,FALSE,"SCM";"SCM_Top",#N/A,FALSE,"SCM"}</definedName>
    <definedName name="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P6434" hidden="1">{"TOTALDPAK",#N/A,FALSE,"DPAK PRODUCTION";"HADPAK",#N/A,FALSE,"DPAK PRODUCTION";"PSIDPAK",#N/A,FALSE,"DPAK PRODUCTION"}</definedName>
    <definedName name="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guv1" hidden="1">{"K GuV o. Kommentar",#N/A,FALSE,"Kaufhof"}</definedName>
    <definedName name="_____guv3" hidden="1">{"K GuV o. Kommentar",#N/A,FALSE,"Kaufhof"}</definedName>
    <definedName name="_____LG2" hidden="1">{#N/A,#N/A,TRUE,"매출진척-1";#N/A,#N/A,TRUE,"매출진척-2";#N/A,#N/A,TRUE,"제품실적";#N/A,#N/A,TRUE,"RAC";#N/A,#N/A,TRUE,"PAC ";#N/A,#N/A,TRUE,"재고현황";#N/A,#N/A,TRUE,"공지사항"}</definedName>
    <definedName name="_____na2" hidden="1">{"'SIVA Pricing Model'!$A$1:$F$39"}</definedName>
    <definedName name="_____na3" hidden="1">{"'SIVA Pricing Model'!$A$1:$F$39"}</definedName>
    <definedName name="_____New2" hidden="1">{"TOTAL",#N/A,FALSE,"A";"FISCAL94",#N/A,FALSE,"A";"FISCAL95",#N/A,FALSE,"A";"FISCAL96",#N/A,FALSE,"A";"misc page",#N/A,FALSE,"A"}</definedName>
    <definedName name="_____new3" hidden="1">{"FY98Q1 nvs",#N/A,FALSE,"FY98 - Q1";"FY98Q2 nvs",#N/A,FALSE,"FY98 - Q2";"FY98Q3 nvs",#N/A,FALSE,"FY98 - Q3";"FY98Q4 nvs",#N/A,FALSE,"FY98 - Q4"}</definedName>
    <definedName name="_____new4" hidden="1">{"INPUT",#N/A,FALSE,"REVENUE AND GM ";"CONTROL",#N/A,FALSE,"REVENUE AND GM ";"SWITCH",#N/A,FALSE,"REVENUE AND GM ";"OUTPUT",#N/A,FALSE,"REVENUE AND GM ";"TOTAL",#N/A,FALSE,"REVENUE AND GM "}</definedName>
    <definedName name="_____new5" hidden="1">{"FY97Total",#N/A,FALSE,"FY97 - Total";"FY98Total",#N/A,FALSE,"FY98 - Total"}</definedName>
    <definedName name="_____new6" hidden="1">{"FY97Q1",#N/A,FALSE,"FY97 - Q1";"FY97Q2",#N/A,FALSE,"FY97 - Q2";"FY97Q3",#N/A,FALSE,"FY97 - Q3";"FY97Q4",#N/A,FALSE,"FY97 - Q4"}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SX2" hidden="1">{"Area1",#N/A,FALSE,"OREWACC";"Area2",#N/A,FALSE,"OREWACC"}</definedName>
    <definedName name="_____P2" hidden="1">{#N/A,#N/A,FALSE,"단축1";#N/A,#N/A,FALSE,"단축2";#N/A,#N/A,FALSE,"단축3";#N/A,#N/A,FALSE,"장축";#N/A,#N/A,FALSE,"4WD"}</definedName>
    <definedName name="_____q3" hidden="1">#REF!</definedName>
    <definedName name="_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SDW1" hidden="1">#REF!</definedName>
    <definedName name="_____T2" hidden="1">{#N/A,#N/A,FALSE,"단축1";#N/A,#N/A,FALSE,"단축2";#N/A,#N/A,FALSE,"단축3";#N/A,#N/A,FALSE,"장축";#N/A,#N/A,FALSE,"4WD"}</definedName>
    <definedName name="_____T3" hidden="1">{#N/A,#N/A,FALSE,"단축1";#N/A,#N/A,FALSE,"단축2";#N/A,#N/A,FALSE,"단축3";#N/A,#N/A,FALSE,"장축";#N/A,#N/A,FALSE,"4WD"}</definedName>
    <definedName name="_____T5" hidden="1">{#N/A,#N/A,FALSE,"단축1";#N/A,#N/A,FALSE,"단축2";#N/A,#N/A,FALSE,"단축3";#N/A,#N/A,FALSE,"장축";#N/A,#N/A,FALSE,"4WD"}</definedName>
    <definedName name="_____TEM6434" hidden="1">{"ALLOCATION1",#N/A,FALSE,"EXPENSE ALLOCATIONS";"ALLOCATION2",#N/A,FALSE,"EXPENSE ALLOCATIONS";"ALLOCATION3",#N/A,FALSE,"EXPENSE ALLOCATIONS";"ALLOCATION4",#N/A,FALSE,"EXPENSE ALLOCATIONS"}</definedName>
    <definedName name="_____Tes6" hidden="1">{"'SIVA Pricing Model'!$A$1:$F$39"}</definedName>
    <definedName name="_____u18" hidden="1">{"Tages_D",#N/A,FALSE,"Tagesbericht";"Tages_PL",#N/A,FALSE,"Tagesbericht"}</definedName>
    <definedName name="_____u20" hidden="1">{"fleisch",#N/A,FALSE,"WG HK";"food",#N/A,FALSE,"WG HK";"hartwaren",#N/A,FALSE,"WG HK";"weichwaren",#N/A,FALSE,"WG HK"}</definedName>
    <definedName name="_____ww2" hidden="1">{#N/A,#N/A,FALSE,"Admin";#N/A,#N/A,FALSE,"Other"}</definedName>
    <definedName name="_____XG2" hidden="1">{#N/A,#N/A,FALSE,"단축1";#N/A,#N/A,FALSE,"단축2";#N/A,#N/A,FALSE,"단축3";#N/A,#N/A,FALSE,"장축";#N/A,#N/A,FALSE,"4WD"}</definedName>
    <definedName name="_____z" hidden="1">{"mgmt forecast",#N/A,FALSE,"Mgmt Forecast";"dcf table",#N/A,FALSE,"Mgmt Forecast";"sensitivity",#N/A,FALSE,"Mgmt Forecast";"table inputs",#N/A,FALSE,"Mgmt Forecast";"calculations",#N/A,FALSE,"Mgmt Forecast"}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11" hidden="1">{#N/A,#N/A,FALSE,"Umsatz 99";#N/A,#N/A,FALSE,"ER 99 "}</definedName>
    <definedName name="____a14" hidden="1">{"TAG1AGMS",#N/A,FALSE,"TAG 1A"}</definedName>
    <definedName name="____a15" hidden="1">{"weichwaren",#N/A,FALSE,"Liste 1";"hartwaren",#N/A,FALSE,"Liste 1";"food",#N/A,FALSE,"Liste 1";"fleisch",#N/A,FALSE,"Liste 1"}</definedName>
    <definedName name="____a16" hidden="1">{"weichwaren",#N/A,FALSE,"Liste 1";"hartwaren",#N/A,FALSE,"Liste 1";"food",#N/A,FALSE,"Liste 1";"fleisch",#N/A,FALSE,"Liste 1"}</definedName>
    <definedName name="____a17" hidden="1">{"TAG1AGMS",#N/A,FALSE,"TAG 1A"}</definedName>
    <definedName name="____a18" hidden="1">{"Tages_D",#N/A,FALSE,"Tagesbericht";"Tages_PL",#N/A,FALSE,"Tagesbericht"}</definedName>
    <definedName name="____a19" hidden="1">{"fleisch",#N/A,FALSE,"WG HK";"food",#N/A,FALSE,"WG HK";"hartwaren",#N/A,FALSE,"WG HK";"weichwaren",#N/A,FALSE,"WG HK"}</definedName>
    <definedName name="____a2" hidden="1">{#N/A,#N/A,FALSE,"Sheet1"}</definedName>
    <definedName name="____a3" hidden="1">{#N/A,#N/A,FALSE,"Sheet1"}</definedName>
    <definedName name="____a33" hidden="1">{"fleisch",#N/A,FALSE,"WG HK";"food",#N/A,FALSE,"WG HK";"hartwaren",#N/A,FALSE,"WG HK";"weichwaren",#N/A,FALSE,"WG HK"}</definedName>
    <definedName name="____a55" hidden="1">{"Tages_D",#N/A,FALSE,"Tagesbericht";"Tages_PL",#N/A,FALSE,"Tagesbericht"}</definedName>
    <definedName name="____a66" hidden="1">{"TAG1AGMS",#N/A,FALSE,"TAG 1A"}</definedName>
    <definedName name="____aa22" hidden="1">{"Tages_D",#N/A,FALSE,"Tagesbericht";"Tages_PL",#N/A,FALSE,"Tagesbericht"}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LL6434" hidden="1">{"ALLOCATION1",#N/A,FALSE,"EXPENSE ALLOCATIONS";"ALLOCATION2",#N/A,FALSE,"EXPENSE ALLOCATIONS";"ALLOCATION3",#N/A,FALSE,"EXPENSE ALLOCATIONS";"ALLOCATION4",#N/A,FALSE,"EXPENSE ALLOCATIONS"}</definedName>
    <definedName name="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b18" hidden="1">{"Tages_D",#N/A,FALSE,"Tagesbericht";"Tages_PL",#N/A,FALSE,"Tagesbericht"}</definedName>
    <definedName name="____b19" hidden="1">{"Tages_D",#N/A,FALSE,"Tagesbericht";"Tages_PL",#N/A,FALSE,"Tagesbericht"}</definedName>
    <definedName name="____c" hidden="1">{"Fiesta Facer Page",#N/A,FALSE,"Q_C_S";"Fiesta Main Page",#N/A,FALSE,"V_L";"Fiesta 95BP Struct",#N/A,FALSE,"StructBP";"Fiesta Post 95BP Struct",#N/A,FALSE,"AdjStructBP"}</definedName>
    <definedName name="____CAP10" hidden="1">{"LC",#N/A,FALSE,"FC-15 Cap Expend"}</definedName>
    <definedName name="____cum1" hidden="1">{"SCM_Detail",#N/A,FALSE,"SCM";"SCM_Top",#N/A,FALSE,"SCM"}</definedName>
    <definedName name="____DF4" hidden="1">#REF!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P6434" hidden="1">{"TOTALDPAK",#N/A,FALSE,"DPAK PRODUCTION";"HADPAK",#N/A,FALSE,"DPAK PRODUCTION";"PSIDPAK",#N/A,FALSE,"DPAK PRODUCTION"}</definedName>
    <definedName name="____dsd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___eo2" hidden="1">{"'B1'!$B$3:$E$3"}</definedName>
    <definedName name="____eo4" hidden="1">{"'B1'!$B$3:$E$3"}</definedName>
    <definedName name="____ew10" hidden="1">{"'B1'!$B$3:$E$3"}</definedName>
    <definedName name="____ew2" hidden="1">{"'B1'!$B$3:$E$3"}</definedName>
    <definedName name="____ew3" hidden="1">{"'B1'!$B$3:$E$3"}</definedName>
    <definedName name="____ew4" hidden="1">{"'B1'!$B$3:$E$3"}</definedName>
    <definedName name="____ew5" hidden="1">{"'B1'!$B$3:$E$3"}</definedName>
    <definedName name="____ew6" hidden="1">{"'B1'!$B$3:$E$3"}</definedName>
    <definedName name="____ew8" hidden="1">{"'B1'!$B$3:$E$3"}</definedName>
    <definedName name="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guv1" hidden="1">{"K GuV o. Kommentar",#N/A,FALSE,"Kaufhof"}</definedName>
    <definedName name="____guv3" hidden="1">{"K GuV o. Kommentar",#N/A,FALSE,"Kaufhof"}</definedName>
    <definedName name="____i3" hidden="1">{"vue1",#N/A,FALSE,"synthese";"vue2",#N/A,FALSE,"synthese"}</definedName>
    <definedName name="____key3" hidden="1">#REF!</definedName>
    <definedName name="____LG2" hidden="1">{#N/A,#N/A,TRUE,"매출진척-1";#N/A,#N/A,TRUE,"매출진척-2";#N/A,#N/A,TRUE,"제품실적";#N/A,#N/A,TRUE,"RAC";#N/A,#N/A,TRUE,"PAC ";#N/A,#N/A,TRUE,"재고현황";#N/A,#N/A,TRUE,"공지사항"}</definedName>
    <definedName name="____na2" hidden="1">{"'SIVA Pricing Model'!$A$1:$F$39"}</definedName>
    <definedName name="____na3" hidden="1">{"'SIVA Pricing Model'!$A$1:$F$39"}</definedName>
    <definedName name="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new3" hidden="1">{"FY98Q1 nvs",#N/A,FALSE,"FY98 - Q1";"FY98Q2 nvs",#N/A,FALSE,"FY98 - Q2";"FY98Q3 nvs",#N/A,FALSE,"FY98 - Q3";"FY98Q4 nvs",#N/A,FALSE,"FY98 - Q4"}</definedName>
    <definedName name="____new4" hidden="1">{"INPUT",#N/A,FALSE,"REVENUE AND GM ";"CONTROL",#N/A,FALSE,"REVENUE AND GM ";"SWITCH",#N/A,FALSE,"REVENUE AND GM ";"OUTPUT",#N/A,FALSE,"REVENUE AND GM ";"TOTAL",#N/A,FALSE,"REVENUE AND GM "}</definedName>
    <definedName name="____new5" hidden="1">{"FY97Total",#N/A,FALSE,"FY97 - Total";"FY98Total",#N/A,FALSE,"FY98 - Total"}</definedName>
    <definedName name="____new6" hidden="1">{"FY97Q1",#N/A,FALSE,"FY97 - Q1";"FY97Q2",#N/A,FALSE,"FY97 - Q2";"FY97Q3",#N/A,FALSE,"FY97 - Q3";"FY97Q4",#N/A,FALSE,"FY97 - Q4"}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SX2" hidden="1">{"Area1",#N/A,FALSE,"OREWACC";"Area2",#N/A,FALSE,"OREWACC"}</definedName>
    <definedName name="____P2" hidden="1">{#N/A,#N/A,FALSE,"단축1";#N/A,#N/A,FALSE,"단축2";#N/A,#N/A,FALSE,"단축3";#N/A,#N/A,FALSE,"장축";#N/A,#N/A,FALSE,"4WD"}</definedName>
    <definedName name="____q3" hidden="1">#REF!</definedName>
    <definedName name="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SDW1" hidden="1">#REF!</definedName>
    <definedName name="____t1" hidden="1">{#N/A,#N/A,FALSE,"1996PL";#N/A,#N/A,FALSE,"1997PL";#N/A,#N/A,FALSE,"1998PL";#N/A,#N/A,FALSE,"1999PL"}</definedName>
    <definedName name="____T2" hidden="1">{#N/A,#N/A,FALSE,"단축1";#N/A,#N/A,FALSE,"단축2";#N/A,#N/A,FALSE,"단축3";#N/A,#N/A,FALSE,"장축";#N/A,#N/A,FALSE,"4WD"}</definedName>
    <definedName name="____T3" hidden="1">{#N/A,#N/A,FALSE,"단축1";#N/A,#N/A,FALSE,"단축2";#N/A,#N/A,FALSE,"단축3";#N/A,#N/A,FALSE,"장축";#N/A,#N/A,FALSE,"4WD"}</definedName>
    <definedName name="____T5" hidden="1">{#N/A,#N/A,FALSE,"단축1";#N/A,#N/A,FALSE,"단축2";#N/A,#N/A,FALSE,"단축3";#N/A,#N/A,FALSE,"장축";#N/A,#N/A,FALSE,"4WD"}</definedName>
    <definedName name="____TEM6434" hidden="1">{"ALLOCATION1",#N/A,FALSE,"EXPENSE ALLOCATIONS";"ALLOCATION2",#N/A,FALSE,"EXPENSE ALLOCATIONS";"ALLOCATION3",#N/A,FALSE,"EXPENSE ALLOCATIONS";"ALLOCATION4",#N/A,FALSE,"EXPENSE ALLOCATIONS"}</definedName>
    <definedName name="____Tes6" hidden="1">{"'SIVA Pricing Model'!$A$1:$F$39"}</definedName>
    <definedName name="____u18" hidden="1">{"Tages_D",#N/A,FALSE,"Tagesbericht";"Tages_PL",#N/A,FALSE,"Tagesbericht"}</definedName>
    <definedName name="____u20" hidden="1">{"fleisch",#N/A,FALSE,"WG HK";"food",#N/A,FALSE,"WG HK";"hartwaren",#N/A,FALSE,"WG HK";"weichwaren",#N/A,FALSE,"WG HK"}</definedName>
    <definedName name="____wrm3" hidden="1">{"vue1",#N/A,FALSE,"synthese";"vue2",#N/A,FALSE,"synthese"}</definedName>
    <definedName name="____wrn2" hidden="1">{"vue1",#N/A,FALSE,"synthese";"vue2",#N/A,FALSE,"synthese"}</definedName>
    <definedName name="____wrn3" hidden="1">{"vue1",#N/A,FALSE,"synthese";"vue2",#N/A,FALSE,"synthese"}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G2" hidden="1">{#N/A,#N/A,FALSE,"단축1";#N/A,#N/A,FALSE,"단축2";#N/A,#N/A,FALSE,"단축3";#N/A,#N/A,FALSE,"장축";#N/A,#N/A,FALSE,"4WD"}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" hidden="1">{"mgmt forecast",#N/A,FALSE,"Mgmt Forecast";"dcf table",#N/A,FALSE,"Mgmt Forecast";"sensitivity",#N/A,FALSE,"Mgmt Forecast";"table inputs",#N/A,FALSE,"Mgmt Forecast";"calculations",#N/A,FALSE,"Mgmt Forecast"}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A11" hidden="1">{#N/A,#N/A,FALSE,"Umsatz 99";#N/A,#N/A,FALSE,"ER 99 "}</definedName>
    <definedName name="___a14" hidden="1">{"TAG1AGMS",#N/A,FALSE,"TAG 1A"}</definedName>
    <definedName name="___a15" hidden="1">{"weichwaren",#N/A,FALSE,"Liste 1";"hartwaren",#N/A,FALSE,"Liste 1";"food",#N/A,FALSE,"Liste 1";"fleisch",#N/A,FALSE,"Liste 1"}</definedName>
    <definedName name="___a16" hidden="1">{"weichwaren",#N/A,FALSE,"Liste 1";"hartwaren",#N/A,FALSE,"Liste 1";"food",#N/A,FALSE,"Liste 1";"fleisch",#N/A,FALSE,"Liste 1"}</definedName>
    <definedName name="___a17" hidden="1">{"TAG1AGMS",#N/A,FALSE,"TAG 1A"}</definedName>
    <definedName name="___a18" hidden="1">{"Tages_D",#N/A,FALSE,"Tagesbericht";"Tages_PL",#N/A,FALSE,"Tagesbericht"}</definedName>
    <definedName name="___a19" hidden="1">{"fleisch",#N/A,FALSE,"WG HK";"food",#N/A,FALSE,"WG HK";"hartwaren",#N/A,FALSE,"WG HK";"weichwaren",#N/A,FALSE,"WG HK"}</definedName>
    <definedName name="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a33" hidden="1">{"fleisch",#N/A,FALSE,"WG HK";"food",#N/A,FALSE,"WG HK";"hartwaren",#N/A,FALSE,"WG HK";"weichwaren",#N/A,FALSE,"WG HK"}</definedName>
    <definedName name="___a36" hidden="1">{"Accretion",#N/A,FALSE,"Assum"}</definedName>
    <definedName name="___a37" hidden="1">{#N/A,#N/A,TRUE,"Lines";#N/A,#N/A,TRUE,"Stations";#N/A,#N/A,TRUE,"Cap. Expenses";#N/A,#N/A,TRUE,"Land";#N/A,#N/A,TRUE,"Cen Proces Sys";#N/A,#N/A,TRUE,"telecom";#N/A,#N/A,TRUE,"Other"}</definedName>
    <definedName name="___a38" hidden="1">{"Assumptions",#N/A,FALSE,"Assum"}</definedName>
    <definedName name="___a39" hidden="1">{#N/A,#N/A,FALSE,"CAG"}</definedName>
    <definedName name="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40" hidden="1">{#N/A,#N/A,FALSE,"CPB"}</definedName>
    <definedName name="___a41" hidden="1">{#N/A,#N/A,FALSE,"Credit Summary"}</definedName>
    <definedName name="___a42" hidden="1">{"FCB_ALL",#N/A,FALSE,"FCB"}</definedName>
    <definedName name="___a43" hidden="1">{"FCB_ALL",#N/A,FALSE,"FCB"}</definedName>
    <definedName name="__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_a45" hidden="1">{#N/A,#N/A,FALSE,"GIS"}</definedName>
    <definedName name="___a46" hidden="1">{#N/A,#N/A,TRUE,"Cover His PWC";#N/A,#N/A,TRUE,"P&amp;L";#N/A,#N/A,TRUE,"BS";#N/A,#N/A,TRUE,"Depreciation";#N/A,#N/A,TRUE,"GRAPHS";#N/A,#N/A,TRUE,"DCF EBITDA Multiple";#N/A,#N/A,TRUE,"DCF Perpetual Growth"}</definedName>
    <definedName name="___a47" hidden="1">{#N/A,#N/A,TRUE,"Cover His T";#N/A,#N/A,TRUE,"P&amp;L";#N/A,#N/A,TRUE,"BS";#N/A,#N/A,TRUE,"Depreciation";#N/A,#N/A,TRUE,"GRAPHS";#N/A,#N/A,TRUE,"DCF EBITDA Multiple";#N/A,#N/A,TRUE,"DCF Perpetual Growth"}</definedName>
    <definedName name="___a48" hidden="1">{#N/A,#N/A,FALSE,"HNZ"}</definedName>
    <definedName name="__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a50" hidden="1">{#N/A,#N/A,FALSE,"K"}</definedName>
    <definedName name="__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_a52" hidden="1">{#N/A,#N/A,FALSE,"MCCRK"}</definedName>
    <definedName name="___a53" hidden="1">{#N/A,#N/A,FALSE,"NA"}</definedName>
    <definedName name="___a54" hidden="1">{"cap_structure",#N/A,FALSE,"Graph-Mkt Cap";"price",#N/A,FALSE,"Graph-Price";"ebit",#N/A,FALSE,"Graph-EBITDA";"ebitda",#N/A,FALSE,"Graph-EBITDA"}</definedName>
    <definedName name="___a55" hidden="1">{"Tages_D",#N/A,FALSE,"Tagesbericht";"Tages_PL",#N/A,FALSE,"Tagesbericht"}</definedName>
    <definedName name="___a56" hidden="1">{"summary1",#N/A,TRUE,"Comps";"summary2",#N/A,TRUE,"Comps";"summary3",#N/A,TRUE,"Comps"}</definedName>
    <definedName name="___a57" hidden="1">{"summary1",#N/A,TRUE,"Comps";"summary2",#N/A,TRUE,"Comps";"summary3",#N/A,TRUE,"Comps"}</definedName>
    <definedName name="___a58" hidden="1">{#N/A,"DR",FALSE,"increm pf";#N/A,"MAMSI",FALSE,"increm pf";#N/A,"MAXI",FALSE,"increm pf";#N/A,"PCAM",FALSE,"increm pf";#N/A,"PHSV",FALSE,"increm pf";#N/A,"SIE",FALSE,"increm pf"}</definedName>
    <definedName name="__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_a61" hidden="1">{#N/A,#N/A,FALSE,"Trading Summary"}</definedName>
    <definedName name="___a63" hidden="1">{#N/A,#N/A,FALSE,"WWY"}</definedName>
    <definedName name="__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_a66" hidden="1">{"TAG1AGMS",#N/A,FALSE,"TAG 1A"}</definedName>
    <definedName name="__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a22" hidden="1">{"Tages_D",#N/A,FALSE,"Tagesbericht";"Tages_PL",#N/A,FALSE,"Tagesbericht"}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ALL6434" hidden="1">{"ALLOCATION1",#N/A,FALSE,"EXPENSE ALLOCATIONS";"ALLOCATION2",#N/A,FALSE,"EXPENSE ALLOCATIONS";"ALLOCATION3",#N/A,FALSE,"EXPENSE ALLOCATIONS";"ALLOCATION4",#N/A,FALSE,"EXPENSE ALLOCATIONS"}</definedName>
    <definedName name="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b18" hidden="1">{"Tages_D",#N/A,FALSE,"Tagesbericht";"Tages_PL",#N/A,FALSE,"Tagesbericht"}</definedName>
    <definedName name="___b19" hidden="1">{"Tages_D",#N/A,FALSE,"Tagesbericht";"Tages_PL",#N/A,FALSE,"Tagesbericht"}</definedName>
    <definedName name="_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c" hidden="1">{#N/A,#N/A,FALSE,"Layout Cash Flow"}</definedName>
    <definedName name="___CAP10" hidden="1">{"LC",#N/A,FALSE,"FC-15 Cap Expend"}</definedName>
    <definedName name="___cum1" hidden="1">{"SCM_Detail",#N/A,FALSE,"SCM";"SCM_Top",#N/A,FALSE,"SCM"}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F4" hidden="1">#REF!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P6434" hidden="1">{"TOTALDPAK",#N/A,FALSE,"DPAK PRODUCTION";"HADPAK",#N/A,FALSE,"DPAK PRODUCTION";"PSIDPAK",#N/A,FALSE,"DPAK PRODUCTION"}</definedName>
    <definedName name="___eo2" hidden="1">{"'B1'!$B$3:$E$3"}</definedName>
    <definedName name="___eo4" hidden="1">{"'B1'!$B$3:$E$3"}</definedName>
    <definedName name="___ew10" hidden="1">{"'B1'!$B$3:$E$3"}</definedName>
    <definedName name="___ew2" hidden="1">{"'B1'!$B$3:$E$3"}</definedName>
    <definedName name="___ew3" hidden="1">{"'B1'!$B$3:$E$3"}</definedName>
    <definedName name="___ew4" hidden="1">{"'B1'!$B$3:$E$3"}</definedName>
    <definedName name="___ew5" hidden="1">{"'B1'!$B$3:$E$3"}</definedName>
    <definedName name="___ew6" hidden="1">{"'B1'!$B$3:$E$3"}</definedName>
    <definedName name="___ew8" hidden="1">{"'B1'!$B$3:$E$3"}</definedName>
    <definedName name="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fy97" hidden="1">{#N/A,#N/A,FALSE,"FY97";#N/A,#N/A,FALSE,"FY98";#N/A,#N/A,FALSE,"FY99";#N/A,#N/A,FALSE,"FY00";#N/A,#N/A,FALSE,"FY01"}</definedName>
    <definedName name="___gh1" hidden="1">{"'Data'!$A$1:$D$17"}</definedName>
    <definedName name="___guv1" hidden="1">{"K GuV o. Kommentar",#N/A,FALSE,"Kaufhof"}</definedName>
    <definedName name="___guv3" hidden="1">{"K GuV o. Kommentar",#N/A,FALSE,"Kaufhof"}</definedName>
    <definedName name="___key3" hidden="1">#REF!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mai99" hidden="1">{"en FRF",#N/A,FALSE,"fév99";"en €uros",#N/A,FALSE,"fév99"}</definedName>
    <definedName name="___mds_description___" hidden="1">"Demo Template"</definedName>
    <definedName name="___na2" hidden="1">{"'SIVA Pricing Model'!$A$1:$F$39"}</definedName>
    <definedName name="___na3" hidden="1">{"'SIVA Pricing Model'!$A$1:$F$39"}</definedName>
    <definedName name="___New2" hidden="1">{"TOTAL",#N/A,FALSE,"A";"FISCAL94",#N/A,FALSE,"A";"FISCAL95",#N/A,FALSE,"A";"FISCAL96",#N/A,FALSE,"A";"misc page",#N/A,FALSE,"A"}</definedName>
    <definedName name="___new3" hidden="1">{"FY98Q1 nvs",#N/A,FALSE,"FY98 - Q1";"FY98Q2 nvs",#N/A,FALSE,"FY98 - Q2";"FY98Q3 nvs",#N/A,FALSE,"FY98 - Q3";"FY98Q4 nvs",#N/A,FALSE,"FY98 - Q4"}</definedName>
    <definedName name="___new4" hidden="1">{"INPUT",#N/A,FALSE,"REVENUE AND GM ";"CONTROL",#N/A,FALSE,"REVENUE AND GM ";"SWITCH",#N/A,FALSE,"REVENUE AND GM ";"OUTPUT",#N/A,FALSE,"REVENUE AND GM ";"TOTAL",#N/A,FALSE,"REVENUE AND GM "}</definedName>
    <definedName name="___new5" hidden="1">{"FY97Total",#N/A,FALSE,"FY97 - Total";"FY98Total",#N/A,FALSE,"FY98 - Total"}</definedName>
    <definedName name="___new6" hidden="1">{"FY97Q1",#N/A,FALSE,"FY97 - Q1";"FY97Q2",#N/A,FALSE,"FY97 - Q2";"FY97Q3",#N/A,FALSE,"FY97 - Q3";"FY97Q4",#N/A,FALSE,"FY97 - Q4"}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SX2" hidden="1">{"Area1",#N/A,FALSE,"OREWACC";"Area2",#N/A,FALSE,"OREWACC"}</definedName>
    <definedName name="___P2" hidden="1">{#N/A,#N/A,FALSE,"단축1";#N/A,#N/A,FALSE,"단축2";#N/A,#N/A,FALSE,"단축3";#N/A,#N/A,FALSE,"장축";#N/A,#N/A,FALSE,"4WD"}</definedName>
    <definedName name="___q3" hidden="1">#REF!</definedName>
    <definedName name="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r" hidden="1">{"consolidated",#N/A,FALSE,"Sheet1";"cms",#N/A,FALSE,"Sheet1";"fse",#N/A,FALSE,"Sheet1"}</definedName>
    <definedName name="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SDW1" hidden="1">#REF!</definedName>
    <definedName name="___t1" hidden="1">{#N/A,#N/A,FALSE,"1996PL";#N/A,#N/A,FALSE,"1997PL";#N/A,#N/A,FALSE,"1998PL";#N/A,#N/A,FALSE,"1999PL"}</definedName>
    <definedName name="___T2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EM6434" hidden="1">{"ALLOCATION1",#N/A,FALSE,"EXPENSE ALLOCATIONS";"ALLOCATION2",#N/A,FALSE,"EXPENSE ALLOCATIONS";"ALLOCATION3",#N/A,FALSE,"EXPENSE ALLOCATIONS";"ALLOCATION4",#N/A,FALSE,"EXPENSE ALLOCATIONS"}</definedName>
    <definedName name="___Tes6" hidden="1">{"'SIVA Pricing Model'!$A$1:$F$39"}</definedName>
    <definedName name="___u18" hidden="1">{"Tages_D",#N/A,FALSE,"Tagesbericht";"Tages_PL",#N/A,FALSE,"Tagesbericht"}</definedName>
    <definedName name="___u20" hidden="1">{"fleisch",#N/A,FALSE,"WG HK";"food",#N/A,FALSE,"WG HK";"hartwaren",#N/A,FALSE,"WG HK";"weichwaren",#N/A,FALSE,"WG HK"}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w2" hidden="1">{#N/A,#N/A,FALSE,"Admin";#N/A,#N/A,FALSE,"Other"}</definedName>
    <definedName name="___XG2" hidden="1">{#N/A,#N/A,FALSE,"단축1";#N/A,#N/A,FALSE,"단축2";#N/A,#N/A,FALSE,"단축3";#N/A,#N/A,FALSE,"장축";#N/A,#N/A,FALSE,"4WD"}</definedName>
    <definedName name="___z" hidden="1">{"mgmt forecast",#N/A,FALSE,"Mgmt Forecast";"dcf table",#N/A,FALSE,"Mgmt Forecast";"sensitivity",#N/A,FALSE,"Mgmt Forecast";"table inputs",#N/A,FALSE,"Mgmt Forecast";"calculations",#N/A,FALSE,"Mgmt Forecast"}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__123Graph_ACHART_1" hidden="1">#REF!</definedName>
    <definedName name="__10__123Graph_CCHART_3" hidden="1">#REF!</definedName>
    <definedName name="__11__123Graph_CCHART_8" hidden="1">#REF!</definedName>
    <definedName name="__12__123Graph_DCHART_1" hidden="1">#REF!</definedName>
    <definedName name="__123Graph_A" hidden="1">#REF!</definedName>
    <definedName name="__123Graph_AANNUAL" hidden="1">#REF!</definedName>
    <definedName name="__123Graph_ABEEFINDEXES" hidden="1">#REF!</definedName>
    <definedName name="__123Graph_ACOMP" hidden="1">#REF!</definedName>
    <definedName name="__123Graph_ACurrent" hidden="1">#REF!</definedName>
    <definedName name="__123Graph_AGRAPH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3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PH_EXPIRE" hidden="1">#REF!</definedName>
    <definedName name="__123Graph_AHISTORY" hidden="1">#REF!</definedName>
    <definedName name="__123Graph_AKNS" hidden="1">#REF!</definedName>
    <definedName name="__123Graph_AKVS" hidden="1">#REF!</definedName>
    <definedName name="__123Graph_AMEATEXP" hidden="1">#REF!</definedName>
    <definedName name="__123Graph_APREZZI1" hidden="1">#REF!</definedName>
    <definedName name="__123Graph_APREZZI1A" hidden="1">#REF!</definedName>
    <definedName name="__123Graph_APREZZI2" hidden="1">#REF!</definedName>
    <definedName name="__123Graph_APREZZI2A" hidden="1">#REF!</definedName>
    <definedName name="__123Graph_APREZZI3" hidden="1">#REF!</definedName>
    <definedName name="__123Graph_APREZZI3A" hidden="1">#REF!</definedName>
    <definedName name="__123Graph_APREZZI4" hidden="1">#REF!</definedName>
    <definedName name="__123Graph_APREZZI4A" hidden="1">#REF!</definedName>
    <definedName name="__123Graph_APREZZI5" hidden="1">#REF!</definedName>
    <definedName name="__123Graph_APREZZI5A" hidden="1">#REF!</definedName>
    <definedName name="__123Graph_APREZZI6" hidden="1">#REF!</definedName>
    <definedName name="__123Graph_APREZZI6A" hidden="1">#REF!</definedName>
    <definedName name="__123Graph_APREZZI7" hidden="1">#REF!</definedName>
    <definedName name="__123Graph_APREZZI7A" hidden="1">#REF!</definedName>
    <definedName name="__123Graph_APROCEEDS" hidden="1">#REF!</definedName>
    <definedName name="__123Graph_ASALEPIE" hidden="1">#REF!</definedName>
    <definedName name="__123Graph_ASALESTREND" hidden="1">#REF!</definedName>
    <definedName name="__123Graph_ATURKNR" hidden="1">#REF!</definedName>
    <definedName name="__123Graph_AUNIT" hidden="1">#REF!</definedName>
    <definedName name="__123Graph_A収益" hidden="1">#REF!</definedName>
    <definedName name="__123Graph_B" hidden="1">#REF!</definedName>
    <definedName name="__123Graph_BBEEFINDEXES" hidden="1">#REF!</definedName>
    <definedName name="__123Graph_BBEEFNR" hidden="1">#REF!</definedName>
    <definedName name="__123Graph_BCOMP" hidden="1">#REF!</definedName>
    <definedName name="__123Graph_BCurrent" hidden="1">#REF!</definedName>
    <definedName name="__123Graph_BFUEL" hidden="1">#REF!</definedName>
    <definedName name="__123Graph_BGRAPH" hidden="1">#REF!</definedName>
    <definedName name="__123Graph_BGraph8" hidden="1">#REF!</definedName>
    <definedName name="__123Graph_BMEATEXP" hidden="1">#REF!</definedName>
    <definedName name="__123Graph_BPORKNR" hidden="1">#REF!</definedName>
    <definedName name="__123Graph_BPROCEEDS" hidden="1">#REF!</definedName>
    <definedName name="__123Graph_BTURKNR" hidden="1">#REF!</definedName>
    <definedName name="__123Graph_BUNIT" hidden="1">#REF!</definedName>
    <definedName name="__123Graph_B収益" hidden="1">#REF!</definedName>
    <definedName name="__123Graph_C" hidden="1">#REF!</definedName>
    <definedName name="__123Graph_CCOMP" hidden="1">#REF!</definedName>
    <definedName name="__123Graph_CCurrent" hidden="1">#REF!</definedName>
    <definedName name="__123Graph_CGraph8" hidden="1">#REF!</definedName>
    <definedName name="__123Graph_CPROCEEDS" hidden="1">#REF!</definedName>
    <definedName name="__123Graph_D" hidden="1">#REF!</definedName>
    <definedName name="__123Graph_DCOMP" hidden="1">#REF!</definedName>
    <definedName name="__123Graph_DCurrent" hidden="1">#REF!</definedName>
    <definedName name="__123Graph_DGraph8" hidden="1">#REF!</definedName>
    <definedName name="__123Graph_E" hidden="1">#REF!</definedName>
    <definedName name="__123Graph_ECOMP" hidden="1">#REF!</definedName>
    <definedName name="__123Graph_ECurrent" hidden="1">#REF!</definedName>
    <definedName name="__123Graph_F" hidden="1">#REF!</definedName>
    <definedName name="__123Graph_FMEATEXP" hidden="1">#REF!</definedName>
    <definedName name="__123Graph_LBL_A" hidden="1">#REF!</definedName>
    <definedName name="__123Graph_LBL_ACOMP" hidden="1">#REF!</definedName>
    <definedName name="__123Graph_LBL_AGraph1" hidden="1">#REF!</definedName>
    <definedName name="__123Graph_LBL_AHISTORY" hidden="1">#REF!</definedName>
    <definedName name="__123Graph_LBL_ASALESTREND" hidden="1">#REF!</definedName>
    <definedName name="__123Graph_LBL_B" hidden="1">#REF!</definedName>
    <definedName name="__123Graph_LBL_BCOMP" hidden="1">#REF!</definedName>
    <definedName name="__123Graph_LBL_BGraph1" hidden="1">#REF!</definedName>
    <definedName name="__123Graph_LBL_C" hidden="1">#N/A</definedName>
    <definedName name="__123Graph_LBL_CCOMP" hidden="1">#REF!</definedName>
    <definedName name="__123Graph_LBL_D" hidden="1">#N/A</definedName>
    <definedName name="__123Graph_LBL_DCOMP" hidden="1">#REF!</definedName>
    <definedName name="__123Graph_LBL_ECOMP" hidden="1">#REF!</definedName>
    <definedName name="__123Graph_X" hidden="1">#REF!</definedName>
    <definedName name="__123Graph_XANNUAL" hidden="1">#REF!</definedName>
    <definedName name="__123Graph_XBEEFBROIL" hidden="1">#REF!</definedName>
    <definedName name="__123Graph_XBEEFINDEXES" hidden="1">#REF!</definedName>
    <definedName name="__123Graph_XCOMP" hidden="1">#REF!</definedName>
    <definedName name="__123Graph_XCPIS" hidden="1">#REF!</definedName>
    <definedName name="__123Graph_XCPISSHORT" hidden="1">#REF!</definedName>
    <definedName name="__123Graph_XCurrent" hidden="1">#REF!</definedName>
    <definedName name="__123Graph_XGRAPH" hidden="1">#REF!</definedName>
    <definedName name="__123Graph_XGraph11" hidden="1">#REF!</definedName>
    <definedName name="__123Graph_XGraph3" hidden="1">#REF!</definedName>
    <definedName name="__123Graph_XGraph5" hidden="1">#REF!</definedName>
    <definedName name="__123Graph_XGRPH_EXPIRE" hidden="1">#REF!</definedName>
    <definedName name="__123Graph_XHISTORY" hidden="1">#REF!</definedName>
    <definedName name="__123Graph_XKNS" hidden="1">#REF!</definedName>
    <definedName name="__123Graph_XKVS" hidden="1">#REF!</definedName>
    <definedName name="__123Graph_XMEATEXP" hidden="1">#REF!</definedName>
    <definedName name="__123Graph_XPORKBROIL" hidden="1">#REF!</definedName>
    <definedName name="__123Graph_XPREZZI1" hidden="1">#REF!</definedName>
    <definedName name="__123Graph_XPREZZI1A" hidden="1">#REF!</definedName>
    <definedName name="__123Graph_XPREZZI2" hidden="1">#REF!</definedName>
    <definedName name="__123Graph_XPREZZI2A" hidden="1">#REF!</definedName>
    <definedName name="__123Graph_XPREZZI3" hidden="1">#REF!</definedName>
    <definedName name="__123Graph_XPREZZI3A" hidden="1">#REF!</definedName>
    <definedName name="__123Graph_XPREZZI4" hidden="1">#REF!</definedName>
    <definedName name="__123Graph_XPREZZI4A" hidden="1">#REF!</definedName>
    <definedName name="__123Graph_XPREZZI5" hidden="1">#REF!</definedName>
    <definedName name="__123Graph_XPREZZI5A" hidden="1">#REF!</definedName>
    <definedName name="__123Graph_XPREZZI6" hidden="1">#REF!</definedName>
    <definedName name="__123Graph_XPREZZI6A" hidden="1">#REF!</definedName>
    <definedName name="__123Graph_XPREZZI7" hidden="1">#REF!</definedName>
    <definedName name="__123Graph_XPREZZI7A" hidden="1">#REF!</definedName>
    <definedName name="__123Graph_XPROCEEDS" hidden="1">#REF!</definedName>
    <definedName name="__123Graph_XSALEPIE" hidden="1">#REF!</definedName>
    <definedName name="__123Graph_XSALESTREND" hidden="1">#REF!</definedName>
    <definedName name="__123Graph_XTURKNR" hidden="1">#REF!</definedName>
    <definedName name="__123Graph_XUNIT" hidden="1">#REF!</definedName>
    <definedName name="__123Graph_X収益" hidden="1">#REF!</definedName>
    <definedName name="__13__123Graph_DCHART_8" hidden="1">#REF!</definedName>
    <definedName name="__14__123Graph_LBL_ACHART_3" hidden="1">#REF!</definedName>
    <definedName name="__15__123Graph_LBL_ACHART_4" hidden="1">#REF!</definedName>
    <definedName name="__16__123Graph_LBL_BCHART_3" hidden="1">#REF!</definedName>
    <definedName name="__17__123Graph_LBL_BCHART_4" hidden="1">#REF!</definedName>
    <definedName name="__18__123Graph_LBL_CCHART_3" hidden="1">#REF!</definedName>
    <definedName name="__19__123Graph_XCHART_1" hidden="1">#REF!</definedName>
    <definedName name="__2__123Graph_ACHART_3" hidden="1">#REF!</definedName>
    <definedName name="__20__123Graph_XCHART_3" hidden="1">#REF!</definedName>
    <definedName name="__21__123Graph_XCHART_4" hidden="1">#REF!</definedName>
    <definedName name="__22__123Graph_XCHART_8" hidden="1">#REF!</definedName>
    <definedName name="__3__123Graph_ACHART_4" hidden="1">#REF!</definedName>
    <definedName name="__4__123Graph_ACHART_8" hidden="1">#REF!</definedName>
    <definedName name="__4_123Grap" hidden="1">#REF!</definedName>
    <definedName name="__5__123Graph_BCHART_1" hidden="1">#REF!</definedName>
    <definedName name="__6__123Graph_BCHART_3" hidden="1">#REF!</definedName>
    <definedName name="__7__123Graph_BCHART_4" hidden="1">#REF!</definedName>
    <definedName name="__8__123Graph_BCHART_8" hidden="1">#REF!</definedName>
    <definedName name="__9__123Graph_CCHART_1" hidden="1">#REF!</definedName>
    <definedName name="__a1" hidden="1">{#N/A,#N/A,FALSE,"Pharm";#N/A,#N/A,FALSE,"WWCM"}</definedName>
    <definedName name="__A11" hidden="1">{#N/A,#N/A,FALSE,"Umsatz 99";#N/A,#N/A,FALSE,"ER 99 "}</definedName>
    <definedName name="__a14" hidden="1">{"TAG1AGMS",#N/A,FALSE,"TAG 1A"}</definedName>
    <definedName name="__a15" hidden="1">{"weichwaren",#N/A,FALSE,"Liste 1";"hartwaren",#N/A,FALSE,"Liste 1";"food",#N/A,FALSE,"Liste 1";"fleisch",#N/A,FALSE,"Liste 1"}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2" hidden="1">#REF!</definedName>
    <definedName name="__a3" hidden="1">#REF!</definedName>
    <definedName name="__a33" hidden="1">{"fleisch",#N/A,FALSE,"WG HK";"food",#N/A,FALSE,"WG HK";"hartwaren",#N/A,FALSE,"WG HK";"weichwaren",#N/A,FALSE,"WG HK"}</definedName>
    <definedName name="_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_A5" hidden="1">{"andy_p",#N/A,FALSE,"A";"andy_s",#N/A,FALSE,"A"}</definedName>
    <definedName name="__a55" hidden="1">{"Tages_D",#N/A,FALSE,"Tagesbericht";"Tages_PL",#N/A,FALSE,"Tagesbericht"}</definedName>
    <definedName name="_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_a66" hidden="1">{"TAG1AGMS",#N/A,FALSE,"TAG 1A"}</definedName>
    <definedName name="_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_A9" hidden="1">{"SUMM",#N/A,TRUE,"C";"ACT_PROD",#N/A,TRUE,"A";"ACT_SHIP",#N/A,TRUE,"A";"BP_YLD",#N/A,TRUE,"B";"ACTZ_PROD",#N/A,TRUE,"D";"ACTZ_SHIP",#N/A,TRUE,"D";"ACTZ_YLD",#N/A,TRUE,"E";"CPSI_PROD",#N/A,TRUE,"F";"CPSI_SHIP",#N/A,TRUE,"F"}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22" hidden="1">{"Tages_D",#N/A,FALSE,"Tagesbericht";"Tages_PL",#N/A,FALSE,"Tagesbericht"}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a1" hidden="1">{#N/A,#N/A,FALSE,"Model";#N/A,#N/A,FALSE,"Division"}</definedName>
    <definedName name="__aas1" hidden="1">{#N/A,#N/A,FALSE,"REPORT"}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e2" hidden="1">{"'Inventory &amp; Anal-Cur Wkbk'!$A$7:$AP$71"}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LL6434" hidden="1">{"ALLOCATION1",#N/A,FALSE,"EXPENSE ALLOCATIONS";"ALLOCATION2",#N/A,FALSE,"EXPENSE ALLOCATIONS";"ALLOCATION3",#N/A,FALSE,"EXPENSE ALLOCATIONS";"ALLOCATION4",#N/A,FALSE,"EXPENSE ALLOCATIONS"}</definedName>
    <definedName name="__ap2" hidden="1">{"detail",#N/A,FALSE,"mfg";"summary",#N/A,FALSE,"mfg"}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#REF!,#REF!</definedName>
    <definedName name="__APW_RESTORE_DATA1000__" hidden="1">#REF!,#REF!,#REF!,#REF!,#REF!,#REF!,#REF!,#REF!,#REF!,#REF!,#REF!,#REF!,#REF!,#REF!,#REF!</definedName>
    <definedName name="__APW_RESTORE_DATA1001__" hidden="1">#REF!,#REF!,#REF!,#REF!,#REF!,#REF!,#REF!,#REF!,#REF!,#REF!,#REF!,#REF!,#REF!,#REF!,#REF!</definedName>
    <definedName name="__APW_RESTORE_DATA1002__" hidden="1">#REF!,#REF!,#REF!,#REF!,#REF!,#REF!,#REF!,#REF!,#REF!,#REF!,#REF!,#REF!,#REF!,#REF!,#REF!</definedName>
    <definedName name="__APW_RESTORE_DATA1003__" hidden="1">#REF!,#REF!,#REF!,#REF!,#REF!,#REF!,#REF!,#REF!,#REF!,#REF!,#REF!,#REF!,#REF!,#REF!,#REF!</definedName>
    <definedName name="__APW_RESTORE_DATA1004__" hidden="1">#REF!,#REF!,#REF!,#REF!,#REF!,#REF!</definedName>
    <definedName name="__APW_RESTORE_DATA1005__" hidden="1">#REF!</definedName>
    <definedName name="__APW_RESTORE_DATA1006__" hidden="1">#REF!</definedName>
    <definedName name="__APW_RESTORE_DATA1008__" hidden="1">#REF!</definedName>
    <definedName name="__APW_RESTORE_DATA1009__" hidden="1">#REF!,#REF!,#REF!,#REF!,#REF!,#REF!,#REF!,#REF!,#REF!,#REF!,#REF!,#REF!,#REF!,#REF!,#REF!,#REF!</definedName>
    <definedName name="__APW_RESTORE_DATA101__" hidden="1">#REF!,#REF!,#REF!,#REF!,#REF!,#REF!,#REF!,#REF!,#REF!,#REF!,#REF!,#REF!,#REF!,#REF!,#REF!</definedName>
    <definedName name="__APW_RESTORE_DATA1010__" hidden="1">#REF!,#REF!,#REF!,#REF!,#REF!,#REF!,#REF!,#REF!,#REF!,#REF!,#REF!,#REF!,#REF!,#REF!,#REF!,#REF!</definedName>
    <definedName name="__APW_RESTORE_DATA1011__" hidden="1">#REF!,#REF!,#REF!,#REF!,#REF!,#REF!,#REF!,#REF!,#REF!,#REF!,#REF!,#REF!,#REF!,#REF!,#REF!,#REF!</definedName>
    <definedName name="__APW_RESTORE_DATA1012__" hidden="1">#REF!,#REF!,#REF!,#REF!,#REF!,#REF!,#REF!,#REF!,#REF!,#REF!,#REF!,#REF!,#REF!,#REF!,#REF!,#REF!</definedName>
    <definedName name="__APW_RESTORE_DATA1013__" hidden="1">#REF!,#REF!,#REF!,#REF!,#REF!,#REF!,#REF!,#REF!,#REF!,#REF!,#REF!,#REF!,#REF!,#REF!,#REF!,#REF!</definedName>
    <definedName name="__APW_RESTORE_DATA1014__" hidden="1">#REF!,#REF!,#REF!,#REF!,#REF!,#REF!,#REF!,#REF!,#REF!,#REF!,#REF!,#REF!,#REF!,#REF!,#REF!,#REF!</definedName>
    <definedName name="__APW_RESTORE_DATA1015__" hidden="1">#REF!,#REF!,#REF!,#REF!,#REF!,#REF!,#REF!,#REF!,#REF!,#REF!,#REF!,#REF!,#REF!,#REF!,#REF!</definedName>
    <definedName name="__APW_RESTORE_DATA1016__" hidden="1">#REF!,#REF!,#REF!,#REF!,#REF!,#REF!,#REF!,#REF!,#REF!,#REF!,#REF!,#REF!,#REF!,#REF!,#REF!</definedName>
    <definedName name="__APW_RESTORE_DATA1017__" hidden="1">#REF!,#REF!,#REF!,#REF!,#REF!,#REF!,#REF!,#REF!,#REF!,#REF!,#REF!,#REF!,#REF!,#REF!,#REF!</definedName>
    <definedName name="__APW_RESTORE_DATA1018__" hidden="1">#REF!,#REF!,#REF!,#REF!,#REF!,#REF!,#REF!,#REF!,#REF!,#REF!,#REF!,#REF!,#REF!,#REF!,#REF!</definedName>
    <definedName name="__APW_RESTORE_DATA1019__" hidden="1">#REF!,#REF!,#REF!,#REF!,#REF!,#REF!,#REF!,#REF!,#REF!,#REF!,#REF!,#REF!,#REF!,#REF!,#REF!</definedName>
    <definedName name="__APW_RESTORE_DATA102__" hidden="1">#REF!,#REF!,#REF!,#REF!,#REF!,#REF!,#REF!,#REF!,#REF!,#REF!,#REF!,#REF!,#REF!,#REF!,#REF!</definedName>
    <definedName name="__APW_RESTORE_DATA1020__" hidden="1">#REF!,#REF!,#REF!,#REF!,#REF!,#REF!,#REF!,#REF!,#REF!,#REF!,#REF!,#REF!,#REF!,#REF!,#REF!</definedName>
    <definedName name="__APW_RESTORE_DATA1021__" hidden="1">#REF!,#REF!,#REF!,#REF!,#REF!,#REF!,#REF!,#REF!,#REF!,#REF!,#REF!,#REF!,#REF!,#REF!,#REF!</definedName>
    <definedName name="__APW_RESTORE_DATA1022__" hidden="1">#REF!,#REF!,#REF!,#REF!,#REF!,#REF!,#REF!,#REF!,#REF!,#REF!,#REF!,#REF!,#REF!,#REF!,#REF!</definedName>
    <definedName name="__APW_RESTORE_DATA1023__" hidden="1">#REF!,#REF!,#REF!,#REF!,#REF!,#REF!,#REF!,#REF!,#REF!,#REF!,#REF!,#REF!,#REF!,#REF!,#REF!</definedName>
    <definedName name="__APW_RESTORE_DATA1024__" hidden="1">#REF!,#REF!,#REF!,#REF!,#REF!,#REF!,#REF!,#REF!,#REF!,#REF!,#REF!,#REF!,#REF!,#REF!,#REF!</definedName>
    <definedName name="__APW_RESTORE_DATA1025__" hidden="1">#REF!,#REF!,#REF!,#REF!,#REF!,#REF!,#REF!,#REF!,#REF!,#REF!,#REF!,#REF!,#REF!,#REF!,#REF!</definedName>
    <definedName name="__APW_RESTORE_DATA1026__" hidden="1">#REF!,#REF!,#REF!,#REF!,#REF!,#REF!,#REF!,#REF!,#REF!,#REF!,#REF!,#REF!,#REF!,#REF!,#REF!</definedName>
    <definedName name="__APW_RESTORE_DATA1027__" hidden="1">#REF!,#REF!,#REF!,#REF!,#REF!,#REF!,#REF!,#REF!,#REF!,#REF!,#REF!,#REF!,#REF!,#REF!,#REF!</definedName>
    <definedName name="__APW_RESTORE_DATA1028__" hidden="1">#REF!,#REF!,#REF!,#REF!,#REF!,#REF!,#REF!,#REF!,#REF!,#REF!,#REF!,#REF!,#REF!,#REF!,#REF!</definedName>
    <definedName name="__APW_RESTORE_DATA1029__" hidden="1">#REF!,#REF!,#REF!,#REF!,#REF!,#REF!,#REF!,#REF!,#REF!,#REF!,#REF!,#REF!,#REF!,#REF!,#REF!</definedName>
    <definedName name="__APW_RESTORE_DATA103__" hidden="1">#REF!,#REF!,#REF!,#REF!,#REF!,#REF!,#REF!,#REF!,#REF!,#REF!,#REF!,#REF!,#REF!,#REF!,#REF!</definedName>
    <definedName name="__APW_RESTORE_DATA1030__" hidden="1">#REF!,#REF!,#REF!,#REF!,#REF!,#REF!,#REF!,#REF!,#REF!,#REF!,#REF!,#REF!,#REF!,#REF!,#REF!</definedName>
    <definedName name="__APW_RESTORE_DATA1031__" hidden="1">#REF!,#REF!,#REF!,#REF!,#REF!,#REF!,#REF!,#REF!,#REF!,#REF!,#REF!,#REF!,#REF!,#REF!,#REF!</definedName>
    <definedName name="__APW_RESTORE_DATA1032__" hidden="1">#REF!,#REF!,#REF!,#REF!,#REF!,#REF!,#REF!,#REF!,#REF!,#REF!,#REF!,#REF!,#REF!,#REF!,#REF!</definedName>
    <definedName name="__APW_RESTORE_DATA1033__" hidden="1">#REF!,#REF!,#REF!,#REF!,#REF!,#REF!,#REF!,#REF!,#REF!,#REF!,#REF!,#REF!,#REF!,#REF!,#REF!</definedName>
    <definedName name="__APW_RESTORE_DATA1034__" hidden="1">#REF!,#REF!,#REF!,#REF!,#REF!,#REF!,#REF!,#REF!,#REF!,#REF!,#REF!,#REF!,#REF!,#REF!,#REF!</definedName>
    <definedName name="__APW_RESTORE_DATA1035__" hidden="1">#REF!,#REF!,#REF!,#REF!,#REF!,#REF!,#REF!,#REF!,#REF!,#REF!,#REF!,#REF!,#REF!,#REF!,#REF!</definedName>
    <definedName name="__APW_RESTORE_DATA1036__" hidden="1">#REF!,#REF!,#REF!,#REF!,#REF!,#REF!,#REF!,#REF!,#REF!,#REF!,#REF!,#REF!,#REF!,#REF!,#REF!</definedName>
    <definedName name="__APW_RESTORE_DATA1037__" hidden="1">#REF!,#REF!,#REF!,#REF!,#REF!,#REF!,#REF!,#REF!,#REF!,#REF!,#REF!,#REF!,#REF!,#REF!,#REF!</definedName>
    <definedName name="__APW_RESTORE_DATA1038__" hidden="1">#REF!,#REF!,#REF!,#REF!,#REF!,#REF!,#REF!,#REF!,#REF!,#REF!,#REF!,#REF!,#REF!,#REF!,#REF!</definedName>
    <definedName name="__APW_RESTORE_DATA1039__" hidden="1">#REF!,#REF!,#REF!,#REF!,#REF!,#REF!,#REF!,#REF!,#REF!,#REF!,#REF!,#REF!,#REF!,#REF!,#REF!</definedName>
    <definedName name="__APW_RESTORE_DATA104__" hidden="1">#REF!,#REF!,#REF!,#REF!,#REF!,#REF!,#REF!,#REF!,#REF!,#REF!,#REF!,#REF!,#REF!,#REF!,#REF!</definedName>
    <definedName name="__APW_RESTORE_DATA1040__" hidden="1">#REF!,#REF!,#REF!,#REF!,#REF!,#REF!,#REF!,#REF!,#REF!,#REF!,#REF!,#REF!,#REF!,#REF!,#REF!</definedName>
    <definedName name="__APW_RESTORE_DATA1041__" hidden="1">#REF!,#REF!,#REF!,#REF!,#REF!,#REF!,#REF!,#REF!,#REF!,#REF!,#REF!,#REF!,#REF!,#REF!,#REF!</definedName>
    <definedName name="__APW_RESTORE_DATA1042__" hidden="1">#REF!,#REF!,#REF!,#REF!,#REF!,#REF!,#REF!,#REF!,#REF!,#REF!,#REF!,#REF!,#REF!,#REF!,#REF!</definedName>
    <definedName name="__APW_RESTORE_DATA1043__" hidden="1">#REF!,#REF!,#REF!,#REF!,#REF!,#REF!</definedName>
    <definedName name="__APW_RESTORE_DATA1044__" hidden="1">#REF!,#REF!,#REF!,#REF!,#REF!,#REF!,#REF!,#REF!,#REF!,#REF!,#REF!,#REF!,#REF!,#REF!,#REF!,#REF!</definedName>
    <definedName name="__APW_RESTORE_DATA1045__" hidden="1">#REF!,#REF!,#REF!,#REF!,#REF!,#REF!,#REF!,#REF!,#REF!,#REF!,#REF!,#REF!,#REF!,#REF!,#REF!,#REF!</definedName>
    <definedName name="__APW_RESTORE_DATA1046__" hidden="1">#REF!,#REF!,#REF!,#REF!,#REF!,#REF!,#REF!,#REF!,#REF!,#REF!,#REF!,#REF!,#REF!,#REF!,#REF!,#REF!</definedName>
    <definedName name="__APW_RESTORE_DATA1047__" hidden="1">#REF!,#REF!,#REF!,#REF!,#REF!,#REF!,#REF!,#REF!,#REF!,#REF!,#REF!,#REF!,#REF!,#REF!,#REF!,#REF!</definedName>
    <definedName name="__APW_RESTORE_DATA1048__" hidden="1">#REF!,#REF!,#REF!,#REF!,#REF!,#REF!,#REF!,#REF!,#REF!,#REF!,#REF!,#REF!,#REF!,#REF!,#REF!,#REF!</definedName>
    <definedName name="__APW_RESTORE_DATA1049__" hidden="1">#REF!,#REF!,#REF!,#REF!,#REF!,#REF!,#REF!,#REF!,#REF!,#REF!,#REF!,#REF!,#REF!,#REF!,#REF!,#REF!</definedName>
    <definedName name="__APW_RESTORE_DATA105__" hidden="1">#REF!,#REF!,#REF!,#REF!,#REF!,#REF!,#REF!,#REF!,#REF!,#REF!,#REF!,#REF!,#REF!,#REF!,#REF!</definedName>
    <definedName name="__APW_RESTORE_DATA1050__" hidden="1">#REF!,#REF!,#REF!,#REF!,#REF!,#REF!,#REF!,#REF!,#REF!,#REF!,#REF!,#REF!,#REF!,#REF!,#REF!</definedName>
    <definedName name="__APW_RESTORE_DATA1051__" hidden="1">#REF!,#REF!,#REF!,#REF!,#REF!,#REF!,#REF!,#REF!,#REF!,#REF!,#REF!,#REF!,#REF!,#REF!,#REF!</definedName>
    <definedName name="__APW_RESTORE_DATA1052__" hidden="1">#REF!,#REF!,#REF!,#REF!,#REF!,#REF!,#REF!,#REF!,#REF!,#REF!,#REF!,#REF!,#REF!,#REF!,#REF!</definedName>
    <definedName name="__APW_RESTORE_DATA1053__" hidden="1">#REF!,#REF!,#REF!,#REF!,#REF!,#REF!,#REF!,#REF!,#REF!,#REF!,#REF!,#REF!,#REF!,#REF!,#REF!</definedName>
    <definedName name="__APW_RESTORE_DATA1054__" hidden="1">#REF!,#REF!,#REF!,#REF!,#REF!,#REF!,#REF!,#REF!,#REF!,#REF!,#REF!,#REF!,#REF!,#REF!,#REF!</definedName>
    <definedName name="__APW_RESTORE_DATA1055__" hidden="1">#REF!,#REF!,#REF!,#REF!,#REF!,#REF!,#REF!,#REF!,#REF!,#REF!,#REF!,#REF!,#REF!,#REF!,#REF!</definedName>
    <definedName name="__APW_RESTORE_DATA1056__" hidden="1">#REF!,#REF!,#REF!,#REF!,#REF!,#REF!,#REF!,#REF!,#REF!,#REF!,#REF!,#REF!,#REF!,#REF!,#REF!</definedName>
    <definedName name="__APW_RESTORE_DATA1057__" hidden="1">#REF!,#REF!,#REF!,#REF!,#REF!,#REF!,#REF!,#REF!,#REF!,#REF!,#REF!,#REF!,#REF!,#REF!,#REF!</definedName>
    <definedName name="__APW_RESTORE_DATA1058__" hidden="1">#REF!,#REF!,#REF!,#REF!,#REF!,#REF!,#REF!,#REF!,#REF!,#REF!,#REF!,#REF!,#REF!,#REF!,#REF!</definedName>
    <definedName name="__APW_RESTORE_DATA1059__" hidden="1">#REF!,#REF!,#REF!,#REF!,#REF!,#REF!,#REF!,#REF!,#REF!,#REF!,#REF!,#REF!,#REF!,#REF!,#REF!</definedName>
    <definedName name="__APW_RESTORE_DATA106__" hidden="1">#REF!,#REF!,#REF!,#REF!,#REF!,#REF!,#REF!,#REF!,#REF!,#REF!,#REF!,#REF!,#REF!,#REF!,#REF!</definedName>
    <definedName name="__APW_RESTORE_DATA1060__" hidden="1">#REF!,#REF!,#REF!,#REF!,#REF!,#REF!,#REF!,#REF!,#REF!,#REF!,#REF!,#REF!,#REF!,#REF!,#REF!</definedName>
    <definedName name="__APW_RESTORE_DATA1061__" hidden="1">#REF!,#REF!,#REF!,#REF!,#REF!,#REF!,#REF!,#REF!,#REF!,#REF!,#REF!,#REF!,#REF!,#REF!,#REF!</definedName>
    <definedName name="__APW_RESTORE_DATA1062__" hidden="1">#REF!,#REF!,#REF!,#REF!,#REF!,#REF!,#REF!,#REF!,#REF!,#REF!,#REF!,#REF!,#REF!,#REF!,#REF!</definedName>
    <definedName name="__APW_RESTORE_DATA1063__" hidden="1">#REF!,#REF!,#REF!,#REF!,#REF!,#REF!,#REF!,#REF!,#REF!,#REF!,#REF!,#REF!,#REF!,#REF!,#REF!</definedName>
    <definedName name="__APW_RESTORE_DATA1064__" hidden="1">#REF!,#REF!,#REF!,#REF!,#REF!,#REF!,#REF!,#REF!,#REF!,#REF!,#REF!,#REF!,#REF!,#REF!,#REF!</definedName>
    <definedName name="__APW_RESTORE_DATA1065__" hidden="1">#REF!,#REF!,#REF!,#REF!,#REF!,#REF!,#REF!,#REF!,#REF!,#REF!,#REF!,#REF!,#REF!,#REF!,#REF!</definedName>
    <definedName name="__APW_RESTORE_DATA1066__" hidden="1">#REF!,#REF!,#REF!,#REF!,#REF!,#REF!,#REF!,#REF!,#REF!,#REF!,#REF!,#REF!,#REF!,#REF!,#REF!</definedName>
    <definedName name="__APW_RESTORE_DATA1067__" hidden="1">#REF!,#REF!,#REF!,#REF!,#REF!,#REF!,#REF!,#REF!,#REF!,#REF!,#REF!,#REF!,#REF!,#REF!,#REF!</definedName>
    <definedName name="__APW_RESTORE_DATA1068__" hidden="1">#REF!,#REF!,#REF!,#REF!,#REF!,#REF!,#REF!,#REF!,#REF!,#REF!,#REF!,#REF!,#REF!,#REF!,#REF!</definedName>
    <definedName name="__APW_RESTORE_DATA1069__" hidden="1">#REF!,#REF!,#REF!,#REF!,#REF!,#REF!,#REF!,#REF!,#REF!,#REF!,#REF!,#REF!,#REF!,#REF!,#REF!</definedName>
    <definedName name="__APW_RESTORE_DATA107__" hidden="1">#REF!,#REF!,#REF!,#REF!,#REF!,#REF!,#REF!,#REF!,#REF!,#REF!,#REF!,#REF!,#REF!,#REF!,#REF!</definedName>
    <definedName name="__APW_RESTORE_DATA1070__" hidden="1">#REF!,#REF!,#REF!,#REF!,#REF!,#REF!,#REF!,#REF!,#REF!,#REF!,#REF!,#REF!,#REF!,#REF!,#REF!</definedName>
    <definedName name="__APW_RESTORE_DATA1071__" hidden="1">#REF!,#REF!,#REF!,#REF!,#REF!,#REF!,#REF!,#REF!,#REF!,#REF!,#REF!,#REF!,#REF!,#REF!,#REF!</definedName>
    <definedName name="__APW_RESTORE_DATA1072__" hidden="1">#REF!,#REF!,#REF!,#REF!,#REF!,#REF!,#REF!,#REF!,#REF!,#REF!,#REF!,#REF!,#REF!,#REF!,#REF!</definedName>
    <definedName name="__APW_RESTORE_DATA1073__" hidden="1">#REF!,#REF!,#REF!,#REF!,#REF!,#REF!,#REF!,#REF!,#REF!,#REF!,#REF!,#REF!,#REF!,#REF!,#REF!</definedName>
    <definedName name="__APW_RESTORE_DATA1074__" hidden="1">#REF!,#REF!,#REF!,#REF!,#REF!,#REF!,#REF!,#REF!,#REF!,#REF!,#REF!,#REF!,#REF!,#REF!,#REF!</definedName>
    <definedName name="__APW_RESTORE_DATA1075__" hidden="1">#REF!,#REF!,#REF!,#REF!,#REF!,#REF!,#REF!,#REF!,#REF!,#REF!,#REF!,#REF!,#REF!,#REF!,#REF!</definedName>
    <definedName name="__APW_RESTORE_DATA1076__" hidden="1">#REF!,#REF!,#REF!,#REF!,#REF!,#REF!,#REF!,#REF!,#REF!,#REF!,#REF!,#REF!,#REF!,#REF!,#REF!</definedName>
    <definedName name="__APW_RESTORE_DATA1077__" hidden="1">#REF!,#REF!,#REF!,#REF!,#REF!,#REF!,#REF!,#REF!,#REF!,#REF!,#REF!,#REF!,#REF!,#REF!,#REF!</definedName>
    <definedName name="__APW_RESTORE_DATA1078__" hidden="1">#REF!,#REF!,#REF!,#REF!,#REF!,#REF!</definedName>
    <definedName name="__APW_RESTORE_DATA1079__" hidden="1">#REF!,#REF!,#REF!,#REF!,#REF!,#REF!,#REF!,#REF!,#REF!,#REF!,#REF!,#REF!,#REF!,#REF!,#REF!,#REF!</definedName>
    <definedName name="__APW_RESTORE_DATA108__" hidden="1">#REF!,#REF!,#REF!,#REF!,#REF!,#REF!,#REF!,#REF!,#REF!,#REF!,#REF!,#REF!,#REF!,#REF!,#REF!</definedName>
    <definedName name="__APW_RESTORE_DATA1080__" hidden="1">#REF!,#REF!,#REF!,#REF!,#REF!,#REF!,#REF!,#REF!,#REF!,#REF!,#REF!,#REF!,#REF!,#REF!,#REF!,#REF!</definedName>
    <definedName name="__APW_RESTORE_DATA1081__" hidden="1">#REF!,#REF!,#REF!,#REF!,#REF!,#REF!,#REF!,#REF!,#REF!,#REF!,#REF!,#REF!,#REF!,#REF!,#REF!,#REF!</definedName>
    <definedName name="__APW_RESTORE_DATA1082__" hidden="1">#REF!,#REF!,#REF!,#REF!,#REF!,#REF!,#REF!,#REF!,#REF!,#REF!,#REF!,#REF!,#REF!,#REF!,#REF!,#REF!</definedName>
    <definedName name="__APW_RESTORE_DATA1083__" hidden="1">#REF!,#REF!,#REF!,#REF!,#REF!,#REF!,#REF!,#REF!,#REF!,#REF!,#REF!,#REF!,#REF!,#REF!,#REF!,#REF!</definedName>
    <definedName name="__APW_RESTORE_DATA1084__" hidden="1">#REF!,#REF!,#REF!,#REF!,#REF!,#REF!,#REF!,#REF!,#REF!,#REF!,#REF!,#REF!,#REF!,#REF!,#REF!,#REF!</definedName>
    <definedName name="__APW_RESTORE_DATA1085__" hidden="1">#REF!,#REF!,#REF!,#REF!,#REF!,#REF!,#REF!,#REF!,#REF!,#REF!,#REF!,#REF!,#REF!,#REF!,#REF!</definedName>
    <definedName name="__APW_RESTORE_DATA1086__" hidden="1">#REF!,#REF!,#REF!,#REF!,#REF!,#REF!,#REF!,#REF!,#REF!,#REF!,#REF!,#REF!,#REF!,#REF!,#REF!</definedName>
    <definedName name="__APW_RESTORE_DATA1087__" hidden="1">#REF!,#REF!,#REF!,#REF!,#REF!,#REF!,#REF!,#REF!,#REF!,#REF!,#REF!,#REF!,#REF!,#REF!,#REF!</definedName>
    <definedName name="__APW_RESTORE_DATA1088__" hidden="1">#REF!,#REF!,#REF!,#REF!,#REF!,#REF!,#REF!,#REF!,#REF!,#REF!,#REF!,#REF!,#REF!,#REF!,#REF!</definedName>
    <definedName name="__APW_RESTORE_DATA1089__" hidden="1">#REF!,#REF!,#REF!,#REF!,#REF!,#REF!,#REF!,#REF!,#REF!,#REF!,#REF!,#REF!,#REF!,#REF!,#REF!</definedName>
    <definedName name="__APW_RESTORE_DATA109__" hidden="1">#REF!,#REF!,#REF!,#REF!,#REF!,#REF!,#REF!</definedName>
    <definedName name="__APW_RESTORE_DATA1090__" hidden="1">#REF!,#REF!,#REF!,#REF!,#REF!,#REF!,#REF!,#REF!,#REF!,#REF!,#REF!,#REF!,#REF!,#REF!,#REF!</definedName>
    <definedName name="__APW_RESTORE_DATA1091__" hidden="1">#REF!,#REF!,#REF!,#REF!,#REF!,#REF!,#REF!,#REF!,#REF!,#REF!,#REF!,#REF!,#REF!,#REF!,#REF!</definedName>
    <definedName name="__APW_RESTORE_DATA1092__" hidden="1">#REF!,#REF!,#REF!,#REF!,#REF!,#REF!,#REF!,#REF!,#REF!,#REF!,#REF!,#REF!,#REF!,#REF!,#REF!</definedName>
    <definedName name="__APW_RESTORE_DATA1093__" hidden="1">#REF!,#REF!,#REF!,#REF!,#REF!,#REF!,#REF!,#REF!,#REF!,#REF!,#REF!,#REF!,#REF!,#REF!,#REF!</definedName>
    <definedName name="__APW_RESTORE_DATA1094__" hidden="1">#REF!,#REF!,#REF!,#REF!,#REF!,#REF!,#REF!,#REF!,#REF!,#REF!,#REF!,#REF!,#REF!,#REF!,#REF!</definedName>
    <definedName name="__APW_RESTORE_DATA1095__" hidden="1">#REF!,#REF!,#REF!,#REF!,#REF!,#REF!,#REF!,#REF!,#REF!,#REF!,#REF!,#REF!,#REF!,#REF!,#REF!</definedName>
    <definedName name="__APW_RESTORE_DATA1096__" hidden="1">#REF!,#REF!,#REF!,#REF!,#REF!,#REF!,#REF!,#REF!,#REF!,#REF!,#REF!,#REF!,#REF!,#REF!,#REF!</definedName>
    <definedName name="__APW_RESTORE_DATA1097__" hidden="1">#REF!,#REF!,#REF!,#REF!,#REF!,#REF!,#REF!,#REF!,#REF!,#REF!,#REF!,#REF!,#REF!,#REF!,#REF!</definedName>
    <definedName name="__APW_RESTORE_DATA1098__" hidden="1">#REF!,#REF!,#REF!,#REF!,#REF!,#REF!,#REF!,#REF!,#REF!,#REF!,#REF!,#REF!,#REF!,#REF!,#REF!</definedName>
    <definedName name="__APW_RESTORE_DATA1099__" hidden="1">#REF!,#REF!,#REF!,#REF!,#REF!,#REF!,#REF!,#REF!,#REF!,#REF!,#REF!,#REF!,#REF!,#REF!,#REF!</definedName>
    <definedName name="__APW_RESTORE_DATA11__" hidden="1">#REF!</definedName>
    <definedName name="__APW_RESTORE_DATA110__" hidden="1">#REF!,#REF!,#REF!,#REF!,#REF!,#REF!,#REF!,#REF!,#REF!,#REF!,#REF!,#REF!,#REF!,#REF!,#REF!,#REF!</definedName>
    <definedName name="__APW_RESTORE_DATA1100__" hidden="1">#REF!,#REF!,#REF!,#REF!,#REF!,#REF!,#REF!,#REF!,#REF!,#REF!,#REF!,#REF!,#REF!,#REF!,#REF!</definedName>
    <definedName name="__APW_RESTORE_DATA1101__" hidden="1">#REF!,#REF!,#REF!,#REF!,#REF!,#REF!,#REF!,#REF!,#REF!,#REF!,#REF!,#REF!,#REF!,#REF!,#REF!</definedName>
    <definedName name="__APW_RESTORE_DATA1102__" hidden="1">#REF!,#REF!,#REF!,#REF!,#REF!,#REF!,#REF!,#REF!,#REF!,#REF!,#REF!,#REF!,#REF!,#REF!,#REF!</definedName>
    <definedName name="__APW_RESTORE_DATA1103__" hidden="1">#REF!,#REF!,#REF!,#REF!,#REF!,#REF!,#REF!,#REF!,#REF!,#REF!,#REF!,#REF!,#REF!,#REF!,#REF!</definedName>
    <definedName name="__APW_RESTORE_DATA1104__" hidden="1">#REF!,#REF!,#REF!,#REF!,#REF!,#REF!,#REF!,#REF!,#REF!,#REF!,#REF!,#REF!,#REF!,#REF!,#REF!</definedName>
    <definedName name="__APW_RESTORE_DATA1105__" hidden="1">#REF!,#REF!,#REF!,#REF!,#REF!,#REF!,#REF!,#REF!,#REF!,#REF!,#REF!,#REF!,#REF!,#REF!,#REF!</definedName>
    <definedName name="__APW_RESTORE_DATA1106__" hidden="1">#REF!,#REF!,#REF!,#REF!,#REF!,#REF!,#REF!,#REF!,#REF!,#REF!,#REF!,#REF!,#REF!,#REF!,#REF!</definedName>
    <definedName name="__APW_RESTORE_DATA1107__" hidden="1">#REF!,#REF!,#REF!,#REF!,#REF!,#REF!,#REF!,#REF!,#REF!,#REF!,#REF!,#REF!,#REF!,#REF!,#REF!</definedName>
    <definedName name="__APW_RESTORE_DATA1108__" hidden="1">#REF!,#REF!,#REF!,#REF!,#REF!,#REF!,#REF!,#REF!,#REF!,#REF!,#REF!,#REF!,#REF!,#REF!,#REF!</definedName>
    <definedName name="__APW_RESTORE_DATA1109__" hidden="1">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10__" hidden="1">#REF!,#REF!,#REF!,#REF!,#REF!,#REF!,#REF!,#REF!,#REF!,#REF!,#REF!,#REF!,#REF!,#REF!,#REF!</definedName>
    <definedName name="__APW_RESTORE_DATA1111__" hidden="1">#REF!,#REF!,#REF!,#REF!,#REF!,#REF!,#REF!,#REF!,#REF!,#REF!,#REF!,#REF!,#REF!,#REF!,#REF!</definedName>
    <definedName name="__APW_RESTORE_DATA1112__" hidden="1">#REF!,#REF!,#REF!,#REF!,#REF!,#REF!,#REF!,#REF!,#REF!,#REF!,#REF!,#REF!,#REF!,#REF!,#REF!</definedName>
    <definedName name="__APW_RESTORE_DATA1113__" hidden="1">#REF!,#REF!,#REF!,#REF!,#REF!,#REF!</definedName>
    <definedName name="__APW_RESTORE_DATA1114__" hidden="1">#REF!,#REF!,#REF!,#REF!,#REF!,#REF!,#REF!,#REF!,#REF!,#REF!,#REF!,#REF!,#REF!,#REF!,#REF!,#REF!</definedName>
    <definedName name="__APW_RESTORE_DATA1115__" hidden="1">#REF!,#REF!,#REF!,#REF!,#REF!,#REF!,#REF!,#REF!,#REF!,#REF!,#REF!,#REF!,#REF!,#REF!,#REF!,#REF!</definedName>
    <definedName name="__APW_RESTORE_DATA1116__" hidden="1">#REF!,#REF!,#REF!,#REF!,#REF!,#REF!,#REF!,#REF!,#REF!,#REF!,#REF!,#REF!,#REF!,#REF!,#REF!,#REF!</definedName>
    <definedName name="__APW_RESTORE_DATA1117__" hidden="1">#REF!,#REF!,#REF!,#REF!,#REF!,#REF!,#REF!,#REF!,#REF!,#REF!,#REF!,#REF!,#REF!,#REF!,#REF!,#REF!</definedName>
    <definedName name="__APW_RESTORE_DATA1118__" hidden="1">#REF!,#REF!,#REF!,#REF!,#REF!,#REF!,#REF!,#REF!,#REF!,#REF!,#REF!,#REF!,#REF!,#REF!,#REF!,#REF!</definedName>
    <definedName name="__APW_RESTORE_DATA1119__" hidden="1">#REF!,#REF!,#REF!,#REF!,#REF!,#REF!,#REF!,#REF!,#REF!,#REF!,#REF!,#REF!,#REF!,#REF!,#REF!,#REF!</definedName>
    <definedName name="__APW_RESTORE_DATA112__" hidden="1">#REF!,#REF!,#REF!,#REF!,#REF!,#REF!,#REF!,#REF!,#REF!,#REF!,#REF!,#REF!,#REF!,#REF!,#REF!,#REF!</definedName>
    <definedName name="__APW_RESTORE_DATA1120__" hidden="1">#REF!,#REF!,#REF!,#REF!,#REF!,#REF!,#REF!,#REF!,#REF!,#REF!,#REF!,#REF!,#REF!,#REF!,#REF!</definedName>
    <definedName name="__APW_RESTORE_DATA1121__" hidden="1">#REF!,#REF!,#REF!,#REF!,#REF!,#REF!,#REF!,#REF!,#REF!,#REF!,#REF!,#REF!,#REF!,#REF!,#REF!</definedName>
    <definedName name="__APW_RESTORE_DATA1122__" hidden="1">#REF!,#REF!,#REF!,#REF!,#REF!,#REF!,#REF!,#REF!,#REF!,#REF!,#REF!,#REF!,#REF!,#REF!,#REF!</definedName>
    <definedName name="__APW_RESTORE_DATA1123__" hidden="1">#REF!,#REF!,#REF!,#REF!,#REF!,#REF!,#REF!,#REF!,#REF!,#REF!,#REF!,#REF!,#REF!,#REF!,#REF!</definedName>
    <definedName name="__APW_RESTORE_DATA1124__" hidden="1">#REF!,#REF!,#REF!,#REF!,#REF!,#REF!,#REF!,#REF!,#REF!,#REF!,#REF!,#REF!,#REF!,#REF!,#REF!</definedName>
    <definedName name="__APW_RESTORE_DATA1125__" hidden="1">#REF!,#REF!,#REF!,#REF!,#REF!,#REF!,#REF!,#REF!,#REF!,#REF!,#REF!,#REF!,#REF!,#REF!,#REF!</definedName>
    <definedName name="__APW_RESTORE_DATA1126__" hidden="1">#REF!,#REF!,#REF!,#REF!,#REF!,#REF!,#REF!,#REF!,#REF!,#REF!,#REF!,#REF!,#REF!,#REF!,#REF!</definedName>
    <definedName name="__APW_RESTORE_DATA1127__" hidden="1">#REF!,#REF!,#REF!,#REF!,#REF!,#REF!,#REF!,#REF!,#REF!,#REF!,#REF!,#REF!,#REF!,#REF!,#REF!</definedName>
    <definedName name="__APW_RESTORE_DATA1128__" hidden="1">#REF!,#REF!,#REF!,#REF!,#REF!,#REF!,#REF!,#REF!,#REF!,#REF!,#REF!,#REF!,#REF!,#REF!,#REF!</definedName>
    <definedName name="__APW_RESTORE_DATA1129__" hidden="1">#REF!,#REF!,#REF!,#REF!,#REF!,#REF!,#REF!,#REF!,#REF!,#REF!,#REF!,#REF!,#REF!,#REF!,#REF!</definedName>
    <definedName name="__APW_RESTORE_DATA113__" hidden="1">#REF!,#REF!,#REF!,#REF!,#REF!,#REF!,#REF!,#REF!,#REF!,#REF!,#REF!,#REF!,#REF!,#REF!,#REF!,#REF!</definedName>
    <definedName name="__APW_RESTORE_DATA1130__" hidden="1">#REF!,#REF!,#REF!,#REF!,#REF!,#REF!,#REF!,#REF!,#REF!,#REF!,#REF!,#REF!,#REF!,#REF!,#REF!</definedName>
    <definedName name="__APW_RESTORE_DATA1131__" hidden="1">#REF!,#REF!,#REF!,#REF!,#REF!,#REF!,#REF!,#REF!,#REF!,#REF!,#REF!,#REF!,#REF!,#REF!,#REF!</definedName>
    <definedName name="__APW_RESTORE_DATA1132__" hidden="1">#REF!,#REF!,#REF!,#REF!,#REF!,#REF!,#REF!,#REF!,#REF!,#REF!,#REF!,#REF!,#REF!,#REF!,#REF!</definedName>
    <definedName name="__APW_RESTORE_DATA1133__" hidden="1">#REF!,#REF!,#REF!,#REF!,#REF!,#REF!,#REF!,#REF!,#REF!,#REF!,#REF!,#REF!,#REF!,#REF!,#REF!</definedName>
    <definedName name="__APW_RESTORE_DATA1134__" hidden="1">#REF!,#REF!,#REF!,#REF!,#REF!,#REF!,#REF!,#REF!,#REF!,#REF!,#REF!,#REF!,#REF!,#REF!,#REF!</definedName>
    <definedName name="__APW_RESTORE_DATA1135__" hidden="1">#REF!,#REF!,#REF!,#REF!,#REF!,#REF!,#REF!,#REF!,#REF!,#REF!,#REF!,#REF!,#REF!,#REF!,#REF!</definedName>
    <definedName name="__APW_RESTORE_DATA1136__" hidden="1">#REF!,#REF!,#REF!,#REF!,#REF!,#REF!,#REF!,#REF!,#REF!,#REF!,#REF!,#REF!,#REF!,#REF!,#REF!</definedName>
    <definedName name="__APW_RESTORE_DATA1137__" hidden="1">#REF!,#REF!,#REF!,#REF!,#REF!,#REF!,#REF!,#REF!,#REF!,#REF!,#REF!,#REF!,#REF!,#REF!,#REF!</definedName>
    <definedName name="__APW_RESTORE_DATA1138__" hidden="1">#REF!,#REF!,#REF!,#REF!,#REF!,#REF!,#REF!,#REF!,#REF!,#REF!,#REF!,#REF!,#REF!,#REF!,#REF!</definedName>
    <definedName name="__APW_RESTORE_DATA1139__" hidden="1">#REF!,#REF!,#REF!,#REF!,#REF!,#REF!,#REF!,#REF!,#REF!,#REF!,#REF!,#REF!,#REF!,#REF!,#REF!</definedName>
    <definedName name="__APW_RESTORE_DATA114__" hidden="1">#REF!,#REF!,#REF!,#REF!,#REF!,#REF!,#REF!,#REF!,#REF!,#REF!,#REF!,#REF!,#REF!,#REF!,#REF!,#REF!</definedName>
    <definedName name="__APW_RESTORE_DATA1140__" hidden="1">#REF!,#REF!,#REF!,#REF!,#REF!,#REF!,#REF!,#REF!,#REF!,#REF!,#REF!,#REF!,#REF!,#REF!,#REF!</definedName>
    <definedName name="__APW_RESTORE_DATA1141__" hidden="1">#REF!,#REF!,#REF!,#REF!,#REF!,#REF!,#REF!,#REF!,#REF!,#REF!,#REF!,#REF!,#REF!,#REF!,#REF!</definedName>
    <definedName name="__APW_RESTORE_DATA1142__" hidden="1">#REF!,#REF!,#REF!,#REF!,#REF!,#REF!,#REF!,#REF!,#REF!,#REF!,#REF!,#REF!,#REF!,#REF!,#REF!</definedName>
    <definedName name="__APW_RESTORE_DATA1143__" hidden="1">#REF!,#REF!,#REF!,#REF!,#REF!,#REF!,#REF!,#REF!,#REF!,#REF!,#REF!,#REF!,#REF!,#REF!,#REF!</definedName>
    <definedName name="__APW_RESTORE_DATA1144__" hidden="1">#REF!,#REF!,#REF!,#REF!,#REF!,#REF!,#REF!,#REF!,#REF!,#REF!,#REF!,#REF!,#REF!,#REF!,#REF!</definedName>
    <definedName name="__APW_RESTORE_DATA1145__" hidden="1">#REF!,#REF!,#REF!,#REF!,#REF!,#REF!,#REF!,#REF!,#REF!,#REF!,#REF!,#REF!,#REF!,#REF!,#REF!</definedName>
    <definedName name="__APW_RESTORE_DATA1146__" hidden="1">#REF!,#REF!,#REF!,#REF!,#REF!,#REF!,#REF!,#REF!,#REF!,#REF!,#REF!,#REF!,#REF!,#REF!,#REF!</definedName>
    <definedName name="__APW_RESTORE_DATA1147__" hidden="1">#REF!,#REF!,#REF!,#REF!,#REF!,#REF!,#REF!,#REF!,#REF!,#REF!,#REF!,#REF!,#REF!,#REF!,#REF!</definedName>
    <definedName name="__APW_RESTORE_DATA1148__" hidden="1">#REF!,#REF!,#REF!,#REF!,#REF!,#REF!</definedName>
    <definedName name="__APW_RESTORE_DATA1149__" hidden="1">#REF!</definedName>
    <definedName name="__APW_RESTORE_DATA115__" hidden="1">#REF!,#REF!</definedName>
    <definedName name="__APW_RESTORE_DATA1151__" hidden="1">#REF!</definedName>
    <definedName name="__APW_RESTORE_DATA1152__" hidden="1">#REF!,#REF!,#REF!,#REF!,#REF!,#REF!,#REF!,#REF!,#REF!,#REF!,#REF!,#REF!,#REF!,#REF!,#REF!,#REF!</definedName>
    <definedName name="__APW_RESTORE_DATA1153__" hidden="1">#REF!,#REF!,#REF!,#REF!,#REF!,#REF!,#REF!,#REF!,#REF!,#REF!,#REF!,#REF!,#REF!,#REF!,#REF!,#REF!</definedName>
    <definedName name="__APW_RESTORE_DATA1154__" hidden="1">#REF!,#REF!,#REF!,#REF!,#REF!,#REF!,#REF!,#REF!,#REF!,#REF!,#REF!,#REF!,#REF!,#REF!,#REF!,#REF!</definedName>
    <definedName name="__APW_RESTORE_DATA1155__" hidden="1">#REF!,#REF!,#REF!,#REF!,#REF!,#REF!,#REF!,#REF!,#REF!,#REF!,#REF!,#REF!,#REF!,#REF!,#REF!,#REF!</definedName>
    <definedName name="__APW_RESTORE_DATA1156__" hidden="1">#REF!,#REF!,#REF!,#REF!,#REF!,#REF!,#REF!,#REF!,#REF!,#REF!,#REF!,#REF!,#REF!,#REF!,#REF!,#REF!</definedName>
    <definedName name="__APW_RESTORE_DATA1157__" hidden="1">#REF!,#REF!,#REF!,#REF!,#REF!,#REF!,#REF!,#REF!,#REF!,#REF!,#REF!,#REF!,#REF!,#REF!,#REF!,#REF!</definedName>
    <definedName name="__APW_RESTORE_DATA1158__" hidden="1">#REF!,#REF!,#REF!,#REF!,#REF!,#REF!,#REF!,#REF!,#REF!,#REF!,#REF!,#REF!,#REF!,#REF!,#REF!</definedName>
    <definedName name="__APW_RESTORE_DATA1159__" hidden="1">#REF!,#REF!,#REF!,#REF!,#REF!,#REF!,#REF!,#REF!,#REF!,#REF!,#REF!,#REF!,#REF!,#REF!,#REF!</definedName>
    <definedName name="__APW_RESTORE_DATA116__" hidden="1">#REF!,#REF!</definedName>
    <definedName name="__APW_RESTORE_DATA1160__" hidden="1">#REF!,#REF!,#REF!,#REF!,#REF!,#REF!,#REF!,#REF!,#REF!,#REF!,#REF!,#REF!,#REF!,#REF!,#REF!</definedName>
    <definedName name="__APW_RESTORE_DATA1161__" hidden="1">#REF!,#REF!,#REF!,#REF!,#REF!,#REF!,#REF!,#REF!,#REF!,#REF!,#REF!,#REF!,#REF!,#REF!,#REF!</definedName>
    <definedName name="__APW_RESTORE_DATA1162__" hidden="1">#REF!,#REF!,#REF!,#REF!,#REF!,#REF!,#REF!,#REF!,#REF!,#REF!,#REF!,#REF!,#REF!,#REF!,#REF!</definedName>
    <definedName name="__APW_RESTORE_DATA1163__" hidden="1">#REF!,#REF!,#REF!,#REF!,#REF!,#REF!,#REF!,#REF!,#REF!,#REF!,#REF!,#REF!,#REF!,#REF!,#REF!</definedName>
    <definedName name="__APW_RESTORE_DATA1164__" hidden="1">#REF!,#REF!,#REF!,#REF!,#REF!,#REF!,#REF!,#REF!,#REF!,#REF!,#REF!,#REF!,#REF!,#REF!,#REF!</definedName>
    <definedName name="__APW_RESTORE_DATA1165__" hidden="1">#REF!,#REF!,#REF!,#REF!,#REF!,#REF!,#REF!,#REF!,#REF!,#REF!,#REF!,#REF!,#REF!,#REF!,#REF!</definedName>
    <definedName name="__APW_RESTORE_DATA1166__" hidden="1">#REF!,#REF!,#REF!,#REF!,#REF!,#REF!,#REF!,#REF!,#REF!,#REF!,#REF!,#REF!,#REF!,#REF!,#REF!</definedName>
    <definedName name="__APW_RESTORE_DATA1167__" hidden="1">#REF!,#REF!,#REF!,#REF!,#REF!,#REF!,#REF!,#REF!,#REF!,#REF!,#REF!,#REF!,#REF!,#REF!,#REF!</definedName>
    <definedName name="__APW_RESTORE_DATA1168__" hidden="1">#REF!,#REF!,#REF!,#REF!,#REF!,#REF!,#REF!,#REF!,#REF!,#REF!,#REF!,#REF!,#REF!,#REF!,#REF!</definedName>
    <definedName name="__APW_RESTORE_DATA1169__" hidden="1">#REF!,#REF!,#REF!,#REF!,#REF!,#REF!,#REF!,#REF!,#REF!,#REF!,#REF!,#REF!,#REF!,#REF!,#REF!</definedName>
    <definedName name="__APW_RESTORE_DATA117__" hidden="1">#REF!,#REF!,#REF!,#REF!,#REF!,#REF!,#REF!,#REF!,#REF!,#REF!,#REF!,#REF!,#REF!,#REF!,#REF!</definedName>
    <definedName name="__APW_RESTORE_DATA1170__" hidden="1">#REF!,#REF!,#REF!,#REF!,#REF!,#REF!,#REF!,#REF!,#REF!,#REF!,#REF!,#REF!,#REF!,#REF!,#REF!</definedName>
    <definedName name="__APW_RESTORE_DATA1171__" hidden="1">#REF!,#REF!,#REF!,#REF!,#REF!,#REF!,#REF!,#REF!,#REF!,#REF!,#REF!,#REF!,#REF!,#REF!,#REF!</definedName>
    <definedName name="__APW_RESTORE_DATA1172__" hidden="1">#REF!,#REF!,#REF!,#REF!,#REF!,#REF!,#REF!,#REF!,#REF!,#REF!,#REF!,#REF!,#REF!,#REF!,#REF!</definedName>
    <definedName name="__APW_RESTORE_DATA1173__" hidden="1">#REF!,#REF!,#REF!,#REF!,#REF!,#REF!,#REF!,#REF!,#REF!,#REF!,#REF!,#REF!,#REF!,#REF!,#REF!</definedName>
    <definedName name="__APW_RESTORE_DATA1174__" hidden="1">#REF!,#REF!,#REF!,#REF!,#REF!,#REF!,#REF!,#REF!,#REF!,#REF!,#REF!,#REF!,#REF!,#REF!,#REF!</definedName>
    <definedName name="__APW_RESTORE_DATA1175__" hidden="1">#REF!,#REF!,#REF!,#REF!,#REF!,#REF!,#REF!,#REF!,#REF!,#REF!,#REF!,#REF!,#REF!,#REF!,#REF!</definedName>
    <definedName name="__APW_RESTORE_DATA1176__" hidden="1">#REF!,#REF!,#REF!,#REF!,#REF!,#REF!,#REF!,#REF!,#REF!,#REF!,#REF!,#REF!,#REF!,#REF!,#REF!</definedName>
    <definedName name="__APW_RESTORE_DATA1177__" hidden="1">#REF!,#REF!,#REF!,#REF!,#REF!,#REF!,#REF!,#REF!,#REF!,#REF!,#REF!,#REF!,#REF!,#REF!,#REF!</definedName>
    <definedName name="__APW_RESTORE_DATA1178__" hidden="1">#REF!,#REF!,#REF!,#REF!,#REF!,#REF!,#REF!,#REF!,#REF!,#REF!,#REF!,#REF!,#REF!,#REF!,#REF!</definedName>
    <definedName name="__APW_RESTORE_DATA1179__" hidden="1">#REF!,#REF!,#REF!,#REF!,#REF!,#REF!,#REF!,#REF!,#REF!,#REF!,#REF!,#REF!,#REF!,#REF!,#REF!</definedName>
    <definedName name="__APW_RESTORE_DATA118__" hidden="1">#REF!,#REF!,#REF!,#REF!,#REF!,#REF!,#REF!,#REF!,#REF!,#REF!,#REF!,#REF!,#REF!,#REF!,#REF!</definedName>
    <definedName name="__APW_RESTORE_DATA1180__" hidden="1">#REF!,#REF!,#REF!,#REF!,#REF!,#REF!,#REF!,#REF!,#REF!,#REF!,#REF!,#REF!,#REF!,#REF!,#REF!</definedName>
    <definedName name="__APW_RESTORE_DATA1181__" hidden="1">#REF!,#REF!,#REF!,#REF!,#REF!,#REF!,#REF!,#REF!,#REF!,#REF!,#REF!,#REF!,#REF!,#REF!,#REF!</definedName>
    <definedName name="__APW_RESTORE_DATA1182__" hidden="1">#REF!,#REF!,#REF!,#REF!,#REF!,#REF!,#REF!,#REF!,#REF!,#REF!,#REF!,#REF!,#REF!,#REF!,#REF!</definedName>
    <definedName name="__APW_RESTORE_DATA1183__" hidden="1">#REF!,#REF!,#REF!,#REF!,#REF!,#REF!,#REF!,#REF!,#REF!,#REF!,#REF!,#REF!,#REF!,#REF!,#REF!</definedName>
    <definedName name="__APW_RESTORE_DATA1184__" hidden="1">#REF!,#REF!,#REF!,#REF!,#REF!,#REF!,#REF!,#REF!,#REF!,#REF!,#REF!,#REF!,#REF!,#REF!,#REF!</definedName>
    <definedName name="__APW_RESTORE_DATA1185__" hidden="1">#REF!,#REF!,#REF!,#REF!,#REF!,#REF!,#REF!,#REF!,#REF!,#REF!,#REF!,#REF!,#REF!,#REF!,#REF!</definedName>
    <definedName name="__APW_RESTORE_DATA1186__" hidden="1">#REF!,#REF!,#REF!,#REF!,#REF!,#REF!</definedName>
    <definedName name="__APW_RESTORE_DATA1187__" hidden="1">#REF!,#REF!,#REF!,#REF!,#REF!,#REF!,#REF!,#REF!,#REF!,#REF!,#REF!,#REF!,#REF!,#REF!,#REF!,#REF!</definedName>
    <definedName name="__APW_RESTORE_DATA1188__" hidden="1">#REF!,#REF!,#REF!,#REF!,#REF!,#REF!,#REF!,#REF!,#REF!,#REF!,#REF!,#REF!,#REF!,#REF!,#REF!,#REF!</definedName>
    <definedName name="__APW_RESTORE_DATA1189__" hidden="1">#REF!,#REF!,#REF!,#REF!,#REF!,#REF!,#REF!,#REF!,#REF!,#REF!,#REF!,#REF!,#REF!,#REF!,#REF!,#REF!</definedName>
    <definedName name="__APW_RESTORE_DATA119__" hidden="1">#REF!,#REF!,#REF!,#REF!,#REF!,#REF!,#REF!,#REF!,#REF!,#REF!,#REF!,#REF!,#REF!,#REF!,#REF!</definedName>
    <definedName name="__APW_RESTORE_DATA1190__" hidden="1">#REF!,#REF!,#REF!,#REF!,#REF!,#REF!,#REF!,#REF!,#REF!,#REF!,#REF!,#REF!,#REF!,#REF!,#REF!,#REF!</definedName>
    <definedName name="__APW_RESTORE_DATA1191__" hidden="1">#REF!,#REF!,#REF!,#REF!,#REF!,#REF!,#REF!,#REF!,#REF!,#REF!,#REF!,#REF!,#REF!,#REF!,#REF!,#REF!</definedName>
    <definedName name="__APW_RESTORE_DATA1192__" hidden="1">#REF!,#REF!,#REF!,#REF!,#REF!,#REF!,#REF!,#REF!,#REF!,#REF!,#REF!,#REF!,#REF!,#REF!,#REF!,#REF!</definedName>
    <definedName name="__APW_RESTORE_DATA1193__" hidden="1">#REF!,#REF!,#REF!,#REF!,#REF!,#REF!,#REF!,#REF!,#REF!,#REF!,#REF!,#REF!,#REF!,#REF!,#REF!</definedName>
    <definedName name="__APW_RESTORE_DATA1194__" hidden="1">#REF!,#REF!,#REF!,#REF!,#REF!,#REF!,#REF!,#REF!,#REF!,#REF!,#REF!,#REF!,#REF!,#REF!,#REF!</definedName>
    <definedName name="__APW_RESTORE_DATA1195__" hidden="1">#REF!,#REF!,#REF!,#REF!,#REF!,#REF!,#REF!,#REF!,#REF!,#REF!,#REF!,#REF!,#REF!,#REF!,#REF!</definedName>
    <definedName name="__APW_RESTORE_DATA1196__" hidden="1">#REF!,#REF!,#REF!,#REF!,#REF!,#REF!,#REF!,#REF!,#REF!,#REF!,#REF!,#REF!,#REF!,#REF!,#REF!</definedName>
    <definedName name="__APW_RESTORE_DATA1197__" hidden="1">#REF!,#REF!,#REF!,#REF!,#REF!,#REF!,#REF!,#REF!,#REF!,#REF!,#REF!,#REF!,#REF!,#REF!,#REF!</definedName>
    <definedName name="__APW_RESTORE_DATA1198__" hidden="1">#REF!,#REF!,#REF!,#REF!,#REF!,#REF!,#REF!,#REF!,#REF!,#REF!,#REF!,#REF!,#REF!,#REF!,#REF!</definedName>
    <definedName name="__APW_RESTORE_DATA1199__" hidden="1">#REF!,#REF!,#REF!,#REF!,#REF!,#REF!,#REF!,#REF!,#REF!,#REF!,#REF!,#REF!,#REF!,#REF!,#REF!</definedName>
    <definedName name="__APW_RESTORE_DATA12__" hidden="1">#REF!,#REF!,#REF!,#REF!,#REF!,#REF!,#REF!,#REF!,#REF!,#REF!,#REF!,#REF!,#REF!,#REF!,#REF!,#REF!</definedName>
    <definedName name="__APW_RESTORE_DATA120__" hidden="1">#REF!,#REF!,#REF!,#REF!,#REF!,#REF!,#REF!,#REF!,#REF!,#REF!,#REF!,#REF!,#REF!,#REF!,#REF!</definedName>
    <definedName name="__APW_RESTORE_DATA1200__" hidden="1">#REF!,#REF!,#REF!,#REF!,#REF!,#REF!,#REF!,#REF!,#REF!,#REF!,#REF!,#REF!,#REF!,#REF!,#REF!</definedName>
    <definedName name="__APW_RESTORE_DATA1201__" hidden="1">#REF!,#REF!,#REF!,#REF!,#REF!,#REF!,#REF!,#REF!,#REF!,#REF!,#REF!,#REF!,#REF!,#REF!,#REF!</definedName>
    <definedName name="__APW_RESTORE_DATA1202__" hidden="1">#REF!,#REF!,#REF!,#REF!,#REF!,#REF!,#REF!,#REF!,#REF!,#REF!,#REF!,#REF!,#REF!,#REF!,#REF!</definedName>
    <definedName name="__APW_RESTORE_DATA1203__" hidden="1">#REF!,#REF!,#REF!,#REF!,#REF!,#REF!,#REF!,#REF!,#REF!,#REF!,#REF!,#REF!,#REF!,#REF!,#REF!</definedName>
    <definedName name="__APW_RESTORE_DATA1204__" hidden="1">#REF!,#REF!,#REF!,#REF!,#REF!,#REF!,#REF!,#REF!,#REF!,#REF!,#REF!,#REF!,#REF!,#REF!,#REF!</definedName>
    <definedName name="__APW_RESTORE_DATA1205__" hidden="1">#REF!,#REF!,#REF!,#REF!,#REF!,#REF!,#REF!,#REF!,#REF!,#REF!,#REF!,#REF!,#REF!,#REF!,#REF!</definedName>
    <definedName name="__APW_RESTORE_DATA1206__" hidden="1">#REF!,#REF!,#REF!,#REF!,#REF!,#REF!,#REF!,#REF!,#REF!,#REF!,#REF!,#REF!,#REF!,#REF!,#REF!</definedName>
    <definedName name="__APW_RESTORE_DATA1207__" hidden="1">#REF!,#REF!,#REF!,#REF!,#REF!,#REF!,#REF!,#REF!,#REF!,#REF!,#REF!,#REF!,#REF!,#REF!,#REF!</definedName>
    <definedName name="__APW_RESTORE_DATA1208__" hidden="1">#REF!,#REF!,#REF!,#REF!,#REF!,#REF!,#REF!,#REF!,#REF!,#REF!,#REF!,#REF!,#REF!,#REF!,#REF!</definedName>
    <definedName name="__APW_RESTORE_DATA1209__" hidden="1">#REF!,#REF!,#REF!,#REF!,#REF!,#REF!,#REF!,#REF!,#REF!,#REF!,#REF!,#REF!,#REF!,#REF!,#REF!</definedName>
    <definedName name="__APW_RESTORE_DATA121__" hidden="1">#REF!,#REF!,#REF!,#REF!,#REF!,#REF!,#REF!,#REF!,#REF!,#REF!,#REF!,#REF!,#REF!,#REF!,#REF!</definedName>
    <definedName name="__APW_RESTORE_DATA1210__" hidden="1">#REF!,#REF!,#REF!,#REF!,#REF!,#REF!,#REF!,#REF!,#REF!,#REF!,#REF!,#REF!,#REF!,#REF!,#REF!</definedName>
    <definedName name="__APW_RESTORE_DATA1211__" hidden="1">#REF!,#REF!,#REF!,#REF!,#REF!,#REF!,#REF!,#REF!,#REF!,#REF!,#REF!,#REF!,#REF!,#REF!,#REF!</definedName>
    <definedName name="__APW_RESTORE_DATA1212__" hidden="1">#REF!,#REF!,#REF!,#REF!,#REF!,#REF!,#REF!,#REF!,#REF!,#REF!,#REF!,#REF!,#REF!,#REF!,#REF!</definedName>
    <definedName name="__APW_RESTORE_DATA1213__" hidden="1">#REF!,#REF!,#REF!,#REF!,#REF!,#REF!,#REF!,#REF!,#REF!,#REF!,#REF!,#REF!,#REF!,#REF!,#REF!</definedName>
    <definedName name="__APW_RESTORE_DATA1214__" hidden="1">#REF!,#REF!,#REF!,#REF!,#REF!,#REF!,#REF!,#REF!,#REF!,#REF!,#REF!,#REF!,#REF!,#REF!,#REF!</definedName>
    <definedName name="__APW_RESTORE_DATA1215__" hidden="1">#REF!,#REF!,#REF!,#REF!,#REF!,#REF!,#REF!,#REF!,#REF!,#REF!,#REF!,#REF!,#REF!,#REF!,#REF!</definedName>
    <definedName name="__APW_RESTORE_DATA1216__" hidden="1">#REF!,#REF!,#REF!,#REF!,#REF!,#REF!,#REF!,#REF!,#REF!,#REF!,#REF!,#REF!,#REF!,#REF!,#REF!</definedName>
    <definedName name="__APW_RESTORE_DATA1217__" hidden="1">#REF!,#REF!,#REF!,#REF!,#REF!,#REF!,#REF!,#REF!,#REF!,#REF!,#REF!,#REF!,#REF!,#REF!,#REF!</definedName>
    <definedName name="__APW_RESTORE_DATA1218__" hidden="1">#REF!,#REF!,#REF!,#REF!,#REF!,#REF!,#REF!,#REF!,#REF!,#REF!,#REF!,#REF!,#REF!,#REF!,#REF!</definedName>
    <definedName name="__APW_RESTORE_DATA1219__" hidden="1">#REF!,#REF!,#REF!,#REF!,#REF!,#REF!,#REF!,#REF!,#REF!,#REF!,#REF!,#REF!,#REF!,#REF!,#REF!</definedName>
    <definedName name="__APW_RESTORE_DATA122__" hidden="1">#REF!,#REF!,#REF!,#REF!,#REF!,#REF!,#REF!,#REF!,#REF!,#REF!,#REF!,#REF!,#REF!,#REF!,#REF!</definedName>
    <definedName name="__APW_RESTORE_DATA1220__" hidden="1">#REF!,#REF!,#REF!,#REF!,#REF!,#REF!,#REF!,#REF!,#REF!,#REF!,#REF!,#REF!,#REF!,#REF!,#REF!</definedName>
    <definedName name="__APW_RESTORE_DATA1221__" hidden="1">#REF!,#REF!,#REF!,#REF!,#REF!,#REF!</definedName>
    <definedName name="__APW_RESTORE_DATA1222__" hidden="1">#REF!,#REF!,#REF!,#REF!,#REF!,#REF!,#REF!,#REF!,#REF!,#REF!,#REF!,#REF!,#REF!,#REF!,#REF!,#REF!</definedName>
    <definedName name="__APW_RESTORE_DATA1223__" hidden="1">#REF!,#REF!,#REF!,#REF!,#REF!,#REF!,#REF!,#REF!,#REF!,#REF!,#REF!,#REF!,#REF!,#REF!,#REF!,#REF!</definedName>
    <definedName name="__APW_RESTORE_DATA1224__" hidden="1">#REF!,#REF!,#REF!,#REF!,#REF!,#REF!,#REF!,#REF!,#REF!,#REF!,#REF!,#REF!,#REF!,#REF!,#REF!,#REF!</definedName>
    <definedName name="__APW_RESTORE_DATA1225__" hidden="1">#REF!,#REF!,#REF!,#REF!,#REF!,#REF!,#REF!,#REF!,#REF!,#REF!,#REF!,#REF!,#REF!,#REF!,#REF!,#REF!</definedName>
    <definedName name="__APW_RESTORE_DATA1226__" hidden="1">#REF!,#REF!,#REF!,#REF!,#REF!,#REF!,#REF!,#REF!,#REF!,#REF!,#REF!,#REF!,#REF!,#REF!,#REF!,#REF!</definedName>
    <definedName name="__APW_RESTORE_DATA1227__" hidden="1">#REF!,#REF!,#REF!,#REF!,#REF!,#REF!,#REF!,#REF!,#REF!,#REF!,#REF!,#REF!,#REF!,#REF!,#REF!,#REF!</definedName>
    <definedName name="__APW_RESTORE_DATA1228__" hidden="1">#REF!,#REF!,#REF!,#REF!,#REF!,#REF!,#REF!,#REF!,#REF!,#REF!,#REF!,#REF!,#REF!,#REF!,#REF!</definedName>
    <definedName name="__APW_RESTORE_DATA1229__" hidden="1">#REF!,#REF!,#REF!,#REF!,#REF!,#REF!,#REF!,#REF!,#REF!,#REF!,#REF!,#REF!,#REF!,#REF!,#REF!</definedName>
    <definedName name="__APW_RESTORE_DATA123__" hidden="1">#REF!,#REF!,#REF!,#REF!,#REF!,#REF!,#REF!,#REF!,#REF!,#REF!,#REF!,#REF!,#REF!,#REF!,#REF!</definedName>
    <definedName name="__APW_RESTORE_DATA1230__" hidden="1">#REF!,#REF!,#REF!,#REF!,#REF!,#REF!,#REF!,#REF!,#REF!,#REF!,#REF!,#REF!,#REF!,#REF!,#REF!</definedName>
    <definedName name="__APW_RESTORE_DATA1231__" hidden="1">#REF!,#REF!,#REF!,#REF!,#REF!,#REF!,#REF!,#REF!,#REF!,#REF!,#REF!,#REF!,#REF!,#REF!,#REF!</definedName>
    <definedName name="__APW_RESTORE_DATA1232__" hidden="1">#REF!,#REF!,#REF!,#REF!,#REF!,#REF!,#REF!,#REF!,#REF!,#REF!,#REF!,#REF!,#REF!,#REF!,#REF!</definedName>
    <definedName name="__APW_RESTORE_DATA1233__" hidden="1">#REF!,#REF!,#REF!,#REF!,#REF!,#REF!,#REF!,#REF!,#REF!,#REF!,#REF!,#REF!,#REF!,#REF!,#REF!</definedName>
    <definedName name="__APW_RESTORE_DATA1234__" hidden="1">#REF!,#REF!,#REF!,#REF!,#REF!,#REF!,#REF!,#REF!,#REF!,#REF!,#REF!,#REF!,#REF!,#REF!,#REF!</definedName>
    <definedName name="__APW_RESTORE_DATA1235__" hidden="1">#REF!,#REF!,#REF!,#REF!,#REF!,#REF!,#REF!,#REF!,#REF!,#REF!,#REF!,#REF!,#REF!,#REF!,#REF!</definedName>
    <definedName name="__APW_RESTORE_DATA1236__" hidden="1">#REF!,#REF!,#REF!,#REF!,#REF!,#REF!,#REF!,#REF!,#REF!,#REF!,#REF!,#REF!,#REF!,#REF!,#REF!</definedName>
    <definedName name="__APW_RESTORE_DATA1237__" hidden="1">#REF!,#REF!,#REF!,#REF!,#REF!,#REF!,#REF!,#REF!,#REF!,#REF!,#REF!,#REF!,#REF!,#REF!,#REF!</definedName>
    <definedName name="__APW_RESTORE_DATA1238__" hidden="1">#REF!,#REF!,#REF!,#REF!,#REF!,#REF!,#REF!,#REF!,#REF!,#REF!,#REF!,#REF!,#REF!,#REF!,#REF!</definedName>
    <definedName name="__APW_RESTORE_DATA1239__" hidden="1">#REF!,#REF!,#REF!,#REF!,#REF!,#REF!,#REF!,#REF!,#REF!,#REF!,#REF!,#REF!,#REF!,#REF!,#REF!</definedName>
    <definedName name="__APW_RESTORE_DATA124__" hidden="1">#REF!,#REF!,#REF!,#REF!,#REF!,#REF!,#REF!,#REF!,#REF!,#REF!,#REF!,#REF!,#REF!,#REF!,#REF!</definedName>
    <definedName name="__APW_RESTORE_DATA1240__" hidden="1">#REF!,#REF!,#REF!,#REF!,#REF!,#REF!,#REF!,#REF!,#REF!,#REF!,#REF!,#REF!,#REF!,#REF!,#REF!</definedName>
    <definedName name="__APW_RESTORE_DATA1241__" hidden="1">#REF!,#REF!,#REF!,#REF!,#REF!,#REF!,#REF!,#REF!,#REF!,#REF!,#REF!,#REF!,#REF!,#REF!,#REF!</definedName>
    <definedName name="__APW_RESTORE_DATA1242__" hidden="1">#REF!,#REF!,#REF!,#REF!,#REF!,#REF!,#REF!,#REF!,#REF!,#REF!,#REF!,#REF!,#REF!,#REF!,#REF!</definedName>
    <definedName name="__APW_RESTORE_DATA1243__" hidden="1">#REF!,#REF!,#REF!,#REF!,#REF!,#REF!,#REF!,#REF!,#REF!,#REF!,#REF!,#REF!,#REF!,#REF!,#REF!</definedName>
    <definedName name="__APW_RESTORE_DATA1244__" hidden="1">#REF!,#REF!,#REF!,#REF!,#REF!,#REF!,#REF!,#REF!,#REF!,#REF!,#REF!,#REF!,#REF!,#REF!,#REF!</definedName>
    <definedName name="__APW_RESTORE_DATA1245__" hidden="1">#REF!,#REF!,#REF!,#REF!,#REF!,#REF!,#REF!,#REF!,#REF!,#REF!,#REF!,#REF!,#REF!,#REF!,#REF!</definedName>
    <definedName name="__APW_RESTORE_DATA1246__" hidden="1">#REF!,#REF!,#REF!,#REF!,#REF!,#REF!,#REF!,#REF!,#REF!,#REF!,#REF!,#REF!,#REF!,#REF!,#REF!</definedName>
    <definedName name="__APW_RESTORE_DATA1247__" hidden="1">#REF!,#REF!,#REF!,#REF!,#REF!,#REF!,#REF!,#REF!,#REF!,#REF!,#REF!,#REF!,#REF!,#REF!,#REF!</definedName>
    <definedName name="__APW_RESTORE_DATA1248__" hidden="1">#REF!,#REF!,#REF!,#REF!,#REF!,#REF!,#REF!,#REF!,#REF!,#REF!,#REF!,#REF!,#REF!,#REF!,#REF!</definedName>
    <definedName name="__APW_RESTORE_DATA1249__" hidden="1">#REF!,#REF!,#REF!,#REF!,#REF!,#REF!,#REF!,#REF!,#REF!,#REF!,#REF!,#REF!,#REF!,#REF!,#REF!</definedName>
    <definedName name="__APW_RESTORE_DATA125__" hidden="1">#REF!,#REF!,#REF!,#REF!,#REF!,#REF!,#REF!,#REF!,#REF!,#REF!,#REF!,#REF!,#REF!,#REF!,#REF!</definedName>
    <definedName name="__APW_RESTORE_DATA1250__" hidden="1">#REF!,#REF!,#REF!,#REF!,#REF!,#REF!,#REF!,#REF!,#REF!,#REF!,#REF!,#REF!,#REF!,#REF!,#REF!</definedName>
    <definedName name="__APW_RESTORE_DATA1251__" hidden="1">#REF!,#REF!,#REF!,#REF!,#REF!,#REF!,#REF!,#REF!,#REF!,#REF!,#REF!,#REF!,#REF!,#REF!,#REF!</definedName>
    <definedName name="__APW_RESTORE_DATA1252__" hidden="1">#REF!,#REF!,#REF!,#REF!,#REF!,#REF!,#REF!,#REF!,#REF!,#REF!,#REF!,#REF!,#REF!,#REF!,#REF!</definedName>
    <definedName name="__APW_RESTORE_DATA1253__" hidden="1">#REF!,#REF!,#REF!,#REF!,#REF!,#REF!,#REF!,#REF!,#REF!,#REF!,#REF!,#REF!,#REF!,#REF!,#REF!</definedName>
    <definedName name="__APW_RESTORE_DATA1254__" hidden="1">#REF!,#REF!,#REF!,#REF!,#REF!,#REF!,#REF!,#REF!,#REF!,#REF!,#REF!,#REF!,#REF!,#REF!,#REF!</definedName>
    <definedName name="__APW_RESTORE_DATA1255__" hidden="1">#REF!,#REF!,#REF!,#REF!,#REF!,#REF!,#REF!,#REF!,#REF!,#REF!,#REF!,#REF!,#REF!,#REF!,#REF!</definedName>
    <definedName name="__APW_RESTORE_DATA1256__" hidden="1">#REF!,#REF!,#REF!,#REF!,#REF!,#REF!</definedName>
    <definedName name="__APW_RESTORE_DATA1257__" hidden="1">#REF!,#REF!,#REF!,#REF!,#REF!,#REF!,#REF!,#REF!,#REF!,#REF!,#REF!,#REF!,#REF!,#REF!,#REF!,#REF!</definedName>
    <definedName name="__APW_RESTORE_DATA1258__" hidden="1">#REF!,#REF!,#REF!,#REF!,#REF!,#REF!,#REF!,#REF!,#REF!,#REF!,#REF!,#REF!,#REF!,#REF!,#REF!,#REF!</definedName>
    <definedName name="__APW_RESTORE_DATA1259__" hidden="1">#REF!,#REF!,#REF!,#REF!,#REF!,#REF!,#REF!,#REF!,#REF!,#REF!,#REF!,#REF!,#REF!,#REF!,#REF!,#REF!</definedName>
    <definedName name="__APW_RESTORE_DATA126__" hidden="1">#REF!,#REF!,#REF!,#REF!,#REF!,#REF!,#REF!,#REF!,#REF!,#REF!,#REF!,#REF!,#REF!,#REF!,#REF!</definedName>
    <definedName name="__APW_RESTORE_DATA1260__" hidden="1">#REF!,#REF!,#REF!,#REF!,#REF!,#REF!,#REF!,#REF!,#REF!,#REF!,#REF!,#REF!,#REF!,#REF!,#REF!,#REF!</definedName>
    <definedName name="__APW_RESTORE_DATA1261__" hidden="1">#REF!,#REF!,#REF!,#REF!,#REF!,#REF!,#REF!,#REF!,#REF!,#REF!,#REF!,#REF!,#REF!,#REF!,#REF!,#REF!</definedName>
    <definedName name="__APW_RESTORE_DATA1262__" hidden="1">#REF!,#REF!,#REF!,#REF!,#REF!,#REF!,#REF!,#REF!,#REF!,#REF!,#REF!,#REF!,#REF!,#REF!,#REF!,#REF!</definedName>
    <definedName name="__APW_RESTORE_DATA1263__" hidden="1">#REF!,#REF!,#REF!,#REF!,#REF!,#REF!,#REF!,#REF!,#REF!,#REF!,#REF!,#REF!,#REF!,#REF!,#REF!</definedName>
    <definedName name="__APW_RESTORE_DATA1264__" hidden="1">#REF!,#REF!,#REF!,#REF!,#REF!,#REF!,#REF!,#REF!,#REF!,#REF!,#REF!,#REF!,#REF!,#REF!,#REF!</definedName>
    <definedName name="__APW_RESTORE_DATA1265__" hidden="1">#REF!,#REF!,#REF!,#REF!,#REF!,#REF!,#REF!,#REF!,#REF!,#REF!,#REF!,#REF!,#REF!,#REF!,#REF!</definedName>
    <definedName name="__APW_RESTORE_DATA1266__" hidden="1">#REF!,#REF!,#REF!,#REF!,#REF!,#REF!,#REF!,#REF!,#REF!,#REF!,#REF!,#REF!,#REF!,#REF!,#REF!</definedName>
    <definedName name="__APW_RESTORE_DATA1267__" hidden="1">#REF!,#REF!,#REF!,#REF!,#REF!,#REF!,#REF!,#REF!,#REF!,#REF!,#REF!,#REF!,#REF!,#REF!,#REF!</definedName>
    <definedName name="__APW_RESTORE_DATA1268__" hidden="1">#REF!,#REF!,#REF!,#REF!,#REF!,#REF!,#REF!,#REF!,#REF!,#REF!,#REF!,#REF!,#REF!,#REF!,#REF!</definedName>
    <definedName name="__APW_RESTORE_DATA1269__" hidden="1">#REF!,#REF!,#REF!,#REF!,#REF!,#REF!,#REF!,#REF!,#REF!,#REF!,#REF!,#REF!,#REF!,#REF!,#REF!</definedName>
    <definedName name="__APW_RESTORE_DATA127__" hidden="1">#REF!,#REF!,#REF!,#REF!,#REF!,#REF!,#REF!,#REF!,#REF!,#REF!,#REF!,#REF!,#REF!,#REF!,#REF!</definedName>
    <definedName name="__APW_RESTORE_DATA1270__" hidden="1">#REF!,#REF!,#REF!,#REF!,#REF!,#REF!,#REF!,#REF!,#REF!,#REF!,#REF!,#REF!,#REF!,#REF!,#REF!</definedName>
    <definedName name="__APW_RESTORE_DATA1271__" hidden="1">#REF!,#REF!,#REF!,#REF!,#REF!,#REF!,#REF!,#REF!,#REF!,#REF!,#REF!,#REF!,#REF!,#REF!,#REF!</definedName>
    <definedName name="__APW_RESTORE_DATA1272__" hidden="1">#REF!,#REF!,#REF!,#REF!,#REF!,#REF!,#REF!,#REF!,#REF!,#REF!,#REF!,#REF!,#REF!,#REF!,#REF!</definedName>
    <definedName name="__APW_RESTORE_DATA1273__" hidden="1">#REF!,#REF!,#REF!,#REF!,#REF!,#REF!,#REF!,#REF!,#REF!,#REF!,#REF!,#REF!,#REF!,#REF!,#REF!</definedName>
    <definedName name="__APW_RESTORE_DATA1274__" hidden="1">#REF!,#REF!,#REF!,#REF!,#REF!,#REF!,#REF!,#REF!,#REF!,#REF!,#REF!,#REF!,#REF!,#REF!,#REF!</definedName>
    <definedName name="__APW_RESTORE_DATA1275__" hidden="1">#REF!,#REF!,#REF!,#REF!,#REF!,#REF!,#REF!,#REF!,#REF!,#REF!,#REF!,#REF!,#REF!,#REF!,#REF!</definedName>
    <definedName name="__APW_RESTORE_DATA1276__" hidden="1">#REF!,#REF!,#REF!,#REF!,#REF!,#REF!,#REF!,#REF!,#REF!,#REF!,#REF!,#REF!,#REF!,#REF!,#REF!</definedName>
    <definedName name="__APW_RESTORE_DATA1277__" hidden="1">#REF!,#REF!,#REF!,#REF!,#REF!,#REF!,#REF!,#REF!,#REF!,#REF!,#REF!,#REF!,#REF!,#REF!,#REF!</definedName>
    <definedName name="__APW_RESTORE_DATA1278__" hidden="1">#REF!,#REF!,#REF!,#REF!,#REF!,#REF!,#REF!,#REF!,#REF!,#REF!,#REF!,#REF!,#REF!,#REF!,#REF!</definedName>
    <definedName name="__APW_RESTORE_DATA1279__" hidden="1">#REF!,#REF!,#REF!,#REF!,#REF!,#REF!,#REF!,#REF!,#REF!,#REF!,#REF!,#REF!,#REF!,#REF!,#REF!</definedName>
    <definedName name="__APW_RESTORE_DATA128__" hidden="1">#REF!,#REF!,#REF!,#REF!,#REF!,#REF!,#REF!,#REF!,#REF!,#REF!,#REF!,#REF!,#REF!,#REF!,#REF!</definedName>
    <definedName name="__APW_RESTORE_DATA1280__" hidden="1">#REF!,#REF!,#REF!,#REF!,#REF!,#REF!,#REF!,#REF!,#REF!,#REF!,#REF!,#REF!,#REF!,#REF!,#REF!</definedName>
    <definedName name="__APW_RESTORE_DATA1281__" hidden="1">#REF!,#REF!,#REF!,#REF!,#REF!,#REF!,#REF!,#REF!,#REF!,#REF!,#REF!,#REF!,#REF!,#REF!,#REF!</definedName>
    <definedName name="__APW_RESTORE_DATA1282__" hidden="1">#REF!,#REF!,#REF!,#REF!,#REF!,#REF!,#REF!,#REF!,#REF!,#REF!,#REF!,#REF!,#REF!,#REF!,#REF!</definedName>
    <definedName name="__APW_RESTORE_DATA1283__" hidden="1">#REF!,#REF!,#REF!,#REF!,#REF!,#REF!,#REF!,#REF!,#REF!,#REF!,#REF!,#REF!,#REF!,#REF!,#REF!</definedName>
    <definedName name="__APW_RESTORE_DATA1284__" hidden="1">#REF!,#REF!,#REF!,#REF!,#REF!,#REF!,#REF!,#REF!,#REF!,#REF!,#REF!,#REF!,#REF!,#REF!,#REF!</definedName>
    <definedName name="__APW_RESTORE_DATA1285__" hidden="1">#REF!,#REF!,#REF!,#REF!,#REF!,#REF!,#REF!,#REF!,#REF!,#REF!,#REF!,#REF!,#REF!,#REF!,#REF!</definedName>
    <definedName name="__APW_RESTORE_DATA1286__" hidden="1">#REF!,#REF!,#REF!,#REF!,#REF!,#REF!,#REF!,#REF!,#REF!,#REF!,#REF!,#REF!,#REF!,#REF!,#REF!</definedName>
    <definedName name="__APW_RESTORE_DATA1287__" hidden="1">#REF!,#REF!,#REF!,#REF!,#REF!,#REF!,#REF!,#REF!,#REF!,#REF!,#REF!,#REF!,#REF!,#REF!,#REF!</definedName>
    <definedName name="__APW_RESTORE_DATA1288__" hidden="1">#REF!,#REF!,#REF!,#REF!,#REF!,#REF!,#REF!,#REF!,#REF!,#REF!,#REF!,#REF!,#REF!,#REF!,#REF!</definedName>
    <definedName name="__APW_RESTORE_DATA1289__" hidden="1">#REF!,#REF!,#REF!,#REF!,#REF!,#REF!,#REF!,#REF!,#REF!,#REF!,#REF!,#REF!,#REF!,#REF!,#REF!</definedName>
    <definedName name="__APW_RESTORE_DATA129__" hidden="1">#REF!,#REF!</definedName>
    <definedName name="__APW_RESTORE_DATA1290__" hidden="1">#REF!,#REF!,#REF!,#REF!,#REF!,#REF!,#REF!,#REF!,#REF!,#REF!,#REF!,#REF!,#REF!,#REF!,#REF!</definedName>
    <definedName name="__APW_RESTORE_DATA1291__" hidden="1">#REF!,#REF!,#REF!,#REF!,#REF!,#REF!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#REF!,#REF!,#REF!,#REF!,#REF!,#REF!,#REF!,#REF!,#REF!,#REF!,#REF!,#REF!,#REF!,#REF!,#REF!,#REF!</definedName>
    <definedName name="__APW_RESTORE_DATA1298__" hidden="1">#REF!,#REF!,#REF!,#REF!,#REF!,#REF!,#REF!,#REF!,#REF!,#REF!,#REF!,#REF!,#REF!,#REF!,#REF!,#REF!</definedName>
    <definedName name="__APW_RESTORE_DATA1299__" hidden="1">#REF!,#REF!,#REF!,#REF!,#REF!,#REF!,#REF!,#REF!,#REF!,#REF!,#REF!,#REF!,#REF!,#REF!,#REF!,#REF!</definedName>
    <definedName name="__APW_RESTORE_DATA13__" hidden="1">#REF!,#REF!,#REF!,#REF!,#REF!,#REF!,#REF!,#REF!,#REF!,#REF!,#REF!,#REF!,#REF!,#REF!,#REF!</definedName>
    <definedName name="__APW_RESTORE_DATA130__" hidden="1">#REF!,#REF!,#REF!,#REF!,#REF!,#REF!,#REF!,#REF!,#REF!,#REF!,#REF!,#REF!,#REF!,#REF!,#REF!</definedName>
    <definedName name="__APW_RESTORE_DATA1300__" hidden="1">#REF!,#REF!,#REF!,#REF!,#REF!,#REF!,#REF!,#REF!,#REF!,#REF!,#REF!,#REF!,#REF!,#REF!,#REF!,#REF!</definedName>
    <definedName name="__APW_RESTORE_DATA1301__" hidden="1">#REF!,#REF!,#REF!,#REF!,#REF!,#REF!,#REF!,#REF!,#REF!,#REF!,#REF!,#REF!,#REF!,#REF!,#REF!,#REF!</definedName>
    <definedName name="__APW_RESTORE_DATA1302__" hidden="1">#REF!,#REF!,#REF!,#REF!,#REF!,#REF!,#REF!,#REF!,#REF!,#REF!,#REF!,#REF!,#REF!,#REF!,#REF!,#REF!</definedName>
    <definedName name="__APW_RESTORE_DATA1303__" hidden="1">#REF!,#REF!,#REF!,#REF!,#REF!,#REF!,#REF!,#REF!,#REF!,#REF!,#REF!,#REF!,#REF!,#REF!,#REF!</definedName>
    <definedName name="__APW_RESTORE_DATA1304__" hidden="1">#REF!,#REF!,#REF!,#REF!,#REF!,#REF!,#REF!,#REF!,#REF!,#REF!,#REF!,#REF!,#REF!,#REF!,#REF!</definedName>
    <definedName name="__APW_RESTORE_DATA1305__" hidden="1">#REF!,#REF!,#REF!,#REF!,#REF!,#REF!,#REF!,#REF!,#REF!,#REF!,#REF!,#REF!,#REF!,#REF!,#REF!</definedName>
    <definedName name="__APW_RESTORE_DATA1306__" hidden="1">#REF!,#REF!,#REF!,#REF!,#REF!,#REF!,#REF!,#REF!,#REF!,#REF!,#REF!,#REF!,#REF!,#REF!,#REF!</definedName>
    <definedName name="__APW_RESTORE_DATA1307__" hidden="1">#REF!,#REF!,#REF!,#REF!,#REF!,#REF!,#REF!,#REF!,#REF!,#REF!,#REF!,#REF!,#REF!,#REF!,#REF!</definedName>
    <definedName name="__APW_RESTORE_DATA1308__" hidden="1">#REF!,#REF!,#REF!,#REF!,#REF!,#REF!,#REF!,#REF!,#REF!,#REF!,#REF!,#REF!,#REF!,#REF!,#REF!</definedName>
    <definedName name="__APW_RESTORE_DATA1309__" hidden="1">#REF!,#REF!,#REF!,#REF!,#REF!,#REF!,#REF!,#REF!,#REF!,#REF!,#REF!,#REF!,#REF!,#REF!,#REF!</definedName>
    <definedName name="__APW_RESTORE_DATA131__" hidden="1">#REF!,#REF!,#REF!,#REF!,#REF!,#REF!,#REF!,#REF!,#REF!,#REF!,#REF!,#REF!,#REF!,#REF!,#REF!</definedName>
    <definedName name="__APW_RESTORE_DATA1310__" hidden="1">#REF!,#REF!,#REF!,#REF!,#REF!,#REF!,#REF!,#REF!,#REF!,#REF!,#REF!,#REF!,#REF!,#REF!,#REF!</definedName>
    <definedName name="__APW_RESTORE_DATA1311__" hidden="1">#REF!,#REF!,#REF!,#REF!,#REF!,#REF!,#REF!,#REF!,#REF!,#REF!,#REF!,#REF!,#REF!,#REF!,#REF!</definedName>
    <definedName name="__APW_RESTORE_DATA1312__" hidden="1">#REF!,#REF!,#REF!,#REF!,#REF!,#REF!,#REF!,#REF!,#REF!,#REF!,#REF!,#REF!,#REF!,#REF!,#REF!</definedName>
    <definedName name="__APW_RESTORE_DATA1313__" hidden="1">#REF!,#REF!,#REF!,#REF!,#REF!,#REF!,#REF!,#REF!,#REF!,#REF!,#REF!,#REF!,#REF!,#REF!,#REF!</definedName>
    <definedName name="__APW_RESTORE_DATA1314__" hidden="1">#REF!,#REF!,#REF!,#REF!,#REF!,#REF!,#REF!,#REF!,#REF!,#REF!,#REF!,#REF!,#REF!,#REF!,#REF!</definedName>
    <definedName name="__APW_RESTORE_DATA1315__" hidden="1">#REF!,#REF!,#REF!,#REF!,#REF!,#REF!,#REF!,#REF!,#REF!,#REF!,#REF!,#REF!,#REF!,#REF!,#REF!</definedName>
    <definedName name="__APW_RESTORE_DATA1316__" hidden="1">#REF!,#REF!,#REF!,#REF!,#REF!,#REF!,#REF!,#REF!,#REF!,#REF!,#REF!,#REF!,#REF!,#REF!,#REF!</definedName>
    <definedName name="__APW_RESTORE_DATA1317__" hidden="1">#REF!,#REF!,#REF!,#REF!,#REF!,#REF!,#REF!,#REF!,#REF!,#REF!,#REF!,#REF!,#REF!,#REF!,#REF!</definedName>
    <definedName name="__APW_RESTORE_DATA1318__" hidden="1">#REF!,#REF!,#REF!,#REF!,#REF!,#REF!,#REF!,#REF!,#REF!,#REF!,#REF!,#REF!,#REF!,#REF!,#REF!</definedName>
    <definedName name="__APW_RESTORE_DATA1319__" hidden="1">#REF!,#REF!,#REF!,#REF!,#REF!,#REF!,#REF!,#REF!,#REF!,#REF!,#REF!,#REF!,#REF!,#REF!,#REF!</definedName>
    <definedName name="__APW_RESTORE_DATA132__" hidden="1">#REF!,#REF!,#REF!,#REF!,#REF!,#REF!,#REF!,#REF!,#REF!,#REF!,#REF!,#REF!,#REF!,#REF!,#REF!</definedName>
    <definedName name="__APW_RESTORE_DATA1320__" hidden="1">#REF!,#REF!,#REF!,#REF!,#REF!,#REF!,#REF!,#REF!,#REF!,#REF!,#REF!,#REF!,#REF!,#REF!,#REF!</definedName>
    <definedName name="__APW_RESTORE_DATA1321__" hidden="1">#REF!,#REF!,#REF!,#REF!,#REF!,#REF!,#REF!,#REF!,#REF!,#REF!,#REF!,#REF!,#REF!,#REF!,#REF!</definedName>
    <definedName name="__APW_RESTORE_DATA1322__" hidden="1">#REF!,#REF!,#REF!,#REF!,#REF!,#REF!,#REF!,#REF!,#REF!,#REF!,#REF!,#REF!,#REF!,#REF!,#REF!</definedName>
    <definedName name="__APW_RESTORE_DATA1323__" hidden="1">#REF!,#REF!,#REF!,#REF!,#REF!,#REF!,#REF!,#REF!,#REF!,#REF!,#REF!,#REF!,#REF!,#REF!,#REF!</definedName>
    <definedName name="__APW_RESTORE_DATA1324__" hidden="1">#REF!,#REF!,#REF!,#REF!,#REF!,#REF!,#REF!,#REF!,#REF!,#REF!,#REF!,#REF!,#REF!,#REF!,#REF!</definedName>
    <definedName name="__APW_RESTORE_DATA1325__" hidden="1">#REF!,#REF!,#REF!,#REF!,#REF!,#REF!,#REF!,#REF!,#REF!,#REF!,#REF!,#REF!,#REF!,#REF!,#REF!</definedName>
    <definedName name="__APW_RESTORE_DATA1326__" hidden="1">#REF!,#REF!,#REF!,#REF!,#REF!,#REF!,#REF!,#REF!,#REF!,#REF!,#REF!,#REF!,#REF!,#REF!,#REF!</definedName>
    <definedName name="__APW_RESTORE_DATA1327__" hidden="1">#REF!,#REF!,#REF!,#REF!,#REF!,#REF!,#REF!,#REF!,#REF!,#REF!,#REF!,#REF!,#REF!,#REF!,#REF!</definedName>
    <definedName name="__APW_RESTORE_DATA1328__" hidden="1">#REF!,#REF!,#REF!,#REF!,#REF!,#REF!,#REF!,#REF!,#REF!,#REF!,#REF!,#REF!,#REF!,#REF!,#REF!</definedName>
    <definedName name="__APW_RESTORE_DATA1329__" hidden="1">#REF!,#REF!,#REF!,#REF!,#REF!,#REF!,#REF!,#REF!,#REF!,#REF!,#REF!,#REF!,#REF!,#REF!,#REF!</definedName>
    <definedName name="__APW_RESTORE_DATA133__" hidden="1">#REF!,#REF!,#REF!,#REF!,#REF!,#REF!,#REF!,#REF!,#REF!,#REF!,#REF!,#REF!,#REF!,#REF!,#REF!</definedName>
    <definedName name="__APW_RESTORE_DATA1330__" hidden="1">#REF!,#REF!,#REF!,#REF!,#REF!,#REF!,#REF!,#REF!,#REF!,#REF!,#REF!,#REF!,#REF!,#REF!,#REF!</definedName>
    <definedName name="__APW_RESTORE_DATA1331__" hidden="1">#REF!,#REF!,#REF!,#REF!,#REF!,#REF!</definedName>
    <definedName name="__APW_RESTORE_DATA1332__" hidden="1">#REF!,#REF!,#REF!,#REF!,#REF!,#REF!,#REF!,#REF!,#REF!,#REF!,#REF!,#REF!,#REF!,#REF!,#REF!,#REF!</definedName>
    <definedName name="__APW_RESTORE_DATA1333__" hidden="1">#REF!,#REF!,#REF!,#REF!,#REF!,#REF!,#REF!,#REF!,#REF!,#REF!,#REF!,#REF!,#REF!,#REF!,#REF!,#REF!</definedName>
    <definedName name="__APW_RESTORE_DATA1334__" hidden="1">#REF!,#REF!,#REF!,#REF!,#REF!,#REF!,#REF!,#REF!,#REF!,#REF!,#REF!,#REF!,#REF!,#REF!,#REF!,#REF!</definedName>
    <definedName name="__APW_RESTORE_DATA1335__" hidden="1">#REF!,#REF!,#REF!,#REF!,#REF!,#REF!,#REF!,#REF!,#REF!,#REF!,#REF!,#REF!,#REF!,#REF!,#REF!,#REF!</definedName>
    <definedName name="__APW_RESTORE_DATA1336__" hidden="1">#REF!,#REF!,#REF!,#REF!,#REF!,#REF!,#REF!,#REF!,#REF!,#REF!,#REF!,#REF!,#REF!,#REF!,#REF!,#REF!</definedName>
    <definedName name="__APW_RESTORE_DATA1337__" hidden="1">#REF!,#REF!,#REF!,#REF!,#REF!,#REF!,#REF!,#REF!,#REF!,#REF!,#REF!,#REF!,#REF!,#REF!,#REF!,#REF!</definedName>
    <definedName name="__APW_RESTORE_DATA1338__" hidden="1">#REF!,#REF!,#REF!,#REF!,#REF!,#REF!,#REF!,#REF!,#REF!,#REF!,#REF!,#REF!,#REF!,#REF!,#REF!</definedName>
    <definedName name="__APW_RESTORE_DATA1339__" hidden="1">#REF!,#REF!,#REF!,#REF!,#REF!,#REF!,#REF!,#REF!,#REF!,#REF!,#REF!,#REF!,#REF!,#REF!,#REF!</definedName>
    <definedName name="__APW_RESTORE_DATA134__" hidden="1">#REF!,#REF!</definedName>
    <definedName name="__APW_RESTORE_DATA1340__" hidden="1">#REF!,#REF!,#REF!,#REF!,#REF!,#REF!,#REF!,#REF!,#REF!,#REF!,#REF!,#REF!,#REF!,#REF!,#REF!</definedName>
    <definedName name="__APW_RESTORE_DATA1341__" hidden="1">#REF!,#REF!,#REF!,#REF!,#REF!,#REF!,#REF!,#REF!,#REF!,#REF!,#REF!,#REF!,#REF!,#REF!,#REF!</definedName>
    <definedName name="__APW_RESTORE_DATA1342__" hidden="1">#REF!,#REF!,#REF!,#REF!,#REF!,#REF!,#REF!,#REF!,#REF!,#REF!,#REF!,#REF!,#REF!,#REF!,#REF!</definedName>
    <definedName name="__APW_RESTORE_DATA1343__" hidden="1">#REF!,#REF!,#REF!,#REF!,#REF!,#REF!,#REF!,#REF!,#REF!,#REF!,#REF!,#REF!,#REF!,#REF!,#REF!</definedName>
    <definedName name="__APW_RESTORE_DATA1344__" hidden="1">#REF!,#REF!,#REF!,#REF!,#REF!,#REF!,#REF!,#REF!,#REF!,#REF!,#REF!,#REF!,#REF!,#REF!,#REF!</definedName>
    <definedName name="__APW_RESTORE_DATA1345__" hidden="1">#REF!,#REF!,#REF!,#REF!,#REF!,#REF!,#REF!,#REF!,#REF!,#REF!,#REF!,#REF!,#REF!,#REF!,#REF!</definedName>
    <definedName name="__APW_RESTORE_DATA1346__" hidden="1">#REF!,#REF!,#REF!,#REF!,#REF!,#REF!,#REF!,#REF!,#REF!,#REF!,#REF!,#REF!,#REF!,#REF!,#REF!</definedName>
    <definedName name="__APW_RESTORE_DATA1347__" hidden="1">#REF!,#REF!,#REF!,#REF!,#REF!,#REF!,#REF!,#REF!,#REF!,#REF!,#REF!,#REF!,#REF!,#REF!,#REF!</definedName>
    <definedName name="__APW_RESTORE_DATA1348__" hidden="1">#REF!,#REF!,#REF!,#REF!,#REF!,#REF!,#REF!,#REF!,#REF!,#REF!,#REF!,#REF!,#REF!,#REF!,#REF!</definedName>
    <definedName name="__APW_RESTORE_DATA1349__" hidden="1">#REF!,#REF!,#REF!,#REF!,#REF!,#REF!,#REF!,#REF!,#REF!,#REF!,#REF!,#REF!,#REF!,#REF!,#REF!</definedName>
    <definedName name="__APW_RESTORE_DATA135__" hidden="1">#REF!,#REF!,#REF!,#REF!,#REF!,#REF!,#REF!,#REF!,#REF!,#REF!,#REF!,#REF!,#REF!,#REF!,#REF!</definedName>
    <definedName name="__APW_RESTORE_DATA1350__" hidden="1">#REF!,#REF!,#REF!,#REF!,#REF!,#REF!,#REF!,#REF!,#REF!,#REF!,#REF!,#REF!,#REF!,#REF!,#REF!</definedName>
    <definedName name="__APW_RESTORE_DATA1351__" hidden="1">#REF!,#REF!,#REF!,#REF!,#REF!,#REF!,#REF!,#REF!,#REF!,#REF!,#REF!,#REF!,#REF!,#REF!,#REF!</definedName>
    <definedName name="__APW_RESTORE_DATA1352__" hidden="1">#REF!,#REF!,#REF!,#REF!,#REF!,#REF!,#REF!,#REF!,#REF!,#REF!,#REF!,#REF!,#REF!,#REF!,#REF!</definedName>
    <definedName name="__APW_RESTORE_DATA1353__" hidden="1">#REF!,#REF!,#REF!,#REF!,#REF!,#REF!,#REF!,#REF!,#REF!,#REF!,#REF!,#REF!,#REF!,#REF!,#REF!</definedName>
    <definedName name="__APW_RESTORE_DATA1354__" hidden="1">#REF!,#REF!,#REF!,#REF!,#REF!,#REF!,#REF!,#REF!,#REF!,#REF!,#REF!,#REF!,#REF!,#REF!,#REF!</definedName>
    <definedName name="__APW_RESTORE_DATA1355__" hidden="1">#REF!,#REF!,#REF!,#REF!,#REF!,#REF!,#REF!,#REF!,#REF!,#REF!,#REF!,#REF!,#REF!,#REF!,#REF!</definedName>
    <definedName name="__APW_RESTORE_DATA1356__" hidden="1">#REF!,#REF!,#REF!,#REF!,#REF!,#REF!,#REF!,#REF!,#REF!,#REF!,#REF!,#REF!,#REF!,#REF!,#REF!</definedName>
    <definedName name="__APW_RESTORE_DATA1357__" hidden="1">#REF!,#REF!,#REF!,#REF!,#REF!,#REF!,#REF!,#REF!,#REF!,#REF!,#REF!,#REF!,#REF!,#REF!,#REF!</definedName>
    <definedName name="__APW_RESTORE_DATA1358__" hidden="1">#REF!,#REF!,#REF!,#REF!,#REF!,#REF!,#REF!,#REF!,#REF!,#REF!,#REF!,#REF!,#REF!,#REF!,#REF!</definedName>
    <definedName name="__APW_RESTORE_DATA1359__" hidden="1">#REF!,#REF!,#REF!,#REF!,#REF!,#REF!,#REF!,#REF!,#REF!,#REF!,#REF!,#REF!,#REF!,#REF!,#REF!</definedName>
    <definedName name="__APW_RESTORE_DATA136__" hidden="1">#REF!,#REF!,#REF!,#REF!,#REF!,#REF!,#REF!,#REF!,#REF!,#REF!,#REF!,#REF!,#REF!,#REF!,#REF!</definedName>
    <definedName name="__APW_RESTORE_DATA1360__" hidden="1">#REF!,#REF!,#REF!,#REF!,#REF!,#REF!,#REF!,#REF!,#REF!,#REF!,#REF!,#REF!,#REF!,#REF!,#REF!</definedName>
    <definedName name="__APW_RESTORE_DATA1361__" hidden="1">#REF!,#REF!,#REF!,#REF!,#REF!,#REF!,#REF!,#REF!,#REF!,#REF!,#REF!,#REF!,#REF!,#REF!,#REF!</definedName>
    <definedName name="__APW_RESTORE_DATA1362__" hidden="1">#REF!,#REF!,#REF!,#REF!,#REF!,#REF!,#REF!,#REF!,#REF!,#REF!,#REF!,#REF!,#REF!,#REF!,#REF!</definedName>
    <definedName name="__APW_RESTORE_DATA1363__" hidden="1">#REF!,#REF!,#REF!,#REF!,#REF!,#REF!,#REF!,#REF!,#REF!,#REF!,#REF!,#REF!,#REF!,#REF!,#REF!</definedName>
    <definedName name="__APW_RESTORE_DATA1364__" hidden="1">#REF!,#REF!,#REF!,#REF!,#REF!,#REF!,#REF!,#REF!,#REF!,#REF!,#REF!,#REF!,#REF!,#REF!,#REF!</definedName>
    <definedName name="__APW_RESTORE_DATA1365__" hidden="1">#REF!,#REF!,#REF!,#REF!,#REF!,#REF!,#REF!,#REF!,#REF!,#REF!,#REF!,#REF!,#REF!,#REF!,#REF!</definedName>
    <definedName name="__APW_RESTORE_DATA1366__" hidden="1">#REF!,#REF!,#REF!,#REF!,#REF!,#REF!</definedName>
    <definedName name="__APW_RESTORE_DATA1367__" hidden="1">#REF!,#REF!,#REF!,#REF!,#REF!,#REF!,#REF!,#REF!,#REF!,#REF!,#REF!,#REF!,#REF!,#REF!,#REF!,#REF!</definedName>
    <definedName name="__APW_RESTORE_DATA1368__" hidden="1">#REF!,#REF!,#REF!,#REF!,#REF!,#REF!,#REF!,#REF!,#REF!,#REF!,#REF!,#REF!,#REF!,#REF!,#REF!,#REF!</definedName>
    <definedName name="__APW_RESTORE_DATA1369__" hidden="1">#REF!,#REF!,#REF!,#REF!,#REF!,#REF!,#REF!,#REF!,#REF!,#REF!,#REF!,#REF!,#REF!,#REF!,#REF!,#REF!</definedName>
    <definedName name="__APW_RESTORE_DATA137__" hidden="1">#REF!,#REF!,#REF!,#REF!,#REF!,#REF!,#REF!,#REF!,#REF!,#REF!,#REF!,#REF!,#REF!,#REF!,#REF!</definedName>
    <definedName name="__APW_RESTORE_DATA1370__" hidden="1">#REF!,#REF!,#REF!,#REF!,#REF!,#REF!,#REF!,#REF!,#REF!,#REF!,#REF!,#REF!,#REF!,#REF!,#REF!,#REF!</definedName>
    <definedName name="__APW_RESTORE_DATA1371__" hidden="1">#REF!,#REF!,#REF!,#REF!,#REF!,#REF!,#REF!,#REF!,#REF!,#REF!,#REF!,#REF!,#REF!,#REF!,#REF!,#REF!</definedName>
    <definedName name="__APW_RESTORE_DATA1372__" hidden="1">#REF!,#REF!,#REF!,#REF!,#REF!,#REF!,#REF!,#REF!,#REF!,#REF!,#REF!,#REF!,#REF!,#REF!,#REF!,#REF!</definedName>
    <definedName name="__APW_RESTORE_DATA1373__" hidden="1">#REF!,#REF!,#REF!,#REF!,#REF!,#REF!,#REF!,#REF!,#REF!,#REF!,#REF!,#REF!,#REF!,#REF!,#REF!</definedName>
    <definedName name="__APW_RESTORE_DATA1374__" hidden="1">#REF!,#REF!,#REF!,#REF!,#REF!,#REF!,#REF!,#REF!,#REF!,#REF!,#REF!,#REF!,#REF!,#REF!,#REF!</definedName>
    <definedName name="__APW_RESTORE_DATA1375__" hidden="1">#REF!,#REF!,#REF!,#REF!,#REF!,#REF!,#REF!,#REF!,#REF!,#REF!,#REF!,#REF!,#REF!,#REF!,#REF!</definedName>
    <definedName name="__APW_RESTORE_DATA1376__" hidden="1">#REF!,#REF!,#REF!,#REF!,#REF!,#REF!,#REF!,#REF!,#REF!,#REF!,#REF!,#REF!,#REF!,#REF!,#REF!</definedName>
    <definedName name="__APW_RESTORE_DATA1377__" hidden="1">#REF!,#REF!,#REF!,#REF!,#REF!,#REF!,#REF!,#REF!,#REF!,#REF!,#REF!,#REF!,#REF!,#REF!,#REF!</definedName>
    <definedName name="__APW_RESTORE_DATA1378__" hidden="1">#REF!,#REF!,#REF!,#REF!,#REF!,#REF!,#REF!,#REF!,#REF!,#REF!,#REF!,#REF!,#REF!,#REF!,#REF!</definedName>
    <definedName name="__APW_RESTORE_DATA1379__" hidden="1">#REF!,#REF!,#REF!,#REF!,#REF!,#REF!,#REF!,#REF!,#REF!,#REF!,#REF!,#REF!,#REF!,#REF!,#REF!</definedName>
    <definedName name="__APW_RESTORE_DATA138__" hidden="1">#REF!,#REF!,#REF!,#REF!,#REF!,#REF!,#REF!,#REF!,#REF!,#REF!,#REF!,#REF!,#REF!,#REF!,#REF!</definedName>
    <definedName name="__APW_RESTORE_DATA1380__" hidden="1">#REF!,#REF!,#REF!,#REF!,#REF!,#REF!,#REF!,#REF!,#REF!,#REF!,#REF!,#REF!,#REF!,#REF!,#REF!</definedName>
    <definedName name="__APW_RESTORE_DATA1381__" hidden="1">#REF!,#REF!,#REF!,#REF!,#REF!,#REF!,#REF!,#REF!,#REF!,#REF!,#REF!,#REF!,#REF!,#REF!,#REF!</definedName>
    <definedName name="__APW_RESTORE_DATA1382__" hidden="1">#REF!,#REF!,#REF!,#REF!,#REF!,#REF!,#REF!,#REF!,#REF!,#REF!,#REF!,#REF!,#REF!,#REF!,#REF!</definedName>
    <definedName name="__APW_RESTORE_DATA1383__" hidden="1">#REF!,#REF!,#REF!,#REF!,#REF!,#REF!,#REF!,#REF!,#REF!,#REF!,#REF!,#REF!,#REF!,#REF!,#REF!</definedName>
    <definedName name="__APW_RESTORE_DATA1384__" hidden="1">#REF!,#REF!,#REF!,#REF!,#REF!,#REF!,#REF!,#REF!,#REF!,#REF!,#REF!,#REF!,#REF!,#REF!,#REF!</definedName>
    <definedName name="__APW_RESTORE_DATA1385__" hidden="1">#REF!,#REF!,#REF!,#REF!,#REF!,#REF!,#REF!,#REF!,#REF!,#REF!,#REF!,#REF!,#REF!,#REF!,#REF!</definedName>
    <definedName name="__APW_RESTORE_DATA1386__" hidden="1">#REF!,#REF!,#REF!,#REF!,#REF!,#REF!,#REF!,#REF!,#REF!,#REF!,#REF!,#REF!,#REF!,#REF!,#REF!</definedName>
    <definedName name="__APW_RESTORE_DATA1387__" hidden="1">#REF!,#REF!,#REF!,#REF!,#REF!,#REF!,#REF!,#REF!,#REF!,#REF!,#REF!,#REF!,#REF!,#REF!,#REF!</definedName>
    <definedName name="__APW_RESTORE_DATA1388__" hidden="1">#REF!,#REF!,#REF!,#REF!,#REF!,#REF!,#REF!,#REF!,#REF!,#REF!,#REF!,#REF!,#REF!,#REF!,#REF!</definedName>
    <definedName name="__APW_RESTORE_DATA1389__" hidden="1">#REF!,#REF!,#REF!,#REF!,#REF!,#REF!,#REF!,#REF!,#REF!,#REF!,#REF!,#REF!,#REF!,#REF!,#REF!</definedName>
    <definedName name="__APW_RESTORE_DATA139__" hidden="1">#REF!,#REF!</definedName>
    <definedName name="__APW_RESTORE_DATA1390__" hidden="1">#REF!,#REF!,#REF!,#REF!,#REF!,#REF!,#REF!,#REF!,#REF!,#REF!,#REF!,#REF!,#REF!,#REF!,#REF!</definedName>
    <definedName name="__APW_RESTORE_DATA1391__" hidden="1">#REF!,#REF!,#REF!,#REF!,#REF!,#REF!,#REF!,#REF!,#REF!,#REF!,#REF!,#REF!,#REF!,#REF!,#REF!</definedName>
    <definedName name="__APW_RESTORE_DATA1392__" hidden="1">#REF!,#REF!,#REF!,#REF!,#REF!,#REF!,#REF!,#REF!,#REF!,#REF!,#REF!,#REF!,#REF!,#REF!,#REF!</definedName>
    <definedName name="__APW_RESTORE_DATA1393__" hidden="1">#REF!,#REF!,#REF!,#REF!,#REF!,#REF!,#REF!,#REF!,#REF!,#REF!,#REF!,#REF!,#REF!,#REF!,#REF!</definedName>
    <definedName name="__APW_RESTORE_DATA1394__" hidden="1">#REF!,#REF!,#REF!,#REF!,#REF!,#REF!,#REF!,#REF!,#REF!,#REF!,#REF!,#REF!,#REF!,#REF!,#REF!</definedName>
    <definedName name="__APW_RESTORE_DATA1395__" hidden="1">#REF!,#REF!,#REF!,#REF!,#REF!,#REF!,#REF!,#REF!,#REF!,#REF!,#REF!,#REF!,#REF!,#REF!,#REF!</definedName>
    <definedName name="__APW_RESTORE_DATA1396__" hidden="1">#REF!,#REF!,#REF!,#REF!,#REF!,#REF!,#REF!,#REF!,#REF!,#REF!,#REF!,#REF!,#REF!,#REF!,#REF!</definedName>
    <definedName name="__APW_RESTORE_DATA1397__" hidden="1">#REF!,#REF!,#REF!,#REF!,#REF!,#REF!,#REF!,#REF!,#REF!,#REF!,#REF!,#REF!,#REF!,#REF!,#REF!</definedName>
    <definedName name="__APW_RESTORE_DATA1398__" hidden="1">#REF!,#REF!,#REF!,#REF!,#REF!,#REF!,#REF!,#REF!,#REF!,#REF!,#REF!,#REF!,#REF!,#REF!,#REF!</definedName>
    <definedName name="__APW_RESTORE_DATA1399__" hidden="1">#REF!,#REF!,#REF!,#REF!,#REF!,#REF!,#REF!,#REF!,#REF!,#REF!,#REF!,#REF!,#REF!,#REF!,#REF!</definedName>
    <definedName name="__APW_RESTORE_DATA14__" hidden="1">#REF!</definedName>
    <definedName name="__APW_RESTORE_DATA140__" hidden="1">#REF!,#REF!,#REF!,#REF!,#REF!,#REF!,#REF!,#REF!,#REF!,#REF!,#REF!,#REF!,#REF!,#REF!,#REF!</definedName>
    <definedName name="__APW_RESTORE_DATA1400__" hidden="1">#REF!,#REF!,#REF!,#REF!,#REF!,#REF!,#REF!,#REF!,#REF!,#REF!,#REF!,#REF!,#REF!,#REF!,#REF!</definedName>
    <definedName name="__APW_RESTORE_DATA1401__" hidden="1">#REF!,#REF!,#REF!,#REF!,#REF!,#REF!</definedName>
    <definedName name="__APW_RESTORE_DATA1402__" hidden="1">#REF!,#REF!,#REF!,#REF!,#REF!,#REF!,#REF!,#REF!,#REF!,#REF!,#REF!,#REF!,#REF!,#REF!,#REF!,#REF!</definedName>
    <definedName name="__APW_RESTORE_DATA1403__" hidden="1">#REF!,#REF!,#REF!,#REF!,#REF!,#REF!,#REF!,#REF!,#REF!,#REF!,#REF!,#REF!,#REF!,#REF!,#REF!,#REF!</definedName>
    <definedName name="__APW_RESTORE_DATA1404__" hidden="1">#REF!,#REF!,#REF!,#REF!,#REF!,#REF!,#REF!,#REF!,#REF!,#REF!,#REF!,#REF!,#REF!,#REF!,#REF!,#REF!</definedName>
    <definedName name="__APW_RESTORE_DATA1405__" hidden="1">#REF!,#REF!,#REF!,#REF!,#REF!,#REF!,#REF!,#REF!,#REF!,#REF!,#REF!,#REF!,#REF!,#REF!,#REF!,#REF!</definedName>
    <definedName name="__APW_RESTORE_DATA1406__" hidden="1">#REF!,#REF!,#REF!,#REF!,#REF!,#REF!,#REF!,#REF!,#REF!,#REF!,#REF!,#REF!,#REF!,#REF!,#REF!,#REF!</definedName>
    <definedName name="__APW_RESTORE_DATA1407__" hidden="1">#REF!,#REF!,#REF!,#REF!,#REF!,#REF!,#REF!,#REF!,#REF!,#REF!,#REF!,#REF!,#REF!,#REF!,#REF!,#REF!</definedName>
    <definedName name="__APW_RESTORE_DATA1408__" hidden="1">#REF!,#REF!,#REF!,#REF!,#REF!,#REF!,#REF!,#REF!,#REF!,#REF!,#REF!,#REF!,#REF!,#REF!,#REF!</definedName>
    <definedName name="__APW_RESTORE_DATA1409__" hidden="1">#REF!,#REF!,#REF!,#REF!,#REF!,#REF!,#REF!,#REF!,#REF!,#REF!,#REF!,#REF!,#REF!,#REF!,#REF!</definedName>
    <definedName name="__APW_RESTORE_DATA141__" hidden="1">#REF!,#REF!,#REF!,#REF!,#REF!,#REF!,#REF!,#REF!,#REF!,#REF!,#REF!,#REF!,#REF!,#REF!,#REF!</definedName>
    <definedName name="__APW_RESTORE_DATA1410__" hidden="1">#REF!,#REF!,#REF!,#REF!,#REF!,#REF!,#REF!,#REF!,#REF!,#REF!,#REF!,#REF!,#REF!,#REF!,#REF!</definedName>
    <definedName name="__APW_RESTORE_DATA1411__" hidden="1">#REF!,#REF!,#REF!,#REF!,#REF!,#REF!,#REF!,#REF!,#REF!,#REF!,#REF!,#REF!,#REF!,#REF!,#REF!</definedName>
    <definedName name="__APW_RESTORE_DATA1412__" hidden="1">#REF!,#REF!,#REF!,#REF!,#REF!,#REF!,#REF!,#REF!,#REF!,#REF!,#REF!,#REF!,#REF!,#REF!,#REF!</definedName>
    <definedName name="__APW_RESTORE_DATA1413__" hidden="1">#REF!,#REF!,#REF!,#REF!,#REF!,#REF!,#REF!,#REF!,#REF!,#REF!,#REF!,#REF!,#REF!,#REF!,#REF!</definedName>
    <definedName name="__APW_RESTORE_DATA1414__" hidden="1">#REF!,#REF!,#REF!,#REF!,#REF!,#REF!,#REF!,#REF!,#REF!,#REF!,#REF!,#REF!,#REF!,#REF!,#REF!</definedName>
    <definedName name="__APW_RESTORE_DATA1415__" hidden="1">#REF!,#REF!,#REF!,#REF!,#REF!,#REF!,#REF!,#REF!,#REF!,#REF!,#REF!,#REF!,#REF!,#REF!,#REF!</definedName>
    <definedName name="__APW_RESTORE_DATA1416__" hidden="1">#REF!,#REF!,#REF!,#REF!,#REF!,#REF!,#REF!,#REF!,#REF!,#REF!,#REF!,#REF!,#REF!,#REF!,#REF!</definedName>
    <definedName name="__APW_RESTORE_DATA1417__" hidden="1">#REF!,#REF!,#REF!,#REF!,#REF!,#REF!,#REF!,#REF!,#REF!,#REF!,#REF!,#REF!,#REF!,#REF!,#REF!</definedName>
    <definedName name="__APW_RESTORE_DATA1418__" hidden="1">#REF!,#REF!,#REF!,#REF!,#REF!,#REF!,#REF!,#REF!,#REF!,#REF!,#REF!,#REF!,#REF!,#REF!,#REF!</definedName>
    <definedName name="__APW_RESTORE_DATA1419__" hidden="1">#REF!,#REF!,#REF!,#REF!,#REF!,#REF!,#REF!,#REF!,#REF!,#REF!,#REF!,#REF!,#REF!,#REF!,#REF!</definedName>
    <definedName name="__APW_RESTORE_DATA142__" hidden="1">#REF!,#REF!,#REF!,#REF!,#REF!,#REF!,#REF!,#REF!,#REF!,#REF!,#REF!,#REF!,#REF!,#REF!,#REF!</definedName>
    <definedName name="__APW_RESTORE_DATA1420__" hidden="1">#REF!,#REF!,#REF!,#REF!,#REF!,#REF!,#REF!,#REF!,#REF!,#REF!,#REF!,#REF!,#REF!,#REF!,#REF!</definedName>
    <definedName name="__APW_RESTORE_DATA1421__" hidden="1">#REF!,#REF!,#REF!,#REF!,#REF!,#REF!,#REF!,#REF!,#REF!,#REF!,#REF!,#REF!,#REF!,#REF!,#REF!</definedName>
    <definedName name="__APW_RESTORE_DATA1422__" hidden="1">#REF!,#REF!,#REF!,#REF!,#REF!,#REF!,#REF!,#REF!,#REF!,#REF!,#REF!,#REF!,#REF!,#REF!,#REF!</definedName>
    <definedName name="__APW_RESTORE_DATA1423__" hidden="1">#REF!,#REF!,#REF!,#REF!,#REF!,#REF!,#REF!,#REF!,#REF!,#REF!,#REF!,#REF!,#REF!,#REF!,#REF!</definedName>
    <definedName name="__APW_RESTORE_DATA1424__" hidden="1">#REF!,#REF!,#REF!,#REF!,#REF!,#REF!,#REF!,#REF!,#REF!,#REF!,#REF!,#REF!,#REF!,#REF!,#REF!</definedName>
    <definedName name="__APW_RESTORE_DATA1425__" hidden="1">#REF!,#REF!,#REF!,#REF!,#REF!,#REF!,#REF!,#REF!,#REF!,#REF!,#REF!,#REF!,#REF!,#REF!,#REF!</definedName>
    <definedName name="__APW_RESTORE_DATA1426__" hidden="1">#REF!,#REF!,#REF!,#REF!,#REF!,#REF!,#REF!,#REF!,#REF!,#REF!,#REF!,#REF!,#REF!,#REF!,#REF!</definedName>
    <definedName name="__APW_RESTORE_DATA1427__" hidden="1">#REF!,#REF!,#REF!,#REF!,#REF!,#REF!,#REF!,#REF!,#REF!,#REF!,#REF!,#REF!,#REF!,#REF!,#REF!</definedName>
    <definedName name="__APW_RESTORE_DATA1428__" hidden="1">#REF!,#REF!,#REF!,#REF!,#REF!,#REF!,#REF!,#REF!,#REF!,#REF!,#REF!,#REF!,#REF!,#REF!,#REF!</definedName>
    <definedName name="__APW_RESTORE_DATA1429__" hidden="1">#REF!,#REF!,#REF!,#REF!,#REF!,#REF!,#REF!,#REF!,#REF!,#REF!,#REF!,#REF!,#REF!,#REF!,#REF!</definedName>
    <definedName name="__APW_RESTORE_DATA143__" hidden="1">#REF!,#REF!,#REF!,#REF!,#REF!,#REF!,#REF!,#REF!,#REF!,#REF!,#REF!,#REF!,#REF!,#REF!,#REF!</definedName>
    <definedName name="__APW_RESTORE_DATA1430__" hidden="1">#REF!,#REF!,#REF!,#REF!,#REF!,#REF!,#REF!,#REF!,#REF!,#REF!,#REF!,#REF!,#REF!,#REF!,#REF!</definedName>
    <definedName name="__APW_RESTORE_DATA1431__" hidden="1">#REF!,#REF!,#REF!,#REF!,#REF!,#REF!,#REF!,#REF!,#REF!,#REF!,#REF!,#REF!,#REF!,#REF!,#REF!</definedName>
    <definedName name="__APW_RESTORE_DATA1432__" hidden="1">#REF!,#REF!,#REF!,#REF!,#REF!,#REF!,#REF!,#REF!,#REF!,#REF!,#REF!,#REF!,#REF!,#REF!,#REF!</definedName>
    <definedName name="__APW_RESTORE_DATA1433__" hidden="1">#REF!,#REF!,#REF!,#REF!,#REF!,#REF!,#REF!,#REF!,#REF!,#REF!,#REF!,#REF!,#REF!,#REF!,#REF!</definedName>
    <definedName name="__APW_RESTORE_DATA1434__" hidden="1">#REF!,#REF!,#REF!,#REF!,#REF!,#REF!,#REF!,#REF!,#REF!,#REF!,#REF!,#REF!,#REF!,#REF!,#REF!</definedName>
    <definedName name="__APW_RESTORE_DATA1435__" hidden="1">#REF!,#REF!,#REF!,#REF!,#REF!,#REF!,#REF!,#REF!,#REF!,#REF!,#REF!,#REF!,#REF!,#REF!,#REF!</definedName>
    <definedName name="__APW_RESTORE_DATA1436__" hidden="1">#REF!,#REF!,#REF!,#REF!,#REF!,#REF!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__" hidden="1">#REF!,#REF!,#REF!,#REF!,#REF!,#REF!,#REF!</definedName>
    <definedName name="__APW_RESTORE_DATA1441__" hidden="1">#REF!</definedName>
    <definedName name="__APW_RESTORE_DATA1442__" hidden="1">#REF!,#REF!,#REF!,#REF!,#REF!,#REF!,#REF!,#REF!,#REF!,#REF!,#REF!,#REF!,#REF!,#REF!,#REF!,#REF!</definedName>
    <definedName name="__APW_RESTORE_DATA1443__" hidden="1">#REF!,#REF!,#REF!,#REF!,#REF!,#REF!,#REF!,#REF!,#REF!,#REF!,#REF!,#REF!,#REF!,#REF!,#REF!,#REF!</definedName>
    <definedName name="__APW_RESTORE_DATA1444__" hidden="1">#REF!,#REF!,#REF!,#REF!,#REF!,#REF!,#REF!,#REF!,#REF!,#REF!,#REF!,#REF!,#REF!,#REF!,#REF!,#REF!</definedName>
    <definedName name="__APW_RESTORE_DATA1445__" hidden="1">#REF!,#REF!,#REF!,#REF!,#REF!,#REF!,#REF!,#REF!,#REF!,#REF!,#REF!,#REF!,#REF!,#REF!,#REF!,#REF!</definedName>
    <definedName name="__APW_RESTORE_DATA1446__" hidden="1">#REF!,#REF!,#REF!,#REF!,#REF!,#REF!,#REF!,#REF!,#REF!,#REF!,#REF!,#REF!,#REF!,#REF!,#REF!,#REF!</definedName>
    <definedName name="__APW_RESTORE_DATA1447__" hidden="1">#REF!,#REF!,#REF!,#REF!,#REF!,#REF!,#REF!,#REF!,#REF!,#REF!,#REF!,#REF!,#REF!,#REF!,#REF!,#REF!</definedName>
    <definedName name="__APW_RESTORE_DATA1448__" hidden="1">#REF!,#REF!,#REF!,#REF!,#REF!,#REF!,#REF!,#REF!,#REF!,#REF!,#REF!,#REF!,#REF!,#REF!,#REF!</definedName>
    <definedName name="__APW_RESTORE_DATA1449__" hidden="1">#REF!,#REF!,#REF!,#REF!,#REF!,#REF!,#REF!,#REF!,#REF!,#REF!,#REF!,#REF!,#REF!,#REF!,#REF!</definedName>
    <definedName name="__APW_RESTORE_DATA145__" hidden="1">#REF!</definedName>
    <definedName name="__APW_RESTORE_DATA1450__" hidden="1">#REF!,#REF!,#REF!,#REF!,#REF!,#REF!,#REF!,#REF!,#REF!,#REF!,#REF!,#REF!,#REF!,#REF!,#REF!</definedName>
    <definedName name="__APW_RESTORE_DATA1451__" hidden="1">#REF!,#REF!,#REF!,#REF!,#REF!,#REF!,#REF!,#REF!,#REF!,#REF!,#REF!,#REF!,#REF!,#REF!,#REF!</definedName>
    <definedName name="__APW_RESTORE_DATA1452__" hidden="1">#REF!,#REF!,#REF!,#REF!,#REF!,#REF!,#REF!,#REF!,#REF!,#REF!,#REF!,#REF!,#REF!,#REF!,#REF!</definedName>
    <definedName name="__APW_RESTORE_DATA1453__" hidden="1">#REF!,#REF!,#REF!,#REF!,#REF!,#REF!,#REF!,#REF!,#REF!,#REF!,#REF!,#REF!,#REF!,#REF!,#REF!</definedName>
    <definedName name="__APW_RESTORE_DATA1454__" hidden="1">#REF!,#REF!,#REF!,#REF!,#REF!,#REF!,#REF!,#REF!,#REF!,#REF!,#REF!,#REF!,#REF!,#REF!,#REF!</definedName>
    <definedName name="__APW_RESTORE_DATA1455__" hidden="1">#REF!,#REF!,#REF!,#REF!,#REF!,#REF!,#REF!,#REF!,#REF!,#REF!,#REF!,#REF!,#REF!,#REF!,#REF!</definedName>
    <definedName name="__APW_RESTORE_DATA1456__" hidden="1">#REF!,#REF!,#REF!,#REF!,#REF!,#REF!,#REF!,#REF!,#REF!,#REF!,#REF!,#REF!,#REF!,#REF!,#REF!</definedName>
    <definedName name="__APW_RESTORE_DATA1457__" hidden="1">#REF!,#REF!,#REF!,#REF!,#REF!,#REF!,#REF!,#REF!,#REF!,#REF!,#REF!,#REF!,#REF!,#REF!,#REF!</definedName>
    <definedName name="__APW_RESTORE_DATA1458__" hidden="1">#REF!,#REF!,#REF!,#REF!,#REF!,#REF!,#REF!,#REF!,#REF!,#REF!,#REF!,#REF!,#REF!,#REF!,#REF!</definedName>
    <definedName name="__APW_RESTORE_DATA1459__" hidden="1">#REF!,#REF!,#REF!,#REF!,#REF!,#REF!,#REF!,#REF!,#REF!,#REF!,#REF!,#REF!,#REF!,#REF!,#REF!</definedName>
    <definedName name="__APW_RESTORE_DATA146__" hidden="1">#REF!</definedName>
    <definedName name="__APW_RESTORE_DATA1460__" hidden="1">#REF!,#REF!,#REF!,#REF!,#REF!,#REF!,#REF!,#REF!,#REF!,#REF!,#REF!,#REF!,#REF!,#REF!,#REF!</definedName>
    <definedName name="__APW_RESTORE_DATA1461__" hidden="1">#REF!,#REF!,#REF!,#REF!,#REF!,#REF!,#REF!,#REF!,#REF!,#REF!,#REF!,#REF!,#REF!,#REF!,#REF!</definedName>
    <definedName name="__APW_RESTORE_DATA1462__" hidden="1">#REF!,#REF!,#REF!,#REF!,#REF!,#REF!,#REF!,#REF!,#REF!,#REF!,#REF!,#REF!,#REF!,#REF!,#REF!</definedName>
    <definedName name="__APW_RESTORE_DATA1463__" hidden="1">#REF!,#REF!,#REF!,#REF!,#REF!,#REF!,#REF!,#REF!,#REF!,#REF!,#REF!,#REF!,#REF!,#REF!,#REF!</definedName>
    <definedName name="__APW_RESTORE_DATA1464__" hidden="1">#REF!,#REF!,#REF!,#REF!,#REF!,#REF!,#REF!,#REF!,#REF!,#REF!,#REF!,#REF!,#REF!,#REF!,#REF!</definedName>
    <definedName name="__APW_RESTORE_DATA1465__" hidden="1">#REF!,#REF!,#REF!,#REF!,#REF!,#REF!,#REF!,#REF!,#REF!,#REF!,#REF!,#REF!,#REF!,#REF!,#REF!</definedName>
    <definedName name="__APW_RESTORE_DATA1466__" hidden="1">#REF!,#REF!,#REF!,#REF!,#REF!,#REF!,#REF!,#REF!,#REF!,#REF!,#REF!,#REF!,#REF!,#REF!,#REF!</definedName>
    <definedName name="__APW_RESTORE_DATA1467__" hidden="1">#REF!,#REF!,#REF!,#REF!,#REF!,#REF!,#REF!,#REF!,#REF!,#REF!,#REF!,#REF!,#REF!,#REF!,#REF!</definedName>
    <definedName name="__APW_RESTORE_DATA1468__" hidden="1">#REF!,#REF!,#REF!,#REF!,#REF!,#REF!,#REF!,#REF!,#REF!,#REF!,#REF!,#REF!,#REF!,#REF!,#REF!</definedName>
    <definedName name="__APW_RESTORE_DATA1469__" hidden="1">#REF!,#REF!,#REF!,#REF!,#REF!,#REF!,#REF!,#REF!,#REF!,#REF!,#REF!,#REF!,#REF!,#REF!,#REF!</definedName>
    <definedName name="__APW_RESTORE_DATA147__" hidden="1">#REF!,#REF!,#REF!,#REF!,#REF!,#REF!,#REF!,#REF!,#REF!,#REF!,#REF!,#REF!,#REF!,#REF!,#REF!,#REF!</definedName>
    <definedName name="__APW_RESTORE_DATA1470__" hidden="1">#REF!,#REF!,#REF!,#REF!,#REF!,#REF!,#REF!,#REF!,#REF!,#REF!,#REF!,#REF!,#REF!,#REF!,#REF!</definedName>
    <definedName name="__APW_RESTORE_DATA1471__" hidden="1">#REF!,#REF!,#REF!,#REF!,#REF!,#REF!,#REF!,#REF!,#REF!,#REF!,#REF!,#REF!,#REF!,#REF!,#REF!</definedName>
    <definedName name="__APW_RESTORE_DATA1472__" hidden="1">#REF!,#REF!,#REF!,#REF!,#REF!,#REF!,#REF!,#REF!,#REF!,#REF!,#REF!,#REF!,#REF!,#REF!,#REF!</definedName>
    <definedName name="__APW_RESTORE_DATA1473__" hidden="1">#REF!,#REF!,#REF!,#REF!,#REF!,#REF!,#REF!,#REF!,#REF!,#REF!,#REF!,#REF!,#REF!,#REF!,#REF!</definedName>
    <definedName name="__APW_RESTORE_DATA1474__" hidden="1">#REF!,#REF!,#REF!,#REF!,#REF!,#REF!,#REF!,#REF!,#REF!,#REF!,#REF!,#REF!,#REF!,#REF!,#REF!</definedName>
    <definedName name="__APW_RESTORE_DATA1475__" hidden="1">#REF!,#REF!,#REF!,#REF!,#REF!,#REF!,#REF!,#REF!,#REF!,#REF!,#REF!,#REF!,#REF!,#REF!,#REF!</definedName>
    <definedName name="__APW_RESTORE_DATA1476__" hidden="1">#REF!,#REF!,#REF!,#REF!,#REF!,#REF!</definedName>
    <definedName name="__APW_RESTORE_DATA1477__" hidden="1">#REF!,#REF!,#REF!,#REF!,#REF!,#REF!,#REF!,#REF!,#REF!,#REF!,#REF!,#REF!,#REF!,#REF!,#REF!,#REF!</definedName>
    <definedName name="__APW_RESTORE_DATA1478__" hidden="1">#REF!,#REF!,#REF!,#REF!,#REF!,#REF!,#REF!,#REF!,#REF!,#REF!,#REF!,#REF!,#REF!,#REF!,#REF!,#REF!</definedName>
    <definedName name="__APW_RESTORE_DATA1479__" hidden="1">#REF!,#REF!,#REF!,#REF!,#REF!,#REF!,#REF!,#REF!,#REF!,#REF!,#REF!,#REF!,#REF!,#REF!,#REF!,#REF!</definedName>
    <definedName name="__APW_RESTORE_DATA148__" hidden="1">#REF!,#REF!,#REF!,#REF!,#REF!,#REF!,#REF!,#REF!,#REF!,#REF!,#REF!,#REF!,#REF!,#REF!,#REF!,#REF!</definedName>
    <definedName name="__APW_RESTORE_DATA1480__" hidden="1">#REF!,#REF!,#REF!,#REF!,#REF!,#REF!,#REF!,#REF!,#REF!,#REF!,#REF!,#REF!,#REF!,#REF!,#REF!,#REF!</definedName>
    <definedName name="__APW_RESTORE_DATA1481__" hidden="1">#REF!,#REF!,#REF!,#REF!,#REF!,#REF!,#REF!,#REF!,#REF!,#REF!,#REF!,#REF!,#REF!,#REF!,#REF!,#REF!</definedName>
    <definedName name="__APW_RESTORE_DATA1482__" hidden="1">#REF!,#REF!,#REF!,#REF!,#REF!,#REF!,#REF!,#REF!,#REF!,#REF!,#REF!,#REF!,#REF!,#REF!,#REF!,#REF!</definedName>
    <definedName name="__APW_RESTORE_DATA1483__" hidden="1">#REF!,#REF!,#REF!,#REF!,#REF!,#REF!,#REF!,#REF!,#REF!,#REF!,#REF!,#REF!,#REF!,#REF!,#REF!</definedName>
    <definedName name="__APW_RESTORE_DATA1484__" hidden="1">#REF!,#REF!,#REF!,#REF!,#REF!,#REF!,#REF!,#REF!,#REF!,#REF!,#REF!,#REF!,#REF!,#REF!,#REF!</definedName>
    <definedName name="__APW_RESTORE_DATA1485__" hidden="1">#REF!,#REF!,#REF!,#REF!,#REF!,#REF!,#REF!,#REF!,#REF!,#REF!,#REF!,#REF!,#REF!,#REF!,#REF!</definedName>
    <definedName name="__APW_RESTORE_DATA1486__" hidden="1">#REF!,#REF!,#REF!,#REF!,#REF!,#REF!,#REF!,#REF!,#REF!,#REF!,#REF!,#REF!,#REF!,#REF!,#REF!</definedName>
    <definedName name="__APW_RESTORE_DATA1487__" hidden="1">#REF!,#REF!,#REF!,#REF!,#REF!,#REF!,#REF!,#REF!,#REF!,#REF!,#REF!,#REF!,#REF!,#REF!,#REF!</definedName>
    <definedName name="__APW_RESTORE_DATA1488__" hidden="1">#REF!,#REF!,#REF!,#REF!,#REF!,#REF!,#REF!,#REF!,#REF!,#REF!,#REF!,#REF!,#REF!,#REF!,#REF!</definedName>
    <definedName name="__APW_RESTORE_DATA1489__" hidden="1">#REF!,#REF!,#REF!,#REF!,#REF!,#REF!,#REF!,#REF!,#REF!,#REF!,#REF!,#REF!,#REF!,#REF!,#REF!</definedName>
    <definedName name="__APW_RESTORE_DATA149__" hidden="1">#REF!,#REF!,#REF!,#REF!,#REF!,#REF!,#REF!,#REF!,#REF!,#REF!,#REF!,#REF!,#REF!,#REF!,#REF!,#REF!</definedName>
    <definedName name="__APW_RESTORE_DATA1490__" hidden="1">#REF!,#REF!,#REF!,#REF!,#REF!,#REF!,#REF!,#REF!,#REF!,#REF!,#REF!,#REF!,#REF!,#REF!,#REF!</definedName>
    <definedName name="__APW_RESTORE_DATA1491__" hidden="1">#REF!,#REF!,#REF!,#REF!,#REF!,#REF!,#REF!,#REF!,#REF!,#REF!,#REF!,#REF!,#REF!,#REF!,#REF!</definedName>
    <definedName name="__APW_RESTORE_DATA1492__" hidden="1">#REF!,#REF!,#REF!,#REF!,#REF!,#REF!,#REF!,#REF!,#REF!,#REF!,#REF!,#REF!,#REF!,#REF!,#REF!</definedName>
    <definedName name="__APW_RESTORE_DATA1493__" hidden="1">#REF!,#REF!,#REF!,#REF!,#REF!,#REF!,#REF!,#REF!,#REF!,#REF!,#REF!,#REF!,#REF!,#REF!,#REF!</definedName>
    <definedName name="__APW_RESTORE_DATA1494__" hidden="1">#REF!,#REF!,#REF!,#REF!,#REF!,#REF!,#REF!,#REF!,#REF!,#REF!,#REF!,#REF!,#REF!,#REF!,#REF!</definedName>
    <definedName name="__APW_RESTORE_DATA1495__" hidden="1">#REF!,#REF!,#REF!,#REF!,#REF!,#REF!,#REF!,#REF!,#REF!,#REF!,#REF!,#REF!,#REF!,#REF!,#REF!</definedName>
    <definedName name="__APW_RESTORE_DATA1496__" hidden="1">#REF!,#REF!,#REF!,#REF!,#REF!,#REF!,#REF!,#REF!,#REF!,#REF!,#REF!,#REF!,#REF!,#REF!,#REF!</definedName>
    <definedName name="__APW_RESTORE_DATA1497__" hidden="1">#REF!,#REF!,#REF!,#REF!,#REF!,#REF!,#REF!,#REF!,#REF!,#REF!,#REF!,#REF!,#REF!,#REF!,#REF!</definedName>
    <definedName name="__APW_RESTORE_DATA1498__" hidden="1">#REF!,#REF!,#REF!,#REF!,#REF!,#REF!,#REF!,#REF!,#REF!,#REF!,#REF!,#REF!,#REF!,#REF!,#REF!</definedName>
    <definedName name="__APW_RESTORE_DATA1499__" hidden="1">#REF!,#REF!,#REF!,#REF!,#REF!,#REF!,#REF!,#REF!,#REF!,#REF!,#REF!,#REF!,#REF!,#REF!,#REF!</definedName>
    <definedName name="__APW_RESTORE_DATA15__" hidden="1">#REF!</definedName>
    <definedName name="__APW_RESTORE_DATA150__" hidden="1">#REF!,#REF!,#REF!,#REF!,#REF!,#REF!,#REF!,#REF!,#REF!,#REF!,#REF!,#REF!,#REF!,#REF!,#REF!,#REF!</definedName>
    <definedName name="__APW_RESTORE_DATA1500__" hidden="1">#REF!,#REF!,#REF!,#REF!,#REF!,#REF!,#REF!,#REF!,#REF!,#REF!,#REF!,#REF!,#REF!,#REF!,#REF!</definedName>
    <definedName name="__APW_RESTORE_DATA1501__" hidden="1">#REF!,#REF!,#REF!,#REF!,#REF!,#REF!,#REF!,#REF!,#REF!,#REF!,#REF!,#REF!,#REF!,#REF!,#REF!</definedName>
    <definedName name="__APW_RESTORE_DATA1502__" hidden="1">#REF!,#REF!,#REF!,#REF!,#REF!,#REF!,#REF!,#REF!,#REF!,#REF!,#REF!,#REF!,#REF!,#REF!,#REF!</definedName>
    <definedName name="__APW_RESTORE_DATA1503__" hidden="1">#REF!,#REF!,#REF!,#REF!,#REF!,#REF!,#REF!,#REF!,#REF!,#REF!,#REF!,#REF!,#REF!,#REF!,#REF!</definedName>
    <definedName name="__APW_RESTORE_DATA1504__" hidden="1">#REF!,#REF!,#REF!,#REF!,#REF!,#REF!,#REF!,#REF!,#REF!,#REF!,#REF!,#REF!,#REF!,#REF!,#REF!</definedName>
    <definedName name="__APW_RESTORE_DATA1505__" hidden="1">#REF!,#REF!,#REF!,#REF!,#REF!,#REF!,#REF!,#REF!,#REF!,#REF!,#REF!,#REF!,#REF!,#REF!,#REF!</definedName>
    <definedName name="__APW_RESTORE_DATA1506__" hidden="1">#REF!,#REF!,#REF!,#REF!,#REF!,#REF!,#REF!,#REF!,#REF!,#REF!,#REF!,#REF!,#REF!,#REF!,#REF!</definedName>
    <definedName name="__APW_RESTORE_DATA1507__" hidden="1">#REF!,#REF!,#REF!,#REF!,#REF!,#REF!,#REF!,#REF!,#REF!,#REF!,#REF!,#REF!,#REF!,#REF!,#REF!</definedName>
    <definedName name="__APW_RESTORE_DATA1508__" hidden="1">#REF!,#REF!,#REF!,#REF!,#REF!,#REF!,#REF!,#REF!,#REF!,#REF!,#REF!,#REF!,#REF!,#REF!,#REF!</definedName>
    <definedName name="__APW_RESTORE_DATA1509__" hidden="1">#REF!,#REF!,#REF!,#REF!,#REF!,#REF!,#REF!,#REF!,#REF!,#REF!,#REF!,#REF!,#REF!,#REF!,#REF!</definedName>
    <definedName name="__APW_RESTORE_DATA151__" hidden="1">#REF!,#REF!,#REF!,#REF!,#REF!,#REF!,#REF!,#REF!,#REF!,#REF!,#REF!,#REF!,#REF!,#REF!,#REF!,#REF!</definedName>
    <definedName name="__APW_RESTORE_DATA1510__" hidden="1">#REF!,#REF!,#REF!,#REF!,#REF!,#REF!,#REF!,#REF!,#REF!,#REF!,#REF!,#REF!,#REF!,#REF!,#REF!</definedName>
    <definedName name="__APW_RESTORE_DATA1511__" hidden="1">#REF!,#REF!,#REF!,#REF!,#REF!,#REF!</definedName>
    <definedName name="__APW_RESTORE_DATA1512__" hidden="1">#REF!,#REF!,#REF!,#REF!,#REF!,#REF!,#REF!,#REF!,#REF!,#REF!,#REF!,#REF!,#REF!,#REF!,#REF!,#REF!</definedName>
    <definedName name="__APW_RESTORE_DATA1513__" hidden="1">#REF!,#REF!,#REF!,#REF!,#REF!,#REF!,#REF!,#REF!,#REF!,#REF!,#REF!,#REF!,#REF!,#REF!,#REF!,#REF!</definedName>
    <definedName name="__APW_RESTORE_DATA1514__" hidden="1">#REF!,#REF!,#REF!,#REF!,#REF!,#REF!,#REF!,#REF!,#REF!,#REF!,#REF!,#REF!,#REF!,#REF!,#REF!,#REF!</definedName>
    <definedName name="__APW_RESTORE_DATA1515__" hidden="1">#REF!,#REF!,#REF!,#REF!,#REF!,#REF!,#REF!,#REF!,#REF!,#REF!,#REF!,#REF!,#REF!,#REF!,#REF!,#REF!</definedName>
    <definedName name="__APW_RESTORE_DATA1516__" hidden="1">#REF!,#REF!,#REF!,#REF!,#REF!,#REF!,#REF!,#REF!,#REF!,#REF!,#REF!,#REF!,#REF!,#REF!,#REF!,#REF!</definedName>
    <definedName name="__APW_RESTORE_DATA1517__" hidden="1">#REF!,#REF!,#REF!,#REF!,#REF!,#REF!,#REF!,#REF!,#REF!,#REF!,#REF!,#REF!,#REF!,#REF!,#REF!,#REF!</definedName>
    <definedName name="__APW_RESTORE_DATA1518__" hidden="1">#REF!,#REF!,#REF!,#REF!,#REF!,#REF!,#REF!,#REF!,#REF!,#REF!,#REF!,#REF!,#REF!,#REF!,#REF!</definedName>
    <definedName name="__APW_RESTORE_DATA1519__" hidden="1">#REF!,#REF!,#REF!,#REF!,#REF!,#REF!,#REF!,#REF!,#REF!,#REF!,#REF!,#REF!,#REF!,#REF!,#REF!</definedName>
    <definedName name="__APW_RESTORE_DATA152__" hidden="1">#REF!,#REF!,#REF!,#REF!,#REF!,#REF!,#REF!,#REF!,#REF!,#REF!,#REF!,#REF!,#REF!,#REF!,#REF!,#REF!</definedName>
    <definedName name="__APW_RESTORE_DATA1520__" hidden="1">#REF!,#REF!,#REF!,#REF!,#REF!,#REF!,#REF!,#REF!,#REF!,#REF!,#REF!,#REF!,#REF!,#REF!,#REF!</definedName>
    <definedName name="__APW_RESTORE_DATA1521__" hidden="1">#REF!,#REF!,#REF!,#REF!,#REF!,#REF!,#REF!,#REF!,#REF!,#REF!,#REF!,#REF!,#REF!,#REF!,#REF!</definedName>
    <definedName name="__APW_RESTORE_DATA1522__" hidden="1">#REF!,#REF!,#REF!,#REF!,#REF!,#REF!,#REF!,#REF!,#REF!,#REF!,#REF!,#REF!,#REF!,#REF!,#REF!</definedName>
    <definedName name="__APW_RESTORE_DATA1523__" hidden="1">#REF!,#REF!,#REF!,#REF!,#REF!,#REF!,#REF!,#REF!,#REF!,#REF!,#REF!,#REF!,#REF!,#REF!,#REF!</definedName>
    <definedName name="__APW_RESTORE_DATA1524__" hidden="1">#REF!,#REF!,#REF!,#REF!,#REF!,#REF!,#REF!,#REF!,#REF!,#REF!,#REF!,#REF!,#REF!,#REF!,#REF!</definedName>
    <definedName name="__APW_RESTORE_DATA1525__" hidden="1">#REF!,#REF!,#REF!,#REF!,#REF!,#REF!,#REF!,#REF!,#REF!,#REF!,#REF!,#REF!,#REF!,#REF!,#REF!</definedName>
    <definedName name="__APW_RESTORE_DATA1526__" hidden="1">#REF!,#REF!,#REF!,#REF!,#REF!,#REF!,#REF!,#REF!,#REF!,#REF!,#REF!,#REF!,#REF!,#REF!,#REF!</definedName>
    <definedName name="__APW_RESTORE_DATA1527__" hidden="1">#REF!,#REF!,#REF!,#REF!,#REF!,#REF!,#REF!,#REF!,#REF!,#REF!,#REF!,#REF!,#REF!,#REF!,#REF!</definedName>
    <definedName name="__APW_RESTORE_DATA1528__" hidden="1">#REF!,#REF!,#REF!,#REF!,#REF!,#REF!,#REF!,#REF!,#REF!,#REF!,#REF!,#REF!,#REF!,#REF!,#REF!</definedName>
    <definedName name="__APW_RESTORE_DATA1529__" hidden="1">#REF!,#REF!,#REF!,#REF!,#REF!,#REF!,#REF!,#REF!,#REF!,#REF!,#REF!,#REF!,#REF!,#REF!,#REF!</definedName>
    <definedName name="__APW_RESTORE_DATA153__" hidden="1">#REF!,#REF!,#REF!,#REF!,#REF!,#REF!,#REF!,#REF!,#REF!,#REF!,#REF!,#REF!,#REF!,#REF!,#REF!</definedName>
    <definedName name="__APW_RESTORE_DATA1530__" hidden="1">#REF!,#REF!,#REF!,#REF!,#REF!,#REF!,#REF!,#REF!,#REF!,#REF!,#REF!,#REF!,#REF!,#REF!,#REF!</definedName>
    <definedName name="__APW_RESTORE_DATA1531__" hidden="1">#REF!,#REF!,#REF!,#REF!,#REF!,#REF!,#REF!,#REF!,#REF!,#REF!,#REF!,#REF!,#REF!,#REF!,#REF!</definedName>
    <definedName name="__APW_RESTORE_DATA1532__" hidden="1">#REF!,#REF!,#REF!,#REF!,#REF!,#REF!,#REF!,#REF!,#REF!,#REF!,#REF!,#REF!,#REF!,#REF!,#REF!</definedName>
    <definedName name="__APW_RESTORE_DATA1533__" hidden="1">#REF!,#REF!,#REF!,#REF!,#REF!,#REF!,#REF!,#REF!,#REF!,#REF!,#REF!,#REF!,#REF!,#REF!,#REF!</definedName>
    <definedName name="__APW_RESTORE_DATA1534__" hidden="1">#REF!,#REF!,#REF!,#REF!,#REF!,#REF!,#REF!,#REF!,#REF!,#REF!,#REF!,#REF!,#REF!,#REF!,#REF!</definedName>
    <definedName name="__APW_RESTORE_DATA1535__" hidden="1">#REF!,#REF!,#REF!,#REF!,#REF!,#REF!,#REF!,#REF!,#REF!,#REF!,#REF!,#REF!,#REF!,#REF!,#REF!</definedName>
    <definedName name="__APW_RESTORE_DATA1536__" hidden="1">#REF!,#REF!,#REF!,#REF!,#REF!,#REF!,#REF!,#REF!,#REF!,#REF!,#REF!,#REF!,#REF!,#REF!,#REF!</definedName>
    <definedName name="__APW_RESTORE_DATA1537__" hidden="1">#REF!,#REF!,#REF!,#REF!,#REF!,#REF!,#REF!,#REF!,#REF!,#REF!,#REF!,#REF!,#REF!,#REF!,#REF!</definedName>
    <definedName name="__APW_RESTORE_DATA1538__" hidden="1">#REF!,#REF!,#REF!,#REF!,#REF!,#REF!,#REF!,#REF!,#REF!,#REF!,#REF!,#REF!,#REF!,#REF!,#REF!</definedName>
    <definedName name="__APW_RESTORE_DATA1539__" hidden="1">#REF!,#REF!,#REF!,#REF!,#REF!,#REF!,#REF!,#REF!,#REF!,#REF!,#REF!,#REF!,#REF!,#REF!,#REF!</definedName>
    <definedName name="__APW_RESTORE_DATA154__" hidden="1">#REF!,#REF!</definedName>
    <definedName name="__APW_RESTORE_DATA1540__" hidden="1">#REF!,#REF!,#REF!,#REF!,#REF!,#REF!,#REF!,#REF!,#REF!,#REF!,#REF!,#REF!,#REF!,#REF!,#REF!</definedName>
    <definedName name="__APW_RESTORE_DATA1541__" hidden="1">#REF!,#REF!,#REF!,#REF!,#REF!,#REF!,#REF!,#REF!,#REF!,#REF!,#REF!,#REF!,#REF!,#REF!,#REF!</definedName>
    <definedName name="__APW_RESTORE_DATA1542__" hidden="1">#REF!,#REF!,#REF!,#REF!,#REF!,#REF!,#REF!,#REF!,#REF!,#REF!,#REF!,#REF!,#REF!,#REF!,#REF!</definedName>
    <definedName name="__APW_RESTORE_DATA1543__" hidden="1">#REF!,#REF!,#REF!,#REF!,#REF!,#REF!,#REF!,#REF!,#REF!,#REF!,#REF!,#REF!,#REF!,#REF!,#REF!</definedName>
    <definedName name="__APW_RESTORE_DATA1544__" hidden="1">#REF!,#REF!,#REF!,#REF!,#REF!,#REF!,#REF!,#REF!,#REF!,#REF!,#REF!,#REF!,#REF!,#REF!,#REF!</definedName>
    <definedName name="__APW_RESTORE_DATA1545__" hidden="1">#REF!,#REF!,#REF!,#REF!,#REF!,#REF!,#REF!,#REF!,#REF!,#REF!,#REF!,#REF!,#REF!,#REF!,#REF!</definedName>
    <definedName name="__APW_RESTORE_DATA1546__" hidden="1">#REF!,#REF!,#REF!,#REF!,#REF!,#REF!</definedName>
    <definedName name="__APW_RESTORE_DATA1547__" hidden="1">#REF!,#REF!,#REF!,#REF!,#REF!,#REF!,#REF!,#REF!,#REF!,#REF!,#REF!,#REF!,#REF!,#REF!,#REF!,#REF!</definedName>
    <definedName name="__APW_RESTORE_DATA1548__" hidden="1">#REF!,#REF!,#REF!,#REF!,#REF!,#REF!,#REF!,#REF!,#REF!,#REF!,#REF!,#REF!,#REF!,#REF!,#REF!,#REF!</definedName>
    <definedName name="__APW_RESTORE_DATA1549__" hidden="1">#REF!,#REF!,#REF!,#REF!,#REF!,#REF!,#REF!,#REF!,#REF!,#REF!,#REF!,#REF!,#REF!,#REF!,#REF!,#REF!</definedName>
    <definedName name="__APW_RESTORE_DATA155__" hidden="1">#REF!,#REF!</definedName>
    <definedName name="__APW_RESTORE_DATA1550__" hidden="1">#REF!,#REF!,#REF!,#REF!,#REF!,#REF!,#REF!,#REF!,#REF!,#REF!,#REF!,#REF!,#REF!,#REF!,#REF!,#REF!</definedName>
    <definedName name="__APW_RESTORE_DATA1551__" hidden="1">#REF!,#REF!,#REF!,#REF!,#REF!,#REF!,#REF!,#REF!,#REF!,#REF!,#REF!,#REF!,#REF!,#REF!,#REF!,#REF!</definedName>
    <definedName name="__APW_RESTORE_DATA1552__" hidden="1">#REF!,#REF!,#REF!,#REF!,#REF!,#REF!,#REF!,#REF!,#REF!,#REF!,#REF!,#REF!,#REF!,#REF!,#REF!,#REF!</definedName>
    <definedName name="__APW_RESTORE_DATA1553__" hidden="1">#REF!,#REF!,#REF!,#REF!,#REF!,#REF!,#REF!,#REF!,#REF!,#REF!,#REF!,#REF!,#REF!,#REF!,#REF!</definedName>
    <definedName name="__APW_RESTORE_DATA1554__" hidden="1">#REF!,#REF!,#REF!,#REF!,#REF!,#REF!,#REF!,#REF!,#REF!,#REF!,#REF!,#REF!,#REF!,#REF!,#REF!</definedName>
    <definedName name="__APW_RESTORE_DATA1555__" hidden="1">#REF!,#REF!,#REF!,#REF!,#REF!,#REF!,#REF!,#REF!,#REF!,#REF!,#REF!,#REF!,#REF!,#REF!,#REF!</definedName>
    <definedName name="__APW_RESTORE_DATA1556__" hidden="1">#REF!,#REF!,#REF!,#REF!,#REF!,#REF!,#REF!,#REF!,#REF!,#REF!,#REF!,#REF!,#REF!,#REF!,#REF!</definedName>
    <definedName name="__APW_RESTORE_DATA1557__" hidden="1">#REF!,#REF!,#REF!,#REF!,#REF!,#REF!,#REF!,#REF!,#REF!,#REF!,#REF!,#REF!,#REF!,#REF!,#REF!</definedName>
    <definedName name="__APW_RESTORE_DATA1558__" hidden="1">#REF!,#REF!,#REF!,#REF!,#REF!,#REF!,#REF!,#REF!,#REF!,#REF!,#REF!,#REF!,#REF!,#REF!,#REF!</definedName>
    <definedName name="__APW_RESTORE_DATA1559__" hidden="1">#REF!,#REF!,#REF!,#REF!,#REF!,#REF!,#REF!,#REF!,#REF!,#REF!,#REF!,#REF!,#REF!,#REF!,#REF!</definedName>
    <definedName name="__APW_RESTORE_DATA156__" hidden="1">#REF!,#REF!,#REF!,#REF!,#REF!,#REF!,#REF!,#REF!,#REF!,#REF!,#REF!,#REF!,#REF!,#REF!,#REF!</definedName>
    <definedName name="__APW_RESTORE_DATA1560__" hidden="1">#REF!,#REF!,#REF!,#REF!,#REF!,#REF!,#REF!,#REF!,#REF!,#REF!,#REF!,#REF!,#REF!,#REF!,#REF!</definedName>
    <definedName name="__APW_RESTORE_DATA1561__" hidden="1">#REF!,#REF!,#REF!,#REF!,#REF!,#REF!,#REF!,#REF!,#REF!,#REF!,#REF!,#REF!,#REF!,#REF!,#REF!</definedName>
    <definedName name="__APW_RESTORE_DATA1562__" hidden="1">#REF!,#REF!,#REF!,#REF!,#REF!,#REF!,#REF!,#REF!,#REF!,#REF!,#REF!,#REF!,#REF!,#REF!,#REF!</definedName>
    <definedName name="__APW_RESTORE_DATA1563__" hidden="1">#REF!,#REF!,#REF!,#REF!,#REF!,#REF!,#REF!,#REF!,#REF!,#REF!,#REF!,#REF!,#REF!,#REF!,#REF!</definedName>
    <definedName name="__APW_RESTORE_DATA1564__" hidden="1">#REF!,#REF!,#REF!,#REF!,#REF!,#REF!,#REF!,#REF!,#REF!,#REF!,#REF!,#REF!,#REF!,#REF!,#REF!</definedName>
    <definedName name="__APW_RESTORE_DATA1565__" hidden="1">#REF!,#REF!,#REF!,#REF!,#REF!,#REF!,#REF!,#REF!,#REF!,#REF!,#REF!,#REF!,#REF!,#REF!,#REF!</definedName>
    <definedName name="__APW_RESTORE_DATA1566__" hidden="1">#REF!,#REF!,#REF!,#REF!,#REF!,#REF!,#REF!,#REF!,#REF!,#REF!,#REF!,#REF!,#REF!,#REF!,#REF!</definedName>
    <definedName name="__APW_RESTORE_DATA1567__" hidden="1">#REF!,#REF!,#REF!,#REF!,#REF!,#REF!,#REF!,#REF!,#REF!,#REF!,#REF!,#REF!,#REF!,#REF!,#REF!</definedName>
    <definedName name="__APW_RESTORE_DATA1568__" hidden="1">#REF!,#REF!,#REF!,#REF!,#REF!,#REF!,#REF!,#REF!,#REF!,#REF!,#REF!,#REF!,#REF!,#REF!,#REF!</definedName>
    <definedName name="__APW_RESTORE_DATA1569__" hidden="1">#REF!,#REF!,#REF!,#REF!,#REF!,#REF!,#REF!,#REF!,#REF!,#REF!,#REF!,#REF!,#REF!,#REF!,#REF!</definedName>
    <definedName name="__APW_RESTORE_DATA157__" hidden="1">#REF!,#REF!,#REF!,#REF!,#REF!,#REF!,#REF!,#REF!,#REF!,#REF!,#REF!,#REF!,#REF!,#REF!,#REF!</definedName>
    <definedName name="__APW_RESTORE_DATA1570__" hidden="1">#REF!,#REF!,#REF!,#REF!,#REF!,#REF!,#REF!,#REF!,#REF!,#REF!,#REF!,#REF!,#REF!,#REF!,#REF!</definedName>
    <definedName name="__APW_RESTORE_DATA1571__" hidden="1">#REF!,#REF!,#REF!,#REF!,#REF!,#REF!,#REF!,#REF!,#REF!,#REF!,#REF!,#REF!,#REF!,#REF!,#REF!</definedName>
    <definedName name="__APW_RESTORE_DATA1572__" hidden="1">#REF!,#REF!,#REF!,#REF!,#REF!,#REF!,#REF!,#REF!,#REF!,#REF!,#REF!,#REF!,#REF!,#REF!,#REF!</definedName>
    <definedName name="__APW_RESTORE_DATA1573__" hidden="1">#REF!,#REF!,#REF!,#REF!,#REF!,#REF!,#REF!,#REF!,#REF!,#REF!,#REF!,#REF!,#REF!,#REF!,#REF!</definedName>
    <definedName name="__APW_RESTORE_DATA1574__" hidden="1">#REF!,#REF!,#REF!,#REF!,#REF!,#REF!,#REF!,#REF!,#REF!,#REF!,#REF!,#REF!,#REF!,#REF!,#REF!</definedName>
    <definedName name="__APW_RESTORE_DATA1575__" hidden="1">#REF!,#REF!,#REF!,#REF!,#REF!,#REF!,#REF!,#REF!,#REF!,#REF!,#REF!,#REF!,#REF!,#REF!,#REF!</definedName>
    <definedName name="__APW_RESTORE_DATA1576__" hidden="1">#REF!,#REF!,#REF!,#REF!,#REF!,#REF!,#REF!,#REF!,#REF!,#REF!,#REF!,#REF!,#REF!,#REF!,#REF!</definedName>
    <definedName name="__APW_RESTORE_DATA1577__" hidden="1">#REF!,#REF!,#REF!,#REF!,#REF!,#REF!,#REF!,#REF!,#REF!,#REF!,#REF!,#REF!,#REF!,#REF!,#REF!</definedName>
    <definedName name="__APW_RESTORE_DATA1578__" hidden="1">#REF!,#REF!,#REF!,#REF!,#REF!,#REF!,#REF!,#REF!,#REF!,#REF!,#REF!,#REF!,#REF!,#REF!,#REF!</definedName>
    <definedName name="__APW_RESTORE_DATA1579__" hidden="1">#REF!,#REF!,#REF!,#REF!,#REF!,#REF!,#REF!,#REF!,#REF!,#REF!,#REF!,#REF!,#REF!,#REF!,#REF!</definedName>
    <definedName name="__APW_RESTORE_DATA158__" hidden="1">#REF!,#REF!,#REF!,#REF!,#REF!,#REF!,#REF!,#REF!,#REF!,#REF!,#REF!,#REF!,#REF!,#REF!,#REF!</definedName>
    <definedName name="__APW_RESTORE_DATA1580__" hidden="1">#REF!,#REF!,#REF!,#REF!,#REF!,#REF!,#REF!,#REF!,#REF!,#REF!,#REF!,#REF!,#REF!,#REF!,#REF!</definedName>
    <definedName name="__APW_RESTORE_DATA1581__" hidden="1">#REF!,#REF!,#REF!,#REF!,#REF!,#REF!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#REF!,#REF!,#REF!,#REF!,#REF!,#REF!,#REF!,#REF!,#REF!,#REF!,#REF!,#REF!,#REF!,#REF!,#REF!,#REF!</definedName>
    <definedName name="__APW_RESTORE_DATA1588__" hidden="1">#REF!,#REF!,#REF!,#REF!,#REF!,#REF!,#REF!,#REF!,#REF!,#REF!,#REF!,#REF!,#REF!,#REF!,#REF!,#REF!</definedName>
    <definedName name="__APW_RESTORE_DATA1589__" hidden="1">#REF!,#REF!,#REF!,#REF!,#REF!,#REF!,#REF!,#REF!,#REF!,#REF!,#REF!,#REF!,#REF!,#REF!,#REF!,#REF!</definedName>
    <definedName name="__APW_RESTORE_DATA159__" hidden="1">#REF!,#REF!,#REF!,#REF!,#REF!,#REF!,#REF!,#REF!,#REF!,#REF!,#REF!,#REF!,#REF!,#REF!,#REF!</definedName>
    <definedName name="__APW_RESTORE_DATA1590__" hidden="1">#REF!,#REF!,#REF!,#REF!,#REF!,#REF!,#REF!,#REF!,#REF!,#REF!,#REF!,#REF!,#REF!,#REF!,#REF!,#REF!</definedName>
    <definedName name="__APW_RESTORE_DATA1591__" hidden="1">#REF!,#REF!,#REF!,#REF!,#REF!,#REF!,#REF!,#REF!,#REF!,#REF!,#REF!,#REF!,#REF!,#REF!,#REF!,#REF!</definedName>
    <definedName name="__APW_RESTORE_DATA1592__" hidden="1">#REF!,#REF!,#REF!,#REF!,#REF!,#REF!,#REF!,#REF!,#REF!,#REF!,#REF!,#REF!,#REF!,#REF!,#REF!,#REF!</definedName>
    <definedName name="__APW_RESTORE_DATA1593__" hidden="1">#REF!,#REF!,#REF!,#REF!,#REF!,#REF!,#REF!,#REF!,#REF!,#REF!,#REF!,#REF!,#REF!,#REF!,#REF!</definedName>
    <definedName name="__APW_RESTORE_DATA1594__" hidden="1">#REF!,#REF!,#REF!,#REF!,#REF!,#REF!,#REF!,#REF!,#REF!,#REF!,#REF!,#REF!,#REF!,#REF!,#REF!</definedName>
    <definedName name="__APW_RESTORE_DATA1595__" hidden="1">#REF!,#REF!,#REF!,#REF!,#REF!,#REF!,#REF!,#REF!,#REF!,#REF!,#REF!,#REF!,#REF!,#REF!,#REF!</definedName>
    <definedName name="__APW_RESTORE_DATA1596__" hidden="1">#REF!,#REF!,#REF!,#REF!,#REF!,#REF!,#REF!,#REF!,#REF!,#REF!,#REF!,#REF!,#REF!,#REF!,#REF!</definedName>
    <definedName name="__APW_RESTORE_DATA1597__" hidden="1">#REF!,#REF!,#REF!,#REF!,#REF!,#REF!,#REF!,#REF!,#REF!,#REF!,#REF!,#REF!,#REF!,#REF!,#REF!</definedName>
    <definedName name="__APW_RESTORE_DATA1598__" hidden="1">#REF!,#REF!,#REF!,#REF!,#REF!,#REF!,#REF!,#REF!,#REF!,#REF!,#REF!,#REF!,#REF!,#REF!,#REF!</definedName>
    <definedName name="__APW_RESTORE_DATA1599__" hidden="1">#REF!,#REF!,#REF!,#REF!,#REF!,#REF!,#REF!,#REF!,#REF!,#REF!,#REF!,#REF!,#REF!,#REF!,#REF!</definedName>
    <definedName name="__APW_RESTORE_DATA16__" hidden="1">#REF!,#REF!,#REF!,#REF!,#REF!,#REF!,#REF!,#REF!,#REF!,#REF!,#REF!,#REF!,#REF!,#REF!,#REF!,#REF!</definedName>
    <definedName name="__APW_RESTORE_DATA160__" hidden="1">#REF!,#REF!,#REF!,#REF!,#REF!,#REF!,#REF!,#REF!,#REF!,#REF!,#REF!,#REF!,#REF!,#REF!,#REF!</definedName>
    <definedName name="__APW_RESTORE_DATA1600__" hidden="1">#REF!,#REF!,#REF!,#REF!,#REF!,#REF!,#REF!,#REF!,#REF!,#REF!,#REF!,#REF!,#REF!,#REF!,#REF!</definedName>
    <definedName name="__APW_RESTORE_DATA1601__" hidden="1">#REF!,#REF!,#REF!,#REF!,#REF!,#REF!,#REF!,#REF!,#REF!,#REF!,#REF!,#REF!,#REF!,#REF!,#REF!</definedName>
    <definedName name="__APW_RESTORE_DATA1602__" hidden="1">#REF!,#REF!,#REF!,#REF!,#REF!,#REF!,#REF!,#REF!,#REF!,#REF!,#REF!,#REF!,#REF!,#REF!,#REF!</definedName>
    <definedName name="__APW_RESTORE_DATA1603__" hidden="1">#REF!,#REF!,#REF!,#REF!,#REF!,#REF!,#REF!,#REF!,#REF!,#REF!,#REF!,#REF!,#REF!,#REF!,#REF!</definedName>
    <definedName name="__APW_RESTORE_DATA1604__" hidden="1">#REF!,#REF!,#REF!,#REF!,#REF!,#REF!,#REF!,#REF!,#REF!,#REF!,#REF!,#REF!,#REF!,#REF!,#REF!</definedName>
    <definedName name="__APW_RESTORE_DATA1605__" hidden="1">#REF!,#REF!,#REF!,#REF!,#REF!,#REF!,#REF!,#REF!,#REF!,#REF!,#REF!,#REF!,#REF!,#REF!,#REF!</definedName>
    <definedName name="__APW_RESTORE_DATA1606__" hidden="1">#REF!,#REF!,#REF!,#REF!,#REF!,#REF!,#REF!,#REF!,#REF!,#REF!,#REF!,#REF!,#REF!,#REF!,#REF!</definedName>
    <definedName name="__APW_RESTORE_DATA1607__" hidden="1">#REF!,#REF!,#REF!,#REF!,#REF!,#REF!,#REF!,#REF!,#REF!,#REF!,#REF!,#REF!,#REF!,#REF!,#REF!</definedName>
    <definedName name="__APW_RESTORE_DATA1608__" hidden="1">#REF!,#REF!,#REF!,#REF!,#REF!,#REF!,#REF!,#REF!,#REF!,#REF!,#REF!,#REF!,#REF!,#REF!,#REF!</definedName>
    <definedName name="__APW_RESTORE_DATA1609__" hidden="1">#REF!,#REF!,#REF!,#REF!,#REF!,#REF!,#REF!,#REF!,#REF!,#REF!,#REF!,#REF!,#REF!,#REF!,#REF!</definedName>
    <definedName name="__APW_RESTORE_DATA161__" hidden="1">#REF!,#REF!,#REF!,#REF!,#REF!,#REF!,#REF!,#REF!,#REF!,#REF!,#REF!,#REF!,#REF!,#REF!,#REF!</definedName>
    <definedName name="__APW_RESTORE_DATA1610__" hidden="1">#REF!,#REF!,#REF!,#REF!,#REF!,#REF!,#REF!,#REF!,#REF!,#REF!,#REF!,#REF!,#REF!,#REF!,#REF!</definedName>
    <definedName name="__APW_RESTORE_DATA1611__" hidden="1">#REF!,#REF!,#REF!,#REF!,#REF!,#REF!,#REF!,#REF!,#REF!,#REF!,#REF!,#REF!,#REF!,#REF!,#REF!</definedName>
    <definedName name="__APW_RESTORE_DATA1612__" hidden="1">#REF!,#REF!,#REF!,#REF!,#REF!,#REF!,#REF!,#REF!,#REF!,#REF!,#REF!,#REF!,#REF!,#REF!,#REF!</definedName>
    <definedName name="__APW_RESTORE_DATA1613__" hidden="1">#REF!,#REF!,#REF!,#REF!,#REF!,#REF!,#REF!,#REF!,#REF!,#REF!,#REF!,#REF!,#REF!,#REF!,#REF!</definedName>
    <definedName name="__APW_RESTORE_DATA1614__" hidden="1">#REF!,#REF!,#REF!,#REF!,#REF!,#REF!,#REF!,#REF!,#REF!,#REF!,#REF!,#REF!,#REF!,#REF!,#REF!</definedName>
    <definedName name="__APW_RESTORE_DATA1615__" hidden="1">#REF!,#REF!,#REF!,#REF!,#REF!,#REF!,#REF!,#REF!,#REF!,#REF!,#REF!,#REF!,#REF!,#REF!,#REF!</definedName>
    <definedName name="__APW_RESTORE_DATA1616__" hidden="1">#REF!,#REF!,#REF!,#REF!,#REF!,#REF!,#REF!,#REF!,#REF!,#REF!,#REF!,#REF!,#REF!,#REF!,#REF!</definedName>
    <definedName name="__APW_RESTORE_DATA1617__" hidden="1">#REF!,#REF!,#REF!,#REF!,#REF!,#REF!,#REF!,#REF!,#REF!,#REF!,#REF!,#REF!,#REF!,#REF!,#REF!</definedName>
    <definedName name="__APW_RESTORE_DATA1618__" hidden="1">#REF!,#REF!,#REF!,#REF!,#REF!,#REF!,#REF!,#REF!,#REF!,#REF!,#REF!,#REF!,#REF!,#REF!,#REF!</definedName>
    <definedName name="__APW_RESTORE_DATA1619__" hidden="1">#REF!,#REF!,#REF!,#REF!,#REF!,#REF!,#REF!,#REF!,#REF!,#REF!,#REF!,#REF!,#REF!,#REF!,#REF!</definedName>
    <definedName name="__APW_RESTORE_DATA162__" hidden="1">#REF!,#REF!,#REF!,#REF!,#REF!,#REF!,#REF!,#REF!,#REF!,#REF!,#REF!,#REF!,#REF!,#REF!,#REF!</definedName>
    <definedName name="__APW_RESTORE_DATA1620__" hidden="1">#REF!,#REF!,#REF!,#REF!,#REF!,#REF!,#REF!,#REF!,#REF!,#REF!,#REF!,#REF!,#REF!,#REF!,#REF!</definedName>
    <definedName name="__APW_RESTORE_DATA1621__" hidden="1">#REF!,#REF!,#REF!,#REF!,#REF!,#REF!</definedName>
    <definedName name="__APW_RESTORE_DATA1622__" hidden="1">#REF!,#REF!,#REF!,#REF!,#REF!,#REF!,#REF!,#REF!,#REF!,#REF!,#REF!,#REF!,#REF!,#REF!,#REF!,#REF!</definedName>
    <definedName name="__APW_RESTORE_DATA1623__" hidden="1">#REF!,#REF!,#REF!,#REF!,#REF!,#REF!,#REF!,#REF!,#REF!,#REF!,#REF!,#REF!,#REF!,#REF!,#REF!,#REF!</definedName>
    <definedName name="__APW_RESTORE_DATA1624__" hidden="1">#REF!,#REF!,#REF!,#REF!,#REF!,#REF!,#REF!,#REF!,#REF!,#REF!,#REF!,#REF!,#REF!,#REF!,#REF!,#REF!</definedName>
    <definedName name="__APW_RESTORE_DATA1625__" hidden="1">#REF!,#REF!,#REF!,#REF!,#REF!,#REF!,#REF!,#REF!,#REF!,#REF!,#REF!,#REF!,#REF!,#REF!,#REF!,#REF!</definedName>
    <definedName name="__APW_RESTORE_DATA1626__" hidden="1">#REF!,#REF!,#REF!,#REF!,#REF!,#REF!,#REF!,#REF!,#REF!,#REF!,#REF!,#REF!,#REF!,#REF!,#REF!,#REF!</definedName>
    <definedName name="__APW_RESTORE_DATA1627__" hidden="1">#REF!,#REF!,#REF!,#REF!,#REF!,#REF!,#REF!,#REF!,#REF!,#REF!,#REF!,#REF!,#REF!,#REF!,#REF!,#REF!</definedName>
    <definedName name="__APW_RESTORE_DATA1628__" hidden="1">#REF!,#REF!,#REF!,#REF!,#REF!,#REF!,#REF!,#REF!,#REF!,#REF!,#REF!,#REF!,#REF!,#REF!,#REF!</definedName>
    <definedName name="__APW_RESTORE_DATA1629__" hidden="1">#REF!,#REF!,#REF!,#REF!,#REF!,#REF!,#REF!,#REF!,#REF!,#REF!,#REF!,#REF!,#REF!,#REF!,#REF!</definedName>
    <definedName name="__APW_RESTORE_DATA163__" hidden="1">#REF!,#REF!,#REF!,#REF!,#REF!,#REF!,#REF!,#REF!,#REF!,#REF!,#REF!,#REF!,#REF!,#REF!,#REF!</definedName>
    <definedName name="__APW_RESTORE_DATA1630__" hidden="1">#REF!,#REF!,#REF!,#REF!,#REF!,#REF!,#REF!,#REF!,#REF!,#REF!,#REF!,#REF!,#REF!,#REF!,#REF!</definedName>
    <definedName name="__APW_RESTORE_DATA1631__" hidden="1">#REF!,#REF!,#REF!,#REF!,#REF!,#REF!,#REF!,#REF!,#REF!,#REF!,#REF!,#REF!,#REF!,#REF!,#REF!</definedName>
    <definedName name="__APW_RESTORE_DATA1632__" hidden="1">#REF!,#REF!,#REF!,#REF!,#REF!,#REF!,#REF!,#REF!,#REF!,#REF!,#REF!,#REF!,#REF!,#REF!,#REF!</definedName>
    <definedName name="__APW_RESTORE_DATA1633__" hidden="1">#REF!,#REF!,#REF!,#REF!,#REF!,#REF!,#REF!,#REF!,#REF!,#REF!,#REF!,#REF!,#REF!,#REF!,#REF!</definedName>
    <definedName name="__APW_RESTORE_DATA1634__" hidden="1">#REF!,#REF!,#REF!,#REF!,#REF!,#REF!,#REF!,#REF!,#REF!,#REF!,#REF!,#REF!,#REF!,#REF!,#REF!</definedName>
    <definedName name="__APW_RESTORE_DATA1635__" hidden="1">#REF!,#REF!,#REF!,#REF!,#REF!,#REF!,#REF!,#REF!,#REF!,#REF!,#REF!,#REF!,#REF!,#REF!,#REF!</definedName>
    <definedName name="__APW_RESTORE_DATA1636__" hidden="1">#REF!,#REF!,#REF!,#REF!,#REF!,#REF!,#REF!,#REF!,#REF!,#REF!,#REF!,#REF!,#REF!,#REF!,#REF!</definedName>
    <definedName name="__APW_RESTORE_DATA1637__" hidden="1">#REF!,#REF!,#REF!,#REF!,#REF!,#REF!,#REF!,#REF!,#REF!,#REF!,#REF!,#REF!,#REF!,#REF!,#REF!</definedName>
    <definedName name="__APW_RESTORE_DATA1638__" hidden="1">#REF!,#REF!,#REF!,#REF!,#REF!,#REF!,#REF!,#REF!,#REF!,#REF!,#REF!,#REF!,#REF!,#REF!,#REF!</definedName>
    <definedName name="__APW_RESTORE_DATA1639__" hidden="1">#REF!,#REF!,#REF!,#REF!,#REF!,#REF!,#REF!,#REF!,#REF!,#REF!,#REF!,#REF!,#REF!,#REF!,#REF!</definedName>
    <definedName name="__APW_RESTORE_DATA164__" hidden="1">#REF!,#REF!,#REF!,#REF!,#REF!,#REF!,#REF!,#REF!,#REF!,#REF!,#REF!,#REF!,#REF!,#REF!,#REF!</definedName>
    <definedName name="__APW_RESTORE_DATA1640__" hidden="1">#REF!,#REF!,#REF!,#REF!,#REF!,#REF!,#REF!,#REF!,#REF!,#REF!,#REF!,#REF!,#REF!,#REF!,#REF!</definedName>
    <definedName name="__APW_RESTORE_DATA1641__" hidden="1">#REF!,#REF!,#REF!,#REF!,#REF!,#REF!,#REF!,#REF!,#REF!,#REF!,#REF!,#REF!,#REF!,#REF!,#REF!</definedName>
    <definedName name="__APW_RESTORE_DATA1642__" hidden="1">#REF!,#REF!,#REF!,#REF!,#REF!,#REF!,#REF!,#REF!,#REF!,#REF!,#REF!,#REF!,#REF!,#REF!,#REF!</definedName>
    <definedName name="__APW_RESTORE_DATA1643__" hidden="1">#REF!,#REF!,#REF!,#REF!,#REF!,#REF!,#REF!,#REF!,#REF!,#REF!,#REF!,#REF!,#REF!,#REF!,#REF!</definedName>
    <definedName name="__APW_RESTORE_DATA1644__" hidden="1">#REF!,#REF!,#REF!,#REF!,#REF!,#REF!,#REF!,#REF!,#REF!,#REF!,#REF!,#REF!,#REF!,#REF!,#REF!</definedName>
    <definedName name="__APW_RESTORE_DATA1645__" hidden="1">#REF!,#REF!,#REF!,#REF!,#REF!,#REF!,#REF!,#REF!,#REF!,#REF!,#REF!,#REF!,#REF!,#REF!,#REF!</definedName>
    <definedName name="__APW_RESTORE_DATA1646__" hidden="1">#REF!,#REF!,#REF!,#REF!,#REF!,#REF!,#REF!,#REF!,#REF!,#REF!,#REF!,#REF!,#REF!,#REF!,#REF!</definedName>
    <definedName name="__APW_RESTORE_DATA1647__" hidden="1">#REF!,#REF!,#REF!,#REF!,#REF!,#REF!,#REF!,#REF!,#REF!,#REF!,#REF!,#REF!,#REF!,#REF!,#REF!</definedName>
    <definedName name="__APW_RESTORE_DATA1648__" hidden="1">#REF!,#REF!,#REF!,#REF!,#REF!,#REF!,#REF!,#REF!,#REF!,#REF!,#REF!,#REF!,#REF!,#REF!,#REF!</definedName>
    <definedName name="__APW_RESTORE_DATA1649__" hidden="1">#REF!,#REF!,#REF!,#REF!,#REF!,#REF!,#REF!,#REF!,#REF!,#REF!,#REF!,#REF!,#REF!,#REF!,#REF!</definedName>
    <definedName name="__APW_RESTORE_DATA165__" hidden="1">#REF!,#REF!,#REF!,#REF!,#REF!,#REF!,#REF!,#REF!,#REF!,#REF!,#REF!,#REF!,#REF!,#REF!,#REF!</definedName>
    <definedName name="__APW_RESTORE_DATA1650__" hidden="1">#REF!,#REF!,#REF!,#REF!,#REF!,#REF!,#REF!,#REF!,#REF!,#REF!,#REF!,#REF!,#REF!,#REF!,#REF!</definedName>
    <definedName name="__APW_RESTORE_DATA1651__" hidden="1">#REF!,#REF!,#REF!,#REF!,#REF!,#REF!,#REF!,#REF!,#REF!,#REF!,#REF!,#REF!,#REF!,#REF!,#REF!</definedName>
    <definedName name="__APW_RESTORE_DATA1652__" hidden="1">#REF!,#REF!,#REF!,#REF!,#REF!,#REF!,#REF!,#REF!,#REF!,#REF!,#REF!,#REF!,#REF!,#REF!,#REF!</definedName>
    <definedName name="__APW_RESTORE_DATA1653__" hidden="1">#REF!,#REF!,#REF!,#REF!,#REF!,#REF!,#REF!,#REF!,#REF!,#REF!,#REF!,#REF!,#REF!,#REF!,#REF!</definedName>
    <definedName name="__APW_RESTORE_DATA1654__" hidden="1">#REF!,#REF!,#REF!,#REF!,#REF!,#REF!,#REF!,#REF!,#REF!,#REF!,#REF!,#REF!,#REF!,#REF!,#REF!</definedName>
    <definedName name="__APW_RESTORE_DATA1655__" hidden="1">#REF!,#REF!,#REF!,#REF!,#REF!,#REF!,#REF!,#REF!,#REF!,#REF!,#REF!,#REF!,#REF!,#REF!,#REF!</definedName>
    <definedName name="__APW_RESTORE_DATA1656__" hidden="1">#REF!,#REF!,#REF!,#REF!,#REF!,#REF!</definedName>
    <definedName name="__APW_RESTORE_DATA1657__" hidden="1">#REF!,#REF!,#REF!,#REF!,#REF!,#REF!,#REF!,#REF!,#REF!,#REF!,#REF!,#REF!,#REF!,#REF!,#REF!,#REF!</definedName>
    <definedName name="__APW_RESTORE_DATA1658__" hidden="1">#REF!,#REF!,#REF!,#REF!,#REF!,#REF!,#REF!,#REF!,#REF!,#REF!,#REF!,#REF!,#REF!,#REF!,#REF!,#REF!</definedName>
    <definedName name="__APW_RESTORE_DATA1659__" hidden="1">#REF!,#REF!,#REF!,#REF!,#REF!,#REF!,#REF!,#REF!,#REF!,#REF!,#REF!,#REF!,#REF!,#REF!,#REF!,#REF!</definedName>
    <definedName name="__APW_RESTORE_DATA166__" hidden="1">#REF!,#REF!,#REF!,#REF!,#REF!,#REF!,#REF!,#REF!,#REF!,#REF!,#REF!,#REF!,#REF!,#REF!,#REF!</definedName>
    <definedName name="__APW_RESTORE_DATA1660__" hidden="1">#REF!,#REF!,#REF!,#REF!,#REF!,#REF!,#REF!,#REF!,#REF!,#REF!,#REF!,#REF!,#REF!,#REF!,#REF!,#REF!</definedName>
    <definedName name="__APW_RESTORE_DATA1661__" hidden="1">#REF!,#REF!,#REF!,#REF!,#REF!,#REF!,#REF!,#REF!,#REF!,#REF!,#REF!,#REF!,#REF!,#REF!,#REF!,#REF!</definedName>
    <definedName name="__APW_RESTORE_DATA1662__" hidden="1">#REF!,#REF!,#REF!,#REF!,#REF!,#REF!,#REF!,#REF!,#REF!,#REF!,#REF!,#REF!,#REF!,#REF!,#REF!,#REF!</definedName>
    <definedName name="__APW_RESTORE_DATA1663__" hidden="1">#REF!,#REF!,#REF!,#REF!,#REF!,#REF!,#REF!,#REF!,#REF!,#REF!,#REF!,#REF!,#REF!,#REF!,#REF!</definedName>
    <definedName name="__APW_RESTORE_DATA1664__" hidden="1">#REF!,#REF!,#REF!,#REF!,#REF!,#REF!,#REF!,#REF!,#REF!,#REF!,#REF!,#REF!,#REF!,#REF!,#REF!</definedName>
    <definedName name="__APW_RESTORE_DATA1665__" hidden="1">#REF!,#REF!,#REF!,#REF!,#REF!,#REF!,#REF!,#REF!,#REF!,#REF!,#REF!,#REF!,#REF!,#REF!,#REF!</definedName>
    <definedName name="__APW_RESTORE_DATA1666__" hidden="1">#REF!,#REF!,#REF!,#REF!,#REF!,#REF!,#REF!,#REF!,#REF!,#REF!,#REF!,#REF!,#REF!,#REF!,#REF!</definedName>
    <definedName name="__APW_RESTORE_DATA1667__" hidden="1">#REF!,#REF!,#REF!,#REF!,#REF!,#REF!,#REF!,#REF!,#REF!,#REF!,#REF!,#REF!,#REF!,#REF!,#REF!</definedName>
    <definedName name="__APW_RESTORE_DATA1668__" hidden="1">#REF!,#REF!,#REF!,#REF!,#REF!,#REF!,#REF!,#REF!,#REF!,#REF!,#REF!,#REF!,#REF!,#REF!,#REF!</definedName>
    <definedName name="__APW_RESTORE_DATA1669__" hidden="1">#REF!,#REF!,#REF!,#REF!,#REF!,#REF!,#REF!,#REF!,#REF!,#REF!,#REF!,#REF!,#REF!,#REF!,#REF!</definedName>
    <definedName name="__APW_RESTORE_DATA167__" hidden="1">#REF!,#REF!,#REF!,#REF!,#REF!,#REF!,#REF!,#REF!,#REF!,#REF!,#REF!,#REF!,#REF!,#REF!,#REF!</definedName>
    <definedName name="__APW_RESTORE_DATA1670__" hidden="1">#REF!,#REF!,#REF!,#REF!,#REF!,#REF!,#REF!,#REF!,#REF!,#REF!,#REF!,#REF!,#REF!,#REF!,#REF!</definedName>
    <definedName name="__APW_RESTORE_DATA1671__" hidden="1">#REF!,#REF!,#REF!,#REF!,#REF!,#REF!,#REF!,#REF!,#REF!,#REF!,#REF!,#REF!,#REF!,#REF!,#REF!</definedName>
    <definedName name="__APW_RESTORE_DATA1672__" hidden="1">#REF!,#REF!,#REF!,#REF!,#REF!,#REF!,#REF!,#REF!,#REF!,#REF!,#REF!,#REF!,#REF!,#REF!,#REF!</definedName>
    <definedName name="__APW_RESTORE_DATA1673__" hidden="1">#REF!,#REF!,#REF!,#REF!,#REF!,#REF!,#REF!,#REF!,#REF!,#REF!,#REF!,#REF!,#REF!,#REF!,#REF!</definedName>
    <definedName name="__APW_RESTORE_DATA1674__" hidden="1">#REF!,#REF!,#REF!,#REF!,#REF!,#REF!,#REF!,#REF!,#REF!,#REF!,#REF!,#REF!,#REF!,#REF!,#REF!</definedName>
    <definedName name="__APW_RESTORE_DATA1675__" hidden="1">#REF!,#REF!,#REF!,#REF!,#REF!,#REF!,#REF!,#REF!,#REF!,#REF!,#REF!,#REF!,#REF!,#REF!,#REF!</definedName>
    <definedName name="__APW_RESTORE_DATA1676__" hidden="1">#REF!,#REF!,#REF!,#REF!,#REF!,#REF!,#REF!,#REF!,#REF!,#REF!,#REF!,#REF!,#REF!,#REF!,#REF!</definedName>
    <definedName name="__APW_RESTORE_DATA1677__" hidden="1">#REF!,#REF!,#REF!,#REF!,#REF!,#REF!,#REF!,#REF!,#REF!,#REF!,#REF!,#REF!,#REF!,#REF!,#REF!</definedName>
    <definedName name="__APW_RESTORE_DATA1678__" hidden="1">#REF!,#REF!,#REF!,#REF!,#REF!,#REF!,#REF!,#REF!,#REF!,#REF!,#REF!,#REF!,#REF!,#REF!,#REF!</definedName>
    <definedName name="__APW_RESTORE_DATA1679__" hidden="1">#REF!,#REF!,#REF!,#REF!,#REF!,#REF!,#REF!,#REF!,#REF!,#REF!,#REF!,#REF!,#REF!,#REF!,#REF!</definedName>
    <definedName name="__APW_RESTORE_DATA168__" hidden="1">#REF!,#REF!</definedName>
    <definedName name="__APW_RESTORE_DATA1680__" hidden="1">#REF!,#REF!,#REF!,#REF!,#REF!,#REF!,#REF!,#REF!,#REF!,#REF!,#REF!,#REF!,#REF!,#REF!,#REF!</definedName>
    <definedName name="__APW_RESTORE_DATA1681__" hidden="1">#REF!,#REF!,#REF!,#REF!,#REF!,#REF!,#REF!,#REF!,#REF!,#REF!,#REF!,#REF!,#REF!,#REF!,#REF!</definedName>
    <definedName name="__APW_RESTORE_DATA1682__" hidden="1">#REF!,#REF!,#REF!,#REF!,#REF!,#REF!,#REF!,#REF!,#REF!,#REF!,#REF!,#REF!,#REF!,#REF!,#REF!</definedName>
    <definedName name="__APW_RESTORE_DATA1683__" hidden="1">#REF!,#REF!,#REF!,#REF!,#REF!,#REF!,#REF!,#REF!,#REF!,#REF!,#REF!,#REF!,#REF!,#REF!,#REF!</definedName>
    <definedName name="__APW_RESTORE_DATA1684__" hidden="1">#REF!,#REF!,#REF!,#REF!,#REF!,#REF!,#REF!,#REF!,#REF!,#REF!,#REF!,#REF!,#REF!,#REF!,#REF!</definedName>
    <definedName name="__APW_RESTORE_DATA1685__" hidden="1">#REF!,#REF!,#REF!,#REF!,#REF!,#REF!,#REF!,#REF!,#REF!,#REF!,#REF!,#REF!,#REF!,#REF!,#REF!</definedName>
    <definedName name="__APW_RESTORE_DATA1686__" hidden="1">#REF!,#REF!,#REF!,#REF!,#REF!,#REF!,#REF!,#REF!,#REF!,#REF!,#REF!,#REF!,#REF!,#REF!,#REF!</definedName>
    <definedName name="__APW_RESTORE_DATA1687__" hidden="1">#REF!,#REF!,#REF!,#REF!,#REF!,#REF!,#REF!,#REF!,#REF!,#REF!,#REF!,#REF!,#REF!,#REF!,#REF!</definedName>
    <definedName name="__APW_RESTORE_DATA1688__" hidden="1">#REF!,#REF!,#REF!,#REF!,#REF!,#REF!,#REF!,#REF!,#REF!,#REF!,#REF!,#REF!,#REF!,#REF!,#REF!</definedName>
    <definedName name="__APW_RESTORE_DATA1689__" hidden="1">#REF!,#REF!,#REF!,#REF!,#REF!,#REF!,#REF!,#REF!,#REF!,#REF!,#REF!,#REF!,#REF!,#REF!,#REF!</definedName>
    <definedName name="__APW_RESTORE_DATA169__" hidden="1">#REF!,#REF!,#REF!,#REF!,#REF!,#REF!,#REF!,#REF!,#REF!,#REF!,#REF!,#REF!,#REF!,#REF!,#REF!</definedName>
    <definedName name="__APW_RESTORE_DATA1690__" hidden="1">#REF!,#REF!,#REF!,#REF!,#REF!,#REF!,#REF!,#REF!,#REF!,#REF!,#REF!,#REF!,#REF!,#REF!,#REF!</definedName>
    <definedName name="__APW_RESTORE_DATA1691__" hidden="1">#REF!,#REF!,#REF!,#REF!,#REF!,#REF!</definedName>
    <definedName name="__APW_RESTORE_DATA1692__" hidden="1">#REF!,#REF!,#REF!,#REF!,#REF!,#REF!,#REF!,#REF!,#REF!,#REF!,#REF!,#REF!,#REF!,#REF!,#REF!,#REF!</definedName>
    <definedName name="__APW_RESTORE_DATA1693__" hidden="1">#REF!,#REF!,#REF!,#REF!,#REF!,#REF!,#REF!,#REF!,#REF!,#REF!,#REF!,#REF!,#REF!,#REF!,#REF!,#REF!</definedName>
    <definedName name="__APW_RESTORE_DATA1694__" hidden="1">#REF!,#REF!,#REF!,#REF!,#REF!,#REF!,#REF!,#REF!,#REF!,#REF!,#REF!,#REF!,#REF!,#REF!,#REF!,#REF!</definedName>
    <definedName name="__APW_RESTORE_DATA1695__" hidden="1">#REF!,#REF!,#REF!,#REF!,#REF!,#REF!,#REF!,#REF!,#REF!,#REF!,#REF!,#REF!,#REF!,#REF!,#REF!,#REF!</definedName>
    <definedName name="__APW_RESTORE_DATA1696__" hidden="1">#REF!,#REF!,#REF!,#REF!,#REF!,#REF!,#REF!,#REF!,#REF!,#REF!,#REF!,#REF!,#REF!,#REF!,#REF!,#REF!</definedName>
    <definedName name="__APW_RESTORE_DATA1697__" hidden="1">#REF!,#REF!,#REF!,#REF!,#REF!,#REF!,#REF!,#REF!,#REF!,#REF!,#REF!,#REF!,#REF!,#REF!,#REF!,#REF!</definedName>
    <definedName name="__APW_RESTORE_DATA1698__" hidden="1">#REF!,#REF!,#REF!,#REF!,#REF!,#REF!,#REF!,#REF!,#REF!,#REF!,#REF!,#REF!,#REF!,#REF!,#REF!</definedName>
    <definedName name="__APW_RESTORE_DATA1699__" hidden="1">#REF!,#REF!,#REF!,#REF!,#REF!,#REF!,#REF!,#REF!,#REF!,#REF!,#REF!,#REF!,#REF!,#REF!,#REF!</definedName>
    <definedName name="__APW_RESTORE_DATA17__" hidden="1">#REF!,#REF!,#REF!,#REF!,#REF!,#REF!,#REF!,#REF!,#REF!,#REF!,#REF!,#REF!,#REF!,#REF!,#REF!</definedName>
    <definedName name="__APW_RESTORE_DATA170__" hidden="1">#REF!,#REF!,#REF!,#REF!,#REF!,#REF!,#REF!,#REF!,#REF!,#REF!,#REF!,#REF!,#REF!,#REF!,#REF!</definedName>
    <definedName name="__APW_RESTORE_DATA1700__" hidden="1">#REF!,#REF!,#REF!,#REF!,#REF!,#REF!,#REF!,#REF!,#REF!,#REF!,#REF!,#REF!,#REF!,#REF!,#REF!</definedName>
    <definedName name="__APW_RESTORE_DATA1701__" hidden="1">#REF!,#REF!,#REF!,#REF!,#REF!,#REF!,#REF!,#REF!,#REF!,#REF!,#REF!,#REF!,#REF!,#REF!,#REF!</definedName>
    <definedName name="__APW_RESTORE_DATA1702__" hidden="1">#REF!,#REF!,#REF!,#REF!,#REF!,#REF!,#REF!,#REF!,#REF!,#REF!,#REF!,#REF!,#REF!,#REF!,#REF!</definedName>
    <definedName name="__APW_RESTORE_DATA1703__" hidden="1">#REF!,#REF!,#REF!,#REF!,#REF!,#REF!,#REF!,#REF!,#REF!,#REF!,#REF!,#REF!,#REF!,#REF!,#REF!</definedName>
    <definedName name="__APW_RESTORE_DATA1704__" hidden="1">#REF!,#REF!,#REF!,#REF!,#REF!,#REF!,#REF!,#REF!,#REF!,#REF!,#REF!,#REF!,#REF!,#REF!,#REF!</definedName>
    <definedName name="__APW_RESTORE_DATA1705__" hidden="1">#REF!,#REF!,#REF!,#REF!,#REF!,#REF!,#REF!,#REF!,#REF!,#REF!,#REF!,#REF!,#REF!,#REF!,#REF!</definedName>
    <definedName name="__APW_RESTORE_DATA1706__" hidden="1">#REF!,#REF!,#REF!,#REF!,#REF!,#REF!,#REF!,#REF!,#REF!,#REF!,#REF!,#REF!,#REF!,#REF!,#REF!</definedName>
    <definedName name="__APW_RESTORE_DATA1707__" hidden="1">#REF!,#REF!,#REF!,#REF!,#REF!,#REF!,#REF!,#REF!,#REF!,#REF!,#REF!,#REF!,#REF!,#REF!,#REF!</definedName>
    <definedName name="__APW_RESTORE_DATA1708__" hidden="1">#REF!,#REF!,#REF!,#REF!,#REF!,#REF!,#REF!,#REF!,#REF!,#REF!,#REF!,#REF!,#REF!,#REF!,#REF!</definedName>
    <definedName name="__APW_RESTORE_DATA1709__" hidden="1">#REF!,#REF!,#REF!,#REF!,#REF!,#REF!,#REF!,#REF!,#REF!,#REF!,#REF!,#REF!,#REF!,#REF!,#REF!</definedName>
    <definedName name="__APW_RESTORE_DATA171__" hidden="1">#REF!,#REF!,#REF!,#REF!,#REF!,#REF!,#REF!,#REF!,#REF!,#REF!,#REF!,#REF!,#REF!,#REF!,#REF!</definedName>
    <definedName name="__APW_RESTORE_DATA1710__" hidden="1">#REF!,#REF!,#REF!,#REF!,#REF!,#REF!,#REF!,#REF!,#REF!,#REF!,#REF!,#REF!,#REF!,#REF!,#REF!</definedName>
    <definedName name="__APW_RESTORE_DATA1711__" hidden="1">#REF!,#REF!,#REF!,#REF!,#REF!,#REF!,#REF!,#REF!,#REF!,#REF!,#REF!,#REF!,#REF!,#REF!,#REF!</definedName>
    <definedName name="__APW_RESTORE_DATA1712__" hidden="1">#REF!,#REF!,#REF!,#REF!,#REF!,#REF!,#REF!,#REF!,#REF!,#REF!,#REF!,#REF!,#REF!,#REF!,#REF!</definedName>
    <definedName name="__APW_RESTORE_DATA1713__" hidden="1">#REF!,#REF!,#REF!,#REF!,#REF!,#REF!,#REF!,#REF!,#REF!,#REF!,#REF!,#REF!,#REF!,#REF!,#REF!</definedName>
    <definedName name="__APW_RESTORE_DATA1714__" hidden="1">#REF!,#REF!,#REF!,#REF!,#REF!,#REF!,#REF!,#REF!,#REF!,#REF!,#REF!,#REF!,#REF!,#REF!,#REF!</definedName>
    <definedName name="__APW_RESTORE_DATA1715__" hidden="1">#REF!,#REF!,#REF!,#REF!,#REF!,#REF!,#REF!,#REF!,#REF!,#REF!,#REF!,#REF!,#REF!,#REF!,#REF!</definedName>
    <definedName name="__APW_RESTORE_DATA1716__" hidden="1">#REF!,#REF!,#REF!,#REF!,#REF!,#REF!,#REF!,#REF!,#REF!,#REF!,#REF!,#REF!,#REF!,#REF!,#REF!</definedName>
    <definedName name="__APW_RESTORE_DATA1717__" hidden="1">#REF!,#REF!,#REF!,#REF!,#REF!,#REF!,#REF!,#REF!,#REF!,#REF!,#REF!,#REF!,#REF!,#REF!,#REF!</definedName>
    <definedName name="__APW_RESTORE_DATA1718__" hidden="1">#REF!,#REF!,#REF!,#REF!,#REF!,#REF!,#REF!,#REF!,#REF!,#REF!,#REF!,#REF!,#REF!,#REF!,#REF!</definedName>
    <definedName name="__APW_RESTORE_DATA1719__" hidden="1">#REF!,#REF!,#REF!,#REF!,#REF!,#REF!,#REF!,#REF!,#REF!,#REF!,#REF!,#REF!,#REF!,#REF!,#REF!</definedName>
    <definedName name="__APW_RESTORE_DATA172__" hidden="1">#REF!,#REF!,#REF!,#REF!,#REF!,#REF!,#REF!,#REF!,#REF!,#REF!,#REF!,#REF!,#REF!,#REF!,#REF!</definedName>
    <definedName name="__APW_RESTORE_DATA1720__" hidden="1">#REF!,#REF!,#REF!,#REF!,#REF!,#REF!,#REF!,#REF!,#REF!,#REF!,#REF!,#REF!,#REF!,#REF!,#REF!</definedName>
    <definedName name="__APW_RESTORE_DATA1721__" hidden="1">#REF!,#REF!,#REF!,#REF!,#REF!,#REF!,#REF!,#REF!,#REF!,#REF!,#REF!,#REF!,#REF!,#REF!,#REF!</definedName>
    <definedName name="__APW_RESTORE_DATA1722__" hidden="1">#REF!,#REF!,#REF!,#REF!,#REF!,#REF!,#REF!,#REF!,#REF!,#REF!,#REF!,#REF!,#REF!,#REF!,#REF!</definedName>
    <definedName name="__APW_RESTORE_DATA1723__" hidden="1">#REF!,#REF!,#REF!,#REF!,#REF!,#REF!,#REF!,#REF!,#REF!,#REF!,#REF!,#REF!,#REF!,#REF!,#REF!</definedName>
    <definedName name="__APW_RESTORE_DATA1724__" hidden="1">#REF!,#REF!,#REF!,#REF!,#REF!,#REF!,#REF!,#REF!,#REF!,#REF!,#REF!,#REF!,#REF!,#REF!,#REF!</definedName>
    <definedName name="__APW_RESTORE_DATA1725__" hidden="1">#REF!,#REF!,#REF!,#REF!,#REF!,#REF!,#REF!,#REF!,#REF!,#REF!,#REF!,#REF!,#REF!,#REF!,#REF!</definedName>
    <definedName name="__APW_RESTORE_DATA1726__" hidden="1">#REF!,#REF!,#REF!,#REF!,#REF!,#REF!</definedName>
    <definedName name="__APW_RESTORE_DATA1727__" hidden="1">#REF!</definedName>
    <definedName name="__APW_RESTORE_DATA1728__" hidden="1">#REF!</definedName>
    <definedName name="__APW_RESTORE_DATA173__" hidden="1">#REF!,#REF!</definedName>
    <definedName name="__APW_RESTORE_DATA1730__" hidden="1">#REF!</definedName>
    <definedName name="__APW_RESTORE_DATA1731__" hidden="1">#REF!,#REF!,#REF!,#REF!,#REF!,#REF!,#REF!,#REF!,#REF!,#REF!,#REF!,#REF!,#REF!,#REF!,#REF!,#REF!</definedName>
    <definedName name="__APW_RESTORE_DATA1732__" hidden="1">#REF!,#REF!,#REF!,#REF!,#REF!,#REF!,#REF!,#REF!,#REF!,#REF!,#REF!,#REF!,#REF!,#REF!,#REF!,#REF!</definedName>
    <definedName name="__APW_RESTORE_DATA1733__" hidden="1">#REF!,#REF!,#REF!,#REF!,#REF!,#REF!,#REF!,#REF!,#REF!,#REF!,#REF!,#REF!,#REF!,#REF!,#REF!,#REF!</definedName>
    <definedName name="__APW_RESTORE_DATA1734__" hidden="1">#REF!,#REF!,#REF!,#REF!,#REF!,#REF!,#REF!,#REF!,#REF!,#REF!,#REF!,#REF!,#REF!,#REF!,#REF!,#REF!</definedName>
    <definedName name="__APW_RESTORE_DATA1735__" hidden="1">#REF!,#REF!,#REF!,#REF!,#REF!,#REF!,#REF!,#REF!,#REF!,#REF!,#REF!,#REF!,#REF!,#REF!,#REF!,#REF!</definedName>
    <definedName name="__APW_RESTORE_DATA1736__" hidden="1">#REF!,#REF!,#REF!,#REF!,#REF!,#REF!,#REF!,#REF!,#REF!,#REF!,#REF!,#REF!,#REF!,#REF!,#REF!,#REF!</definedName>
    <definedName name="__APW_RESTORE_DATA1737__" hidden="1">#REF!,#REF!,#REF!,#REF!,#REF!,#REF!,#REF!,#REF!,#REF!,#REF!,#REF!,#REF!,#REF!,#REF!,#REF!</definedName>
    <definedName name="__APW_RESTORE_DATA1738__" hidden="1">#REF!,#REF!,#REF!,#REF!,#REF!,#REF!,#REF!,#REF!,#REF!,#REF!,#REF!,#REF!,#REF!,#REF!,#REF!</definedName>
    <definedName name="__APW_RESTORE_DATA1739__" hidden="1">#REF!,#REF!,#REF!,#REF!,#REF!,#REF!,#REF!,#REF!,#REF!,#REF!,#REF!,#REF!,#REF!,#REF!,#REF!</definedName>
    <definedName name="__APW_RESTORE_DATA174__" hidden="1">#REF!,#REF!,#REF!,#REF!,#REF!,#REF!,#REF!,#REF!,#REF!,#REF!,#REF!,#REF!,#REF!,#REF!,#REF!</definedName>
    <definedName name="__APW_RESTORE_DATA1740__" hidden="1">#REF!,#REF!,#REF!,#REF!,#REF!,#REF!,#REF!,#REF!,#REF!,#REF!,#REF!,#REF!,#REF!,#REF!,#REF!</definedName>
    <definedName name="__APW_RESTORE_DATA1741__" hidden="1">#REF!,#REF!,#REF!,#REF!,#REF!,#REF!,#REF!,#REF!,#REF!,#REF!,#REF!,#REF!,#REF!,#REF!,#REF!</definedName>
    <definedName name="__APW_RESTORE_DATA1742__" hidden="1">#REF!,#REF!,#REF!,#REF!,#REF!,#REF!,#REF!,#REF!,#REF!,#REF!,#REF!,#REF!,#REF!,#REF!,#REF!</definedName>
    <definedName name="__APW_RESTORE_DATA1743__" hidden="1">#REF!,#REF!,#REF!,#REF!,#REF!,#REF!,#REF!,#REF!,#REF!,#REF!,#REF!,#REF!,#REF!,#REF!,#REF!</definedName>
    <definedName name="__APW_RESTORE_DATA1744__" hidden="1">#REF!,#REF!,#REF!,#REF!,#REF!,#REF!,#REF!,#REF!,#REF!,#REF!,#REF!,#REF!,#REF!,#REF!,#REF!</definedName>
    <definedName name="__APW_RESTORE_DATA1745__" hidden="1">#REF!,#REF!,#REF!,#REF!,#REF!,#REF!,#REF!,#REF!,#REF!,#REF!,#REF!,#REF!,#REF!,#REF!,#REF!</definedName>
    <definedName name="__APW_RESTORE_DATA1746__" hidden="1">#REF!,#REF!,#REF!,#REF!,#REF!,#REF!,#REF!,#REF!,#REF!,#REF!,#REF!,#REF!,#REF!,#REF!,#REF!</definedName>
    <definedName name="__APW_RESTORE_DATA1747__" hidden="1">#REF!,#REF!,#REF!,#REF!,#REF!,#REF!,#REF!,#REF!,#REF!,#REF!,#REF!,#REF!,#REF!,#REF!,#REF!</definedName>
    <definedName name="__APW_RESTORE_DATA1748__" hidden="1">#REF!,#REF!,#REF!,#REF!,#REF!,#REF!,#REF!,#REF!,#REF!,#REF!,#REF!,#REF!,#REF!,#REF!,#REF!</definedName>
    <definedName name="__APW_RESTORE_DATA1749__" hidden="1">#REF!,#REF!,#REF!,#REF!,#REF!,#REF!,#REF!,#REF!,#REF!,#REF!,#REF!,#REF!,#REF!,#REF!,#REF!</definedName>
    <definedName name="__APW_RESTORE_DATA175__" hidden="1">#REF!,#REF!,#REF!,#REF!,#REF!,#REF!,#REF!,#REF!,#REF!,#REF!,#REF!,#REF!,#REF!,#REF!,#REF!</definedName>
    <definedName name="__APW_RESTORE_DATA1750__" hidden="1">#REF!,#REF!,#REF!,#REF!,#REF!,#REF!,#REF!,#REF!,#REF!,#REF!,#REF!,#REF!,#REF!,#REF!,#REF!</definedName>
    <definedName name="__APW_RESTORE_DATA1751__" hidden="1">#REF!,#REF!,#REF!,#REF!,#REF!,#REF!,#REF!,#REF!,#REF!,#REF!,#REF!,#REF!,#REF!,#REF!,#REF!</definedName>
    <definedName name="__APW_RESTORE_DATA1752__" hidden="1">#REF!,#REF!,#REF!,#REF!,#REF!,#REF!,#REF!,#REF!,#REF!,#REF!,#REF!,#REF!,#REF!,#REF!,#REF!</definedName>
    <definedName name="__APW_RESTORE_DATA1753__" hidden="1">#REF!,#REF!,#REF!,#REF!,#REF!,#REF!,#REF!,#REF!,#REF!,#REF!,#REF!,#REF!,#REF!,#REF!,#REF!</definedName>
    <definedName name="__APW_RESTORE_DATA1754__" hidden="1">#REF!,#REF!,#REF!,#REF!,#REF!,#REF!,#REF!,#REF!,#REF!,#REF!,#REF!,#REF!,#REF!,#REF!,#REF!</definedName>
    <definedName name="__APW_RESTORE_DATA1755__" hidden="1">#REF!,#REF!,#REF!,#REF!,#REF!,#REF!,#REF!,#REF!,#REF!,#REF!,#REF!,#REF!,#REF!,#REF!,#REF!</definedName>
    <definedName name="__APW_RESTORE_DATA1756__" hidden="1">#REF!,#REF!,#REF!,#REF!,#REF!,#REF!,#REF!,#REF!,#REF!,#REF!,#REF!,#REF!,#REF!,#REF!,#REF!</definedName>
    <definedName name="__APW_RESTORE_DATA1757__" hidden="1">#REF!,#REF!,#REF!,#REF!,#REF!,#REF!,#REF!,#REF!,#REF!,#REF!,#REF!,#REF!,#REF!,#REF!,#REF!</definedName>
    <definedName name="__APW_RESTORE_DATA1758__" hidden="1">#REF!,#REF!,#REF!,#REF!,#REF!,#REF!,#REF!,#REF!,#REF!,#REF!,#REF!,#REF!,#REF!,#REF!,#REF!</definedName>
    <definedName name="__APW_RESTORE_DATA1759__" hidden="1">#REF!,#REF!,#REF!,#REF!,#REF!,#REF!,#REF!,#REF!,#REF!,#REF!,#REF!,#REF!,#REF!,#REF!,#REF!</definedName>
    <definedName name="__APW_RESTORE_DATA176__" hidden="1">#REF!,#REF!,#REF!,#REF!,#REF!,#REF!,#REF!,#REF!,#REF!,#REF!,#REF!,#REF!,#REF!,#REF!,#REF!</definedName>
    <definedName name="__APW_RESTORE_DATA1760__" hidden="1">#REF!,#REF!,#REF!,#REF!,#REF!,#REF!,#REF!,#REF!,#REF!,#REF!,#REF!,#REF!,#REF!,#REF!,#REF!</definedName>
    <definedName name="__APW_RESTORE_DATA1761__" hidden="1">#REF!,#REF!,#REF!,#REF!,#REF!,#REF!,#REF!,#REF!,#REF!,#REF!,#REF!,#REF!,#REF!,#REF!,#REF!</definedName>
    <definedName name="__APW_RESTORE_DATA1762__" hidden="1">#REF!,#REF!,#REF!,#REF!,#REF!,#REF!,#REF!,#REF!,#REF!,#REF!,#REF!,#REF!,#REF!,#REF!,#REF!</definedName>
    <definedName name="__APW_RESTORE_DATA1763__" hidden="1">#REF!,#REF!,#REF!,#REF!,#REF!,#REF!,#REF!,#REF!,#REF!,#REF!,#REF!,#REF!,#REF!,#REF!,#REF!</definedName>
    <definedName name="__APW_RESTORE_DATA1764__" hidden="1">#REF!,#REF!,#REF!,#REF!,#REF!,#REF!,#REF!,#REF!,#REF!,#REF!,#REF!,#REF!,#REF!,#REF!,#REF!</definedName>
    <definedName name="__APW_RESTORE_DATA1765__" hidden="1">#REF!,#REF!,#REF!,#REF!,#REF!,#REF!</definedName>
    <definedName name="__APW_RESTORE_DATA1766__" hidden="1">#REF!,#REF!,#REF!,#REF!,#REF!,#REF!,#REF!,#REF!,#REF!,#REF!,#REF!,#REF!,#REF!,#REF!,#REF!,#REF!</definedName>
    <definedName name="__APW_RESTORE_DATA1767__" hidden="1">#REF!,#REF!,#REF!,#REF!,#REF!,#REF!,#REF!,#REF!,#REF!,#REF!,#REF!,#REF!,#REF!,#REF!,#REF!,#REF!</definedName>
    <definedName name="__APW_RESTORE_DATA1768__" hidden="1">#REF!,#REF!,#REF!,#REF!,#REF!,#REF!,#REF!,#REF!,#REF!,#REF!,#REF!,#REF!,#REF!,#REF!,#REF!,#REF!</definedName>
    <definedName name="__APW_RESTORE_DATA1769__" hidden="1">#REF!,#REF!,#REF!,#REF!,#REF!,#REF!,#REF!,#REF!,#REF!,#REF!,#REF!,#REF!,#REF!,#REF!,#REF!,#REF!</definedName>
    <definedName name="__APW_RESTORE_DATA177__" hidden="1">#REF!,#REF!,#REF!,#REF!,#REF!,#REF!,#REF!,#REF!,#REF!,#REF!,#REF!,#REF!,#REF!,#REF!,#REF!</definedName>
    <definedName name="__APW_RESTORE_DATA1770__" hidden="1">#REF!,#REF!,#REF!,#REF!,#REF!,#REF!,#REF!,#REF!,#REF!,#REF!,#REF!,#REF!,#REF!,#REF!,#REF!,#REF!</definedName>
    <definedName name="__APW_RESTORE_DATA1771__" hidden="1">#REF!,#REF!,#REF!,#REF!,#REF!,#REF!,#REF!,#REF!,#REF!,#REF!,#REF!,#REF!,#REF!,#REF!,#REF!,#REF!</definedName>
    <definedName name="__APW_RESTORE_DATA1772__" hidden="1">#REF!,#REF!,#REF!,#REF!,#REF!,#REF!,#REF!,#REF!,#REF!,#REF!,#REF!,#REF!,#REF!,#REF!,#REF!</definedName>
    <definedName name="__APW_RESTORE_DATA1773__" hidden="1">#REF!,#REF!,#REF!,#REF!,#REF!,#REF!,#REF!,#REF!,#REF!,#REF!,#REF!,#REF!,#REF!,#REF!,#REF!</definedName>
    <definedName name="__APW_RESTORE_DATA1774__" hidden="1">#REF!,#REF!,#REF!,#REF!,#REF!,#REF!,#REF!,#REF!,#REF!,#REF!,#REF!,#REF!,#REF!,#REF!,#REF!</definedName>
    <definedName name="__APW_RESTORE_DATA1775__" hidden="1">#REF!,#REF!,#REF!,#REF!,#REF!,#REF!,#REF!,#REF!,#REF!,#REF!,#REF!,#REF!,#REF!,#REF!,#REF!</definedName>
    <definedName name="__APW_RESTORE_DATA1776__" hidden="1">#REF!,#REF!,#REF!,#REF!,#REF!,#REF!,#REF!,#REF!,#REF!,#REF!,#REF!,#REF!,#REF!,#REF!,#REF!</definedName>
    <definedName name="__APW_RESTORE_DATA1777__" hidden="1">#REF!,#REF!,#REF!,#REF!,#REF!,#REF!,#REF!,#REF!,#REF!,#REF!,#REF!,#REF!,#REF!,#REF!,#REF!</definedName>
    <definedName name="__APW_RESTORE_DATA1778__" hidden="1">#REF!,#REF!,#REF!,#REF!,#REF!,#REF!,#REF!,#REF!,#REF!,#REF!,#REF!,#REF!,#REF!,#REF!,#REF!</definedName>
    <definedName name="__APW_RESTORE_DATA1779__" hidden="1">#REF!,#REF!,#REF!,#REF!,#REF!,#REF!,#REF!,#REF!,#REF!,#REF!,#REF!,#REF!,#REF!,#REF!,#REF!</definedName>
    <definedName name="__APW_RESTORE_DATA178__" hidden="1">#REF!,#REF!</definedName>
    <definedName name="__APW_RESTORE_DATA1780__" hidden="1">#REF!,#REF!,#REF!,#REF!,#REF!,#REF!,#REF!,#REF!,#REF!,#REF!,#REF!,#REF!,#REF!,#REF!,#REF!</definedName>
    <definedName name="__APW_RESTORE_DATA1781__" hidden="1">#REF!,#REF!,#REF!,#REF!,#REF!,#REF!,#REF!,#REF!,#REF!,#REF!,#REF!,#REF!,#REF!,#REF!,#REF!</definedName>
    <definedName name="__APW_RESTORE_DATA1782__" hidden="1">#REF!,#REF!,#REF!,#REF!,#REF!,#REF!,#REF!,#REF!,#REF!,#REF!,#REF!,#REF!,#REF!,#REF!,#REF!</definedName>
    <definedName name="__APW_RESTORE_DATA1783__" hidden="1">#REF!,#REF!,#REF!,#REF!,#REF!,#REF!,#REF!,#REF!,#REF!,#REF!,#REF!,#REF!,#REF!,#REF!,#REF!</definedName>
    <definedName name="__APW_RESTORE_DATA1784__" hidden="1">#REF!,#REF!,#REF!,#REF!,#REF!,#REF!,#REF!,#REF!,#REF!,#REF!,#REF!,#REF!,#REF!,#REF!,#REF!</definedName>
    <definedName name="__APW_RESTORE_DATA1785__" hidden="1">#REF!,#REF!,#REF!,#REF!,#REF!,#REF!,#REF!,#REF!,#REF!,#REF!,#REF!,#REF!,#REF!,#REF!,#REF!</definedName>
    <definedName name="__APW_RESTORE_DATA1786__" hidden="1">#REF!,#REF!,#REF!,#REF!,#REF!,#REF!,#REF!,#REF!,#REF!,#REF!,#REF!,#REF!,#REF!,#REF!,#REF!</definedName>
    <definedName name="__APW_RESTORE_DATA1787__" hidden="1">#REF!,#REF!,#REF!,#REF!,#REF!,#REF!,#REF!,#REF!,#REF!,#REF!,#REF!,#REF!,#REF!,#REF!,#REF!</definedName>
    <definedName name="__APW_RESTORE_DATA1788__" hidden="1">#REF!,#REF!,#REF!,#REF!,#REF!,#REF!,#REF!,#REF!,#REF!,#REF!,#REF!,#REF!,#REF!,#REF!,#REF!</definedName>
    <definedName name="__APW_RESTORE_DATA1789__" hidden="1">#REF!,#REF!,#REF!,#REF!,#REF!,#REF!,#REF!,#REF!,#REF!,#REF!,#REF!,#REF!,#REF!,#REF!,#REF!</definedName>
    <definedName name="__APW_RESTORE_DATA179__" hidden="1">#REF!,#REF!,#REF!,#REF!,#REF!,#REF!,#REF!,#REF!,#REF!,#REF!,#REF!,#REF!,#REF!,#REF!,#REF!</definedName>
    <definedName name="__APW_RESTORE_DATA1790__" hidden="1">#REF!,#REF!,#REF!,#REF!,#REF!,#REF!,#REF!,#REF!,#REF!,#REF!,#REF!,#REF!,#REF!,#REF!,#REF!</definedName>
    <definedName name="__APW_RESTORE_DATA1791__" hidden="1">#REF!,#REF!,#REF!,#REF!,#REF!,#REF!,#REF!,#REF!,#REF!,#REF!,#REF!,#REF!,#REF!,#REF!,#REF!</definedName>
    <definedName name="__APW_RESTORE_DATA1792__" hidden="1">#REF!,#REF!,#REF!,#REF!,#REF!,#REF!,#REF!,#REF!,#REF!,#REF!,#REF!,#REF!,#REF!,#REF!,#REF!</definedName>
    <definedName name="__APW_RESTORE_DATA1793__" hidden="1">#REF!,#REF!,#REF!,#REF!,#REF!,#REF!,#REF!,#REF!,#REF!,#REF!,#REF!,#REF!,#REF!,#REF!,#REF!</definedName>
    <definedName name="__APW_RESTORE_DATA1794__" hidden="1">#REF!,#REF!,#REF!,#REF!,#REF!,#REF!,#REF!,#REF!,#REF!,#REF!,#REF!,#REF!,#REF!,#REF!,#REF!</definedName>
    <definedName name="__APW_RESTORE_DATA1795__" hidden="1">#REF!,#REF!,#REF!,#REF!,#REF!,#REF!,#REF!,#REF!,#REF!,#REF!,#REF!,#REF!,#REF!,#REF!,#REF!</definedName>
    <definedName name="__APW_RESTORE_DATA1796__" hidden="1">#REF!,#REF!,#REF!,#REF!,#REF!,#REF!,#REF!,#REF!,#REF!,#REF!,#REF!,#REF!,#REF!,#REF!,#REF!</definedName>
    <definedName name="__APW_RESTORE_DATA1797__" hidden="1">#REF!,#REF!,#REF!,#REF!,#REF!,#REF!,#REF!,#REF!,#REF!,#REF!,#REF!,#REF!,#REF!,#REF!,#REF!</definedName>
    <definedName name="__APW_RESTORE_DATA1798__" hidden="1">#REF!,#REF!,#REF!,#REF!,#REF!,#REF!,#REF!,#REF!,#REF!,#REF!,#REF!,#REF!,#REF!,#REF!,#REF!</definedName>
    <definedName name="__APW_RESTORE_DATA1799__" hidden="1">#REF!,#REF!,#REF!,#REF!,#REF!,#REF!,#REF!,#REF!,#REF!,#REF!,#REF!,#REF!,#REF!,#REF!,#REF!</definedName>
    <definedName name="__APW_RESTORE_DATA18__" hidden="1">#REF!,#REF!,#REF!,#REF!,#REF!,#REF!,#REF!,#REF!,#REF!,#REF!,#REF!,#REF!,#REF!,#REF!,#REF!,#REF!</definedName>
    <definedName name="__APW_RESTORE_DATA180__" hidden="1">#REF!,#REF!,#REF!,#REF!,#REF!,#REF!,#REF!,#REF!,#REF!,#REF!,#REF!,#REF!,#REF!,#REF!,#REF!</definedName>
    <definedName name="__APW_RESTORE_DATA1800__" hidden="1">#REF!,#REF!,#REF!,#REF!,#REF!,#REF!</definedName>
    <definedName name="__APW_RESTORE_DATA1801__" hidden="1">#REF!,#REF!,#REF!,#REF!,#REF!,#REF!,#REF!,#REF!,#REF!,#REF!,#REF!,#REF!,#REF!,#REF!,#REF!,#REF!</definedName>
    <definedName name="__APW_RESTORE_DATA1802__" hidden="1">#REF!,#REF!,#REF!,#REF!,#REF!,#REF!,#REF!,#REF!,#REF!,#REF!,#REF!,#REF!,#REF!,#REF!,#REF!,#REF!</definedName>
    <definedName name="__APW_RESTORE_DATA1803__" hidden="1">#REF!,#REF!,#REF!,#REF!,#REF!,#REF!,#REF!,#REF!,#REF!,#REF!,#REF!,#REF!,#REF!,#REF!,#REF!,#REF!</definedName>
    <definedName name="__APW_RESTORE_DATA1804__" hidden="1">#REF!,#REF!,#REF!,#REF!,#REF!,#REF!,#REF!,#REF!,#REF!,#REF!,#REF!,#REF!,#REF!,#REF!,#REF!,#REF!</definedName>
    <definedName name="__APW_RESTORE_DATA1805__" hidden="1">#REF!,#REF!,#REF!,#REF!,#REF!,#REF!,#REF!,#REF!,#REF!,#REF!,#REF!,#REF!,#REF!,#REF!,#REF!,#REF!</definedName>
    <definedName name="__APW_RESTORE_DATA1806__" hidden="1">#REF!,#REF!,#REF!,#REF!,#REF!,#REF!,#REF!,#REF!,#REF!,#REF!,#REF!,#REF!,#REF!,#REF!,#REF!,#REF!</definedName>
    <definedName name="__APW_RESTORE_DATA1807__" hidden="1">#REF!,#REF!,#REF!,#REF!,#REF!,#REF!,#REF!,#REF!,#REF!,#REF!,#REF!,#REF!,#REF!,#REF!,#REF!</definedName>
    <definedName name="__APW_RESTORE_DATA1808__" hidden="1">#REF!,#REF!,#REF!,#REF!,#REF!,#REF!,#REF!,#REF!,#REF!,#REF!,#REF!,#REF!,#REF!,#REF!,#REF!</definedName>
    <definedName name="__APW_RESTORE_DATA1809__" hidden="1">#REF!,#REF!,#REF!,#REF!,#REF!,#REF!,#REF!,#REF!,#REF!,#REF!,#REF!,#REF!,#REF!,#REF!,#REF!</definedName>
    <definedName name="__APW_RESTORE_DATA181__" hidden="1">#REF!,#REF!,#REF!,#REF!,#REF!,#REF!,#REF!,#REF!</definedName>
    <definedName name="__APW_RESTORE_DATA1810__" hidden="1">#REF!,#REF!,#REF!,#REF!,#REF!,#REF!,#REF!,#REF!,#REF!,#REF!,#REF!,#REF!,#REF!,#REF!,#REF!</definedName>
    <definedName name="__APW_RESTORE_DATA1811__" hidden="1">#REF!,#REF!,#REF!,#REF!,#REF!,#REF!,#REF!,#REF!,#REF!,#REF!,#REF!,#REF!,#REF!,#REF!,#REF!</definedName>
    <definedName name="__APW_RESTORE_DATA1812__" hidden="1">#REF!,#REF!,#REF!,#REF!,#REF!,#REF!,#REF!,#REF!,#REF!,#REF!,#REF!,#REF!,#REF!,#REF!,#REF!</definedName>
    <definedName name="__APW_RESTORE_DATA1813__" hidden="1">#REF!,#REF!,#REF!,#REF!,#REF!,#REF!,#REF!,#REF!,#REF!,#REF!,#REF!,#REF!,#REF!,#REF!,#REF!</definedName>
    <definedName name="__APW_RESTORE_DATA1814__" hidden="1">#REF!,#REF!,#REF!,#REF!,#REF!,#REF!,#REF!,#REF!,#REF!,#REF!,#REF!,#REF!,#REF!,#REF!,#REF!</definedName>
    <definedName name="__APW_RESTORE_DATA1815__" hidden="1">#REF!,#REF!,#REF!,#REF!,#REF!,#REF!,#REF!,#REF!,#REF!,#REF!,#REF!,#REF!,#REF!,#REF!,#REF!</definedName>
    <definedName name="__APW_RESTORE_DATA1816__" hidden="1">#REF!,#REF!,#REF!,#REF!,#REF!,#REF!,#REF!,#REF!,#REF!,#REF!,#REF!,#REF!,#REF!,#REF!,#REF!</definedName>
    <definedName name="__APW_RESTORE_DATA1817__" hidden="1">#REF!,#REF!,#REF!,#REF!,#REF!,#REF!,#REF!,#REF!,#REF!,#REF!,#REF!,#REF!,#REF!,#REF!,#REF!</definedName>
    <definedName name="__APW_RESTORE_DATA1818__" hidden="1">#REF!,#REF!,#REF!,#REF!,#REF!,#REF!,#REF!,#REF!,#REF!,#REF!,#REF!,#REF!,#REF!,#REF!,#REF!</definedName>
    <definedName name="__APW_RESTORE_DATA1819__" hidden="1">#REF!,#REF!,#REF!,#REF!,#REF!,#REF!,#REF!,#REF!,#REF!,#REF!,#REF!,#REF!,#REF!,#REF!,#REF!</definedName>
    <definedName name="__APW_RESTORE_DATA182__" hidden="1">#REF!,#REF!,#REF!,#REF!,#REF!,#REF!,#REF!,#REF!,#REF!,#REF!,#REF!,#REF!,#REF!,#REF!,#REF!,#REF!</definedName>
    <definedName name="__APW_RESTORE_DATA1820__" hidden="1">#REF!,#REF!,#REF!,#REF!,#REF!,#REF!,#REF!,#REF!,#REF!,#REF!,#REF!,#REF!,#REF!,#REF!,#REF!</definedName>
    <definedName name="__APW_RESTORE_DATA1821__" hidden="1">#REF!,#REF!,#REF!,#REF!,#REF!,#REF!,#REF!,#REF!,#REF!,#REF!,#REF!,#REF!,#REF!,#REF!,#REF!</definedName>
    <definedName name="__APW_RESTORE_DATA1822__" hidden="1">#REF!,#REF!,#REF!,#REF!,#REF!,#REF!,#REF!,#REF!,#REF!,#REF!,#REF!,#REF!,#REF!,#REF!,#REF!</definedName>
    <definedName name="__APW_RESTORE_DATA1823__" hidden="1">#REF!,#REF!,#REF!,#REF!,#REF!,#REF!,#REF!,#REF!,#REF!,#REF!,#REF!,#REF!,#REF!,#REF!,#REF!</definedName>
    <definedName name="__APW_RESTORE_DATA1824__" hidden="1">#REF!,#REF!,#REF!,#REF!,#REF!,#REF!,#REF!,#REF!,#REF!,#REF!,#REF!,#REF!,#REF!,#REF!,#REF!</definedName>
    <definedName name="__APW_RESTORE_DATA1825__" hidden="1">#REF!,#REF!,#REF!,#REF!,#REF!,#REF!,#REF!,#REF!,#REF!,#REF!,#REF!,#REF!,#REF!,#REF!,#REF!</definedName>
    <definedName name="__APW_RESTORE_DATA1826__" hidden="1">#REF!,#REF!,#REF!,#REF!,#REF!,#REF!,#REF!,#REF!,#REF!,#REF!,#REF!,#REF!,#REF!,#REF!,#REF!</definedName>
    <definedName name="__APW_RESTORE_DATA1827__" hidden="1">#REF!,#REF!,#REF!,#REF!,#REF!,#REF!,#REF!,#REF!,#REF!,#REF!,#REF!,#REF!,#REF!,#REF!,#REF!</definedName>
    <definedName name="__APW_RESTORE_DATA1828__" hidden="1">#REF!,#REF!,#REF!,#REF!,#REF!,#REF!,#REF!,#REF!,#REF!,#REF!,#REF!,#REF!,#REF!,#REF!,#REF!</definedName>
    <definedName name="__APW_RESTORE_DATA1829__" hidden="1">#REF!,#REF!,#REF!,#REF!,#REF!,#REF!,#REF!,#REF!,#REF!,#REF!,#REF!,#REF!,#REF!,#REF!,#REF!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30__" hidden="1">#REF!,#REF!,#REF!,#REF!,#REF!,#REF!,#REF!,#REF!,#REF!,#REF!,#REF!,#REF!,#REF!,#REF!,#REF!</definedName>
    <definedName name="__APW_RESTORE_DATA1831__" hidden="1">#REF!,#REF!,#REF!,#REF!,#REF!,#REF!,#REF!,#REF!,#REF!,#REF!,#REF!,#REF!,#REF!,#REF!,#REF!</definedName>
    <definedName name="__APW_RESTORE_DATA1832__" hidden="1">#REF!,#REF!,#REF!,#REF!,#REF!,#REF!,#REF!,#REF!,#REF!,#REF!,#REF!,#REF!,#REF!,#REF!,#REF!</definedName>
    <definedName name="__APW_RESTORE_DATA1833__" hidden="1">#REF!,#REF!,#REF!,#REF!,#REF!,#REF!,#REF!,#REF!,#REF!,#REF!,#REF!,#REF!,#REF!,#REF!,#REF!</definedName>
    <definedName name="__APW_RESTORE_DATA1834__" hidden="1">#REF!,#REF!,#REF!,#REF!,#REF!,#REF!,#REF!,#REF!,#REF!,#REF!,#REF!,#REF!,#REF!,#REF!,#REF!</definedName>
    <definedName name="__APW_RESTORE_DATA1835__" hidden="1">#REF!,#REF!,#REF!,#REF!,#REF!,#REF!</definedName>
    <definedName name="__APW_RESTORE_DATA1836__" hidden="1">#REF!,#REF!,#REF!,#REF!,#REF!,#REF!,#REF!,#REF!,#REF!,#REF!,#REF!,#REF!,#REF!,#REF!,#REF!,#REF!</definedName>
    <definedName name="__APW_RESTORE_DATA1837__" hidden="1">#REF!,#REF!,#REF!,#REF!,#REF!,#REF!,#REF!,#REF!,#REF!,#REF!,#REF!,#REF!,#REF!,#REF!,#REF!,#REF!</definedName>
    <definedName name="__APW_RESTORE_DATA1838__" hidden="1">#REF!,#REF!,#REF!,#REF!,#REF!,#REF!,#REF!,#REF!,#REF!,#REF!,#REF!,#REF!,#REF!,#REF!,#REF!,#REF!</definedName>
    <definedName name="__APW_RESTORE_DATA1839__" hidden="1">#REF!,#REF!,#REF!,#REF!,#REF!,#REF!,#REF!,#REF!,#REF!,#REF!,#REF!,#REF!,#REF!,#REF!,#REF!,#REF!</definedName>
    <definedName name="__APW_RESTORE_DATA184__" hidden="1">#REF!,#REF!,#REF!,#REF!,#REF!,#REF!,#REF!,#REF!,#REF!,#REF!,#REF!,#REF!,#REF!,#REF!,#REF!,#REF!</definedName>
    <definedName name="__APW_RESTORE_DATA1840__" hidden="1">#REF!,#REF!,#REF!,#REF!,#REF!,#REF!,#REF!,#REF!,#REF!,#REF!,#REF!,#REF!,#REF!,#REF!,#REF!,#REF!</definedName>
    <definedName name="__APW_RESTORE_DATA1841__" hidden="1">#REF!,#REF!,#REF!,#REF!,#REF!,#REF!,#REF!,#REF!,#REF!,#REF!,#REF!,#REF!,#REF!,#REF!,#REF!,#REF!</definedName>
    <definedName name="__APW_RESTORE_DATA1842__" hidden="1">#REF!,#REF!,#REF!,#REF!,#REF!,#REF!,#REF!,#REF!,#REF!,#REF!,#REF!,#REF!,#REF!,#REF!,#REF!</definedName>
    <definedName name="__APW_RESTORE_DATA1843__" hidden="1">#REF!,#REF!,#REF!,#REF!,#REF!,#REF!,#REF!,#REF!,#REF!,#REF!,#REF!,#REF!,#REF!,#REF!,#REF!</definedName>
    <definedName name="__APW_RESTORE_DATA1844__" hidden="1">#REF!,#REF!,#REF!,#REF!,#REF!,#REF!,#REF!,#REF!,#REF!,#REF!,#REF!,#REF!,#REF!,#REF!,#REF!</definedName>
    <definedName name="__APW_RESTORE_DATA1845__" hidden="1">#REF!,#REF!,#REF!,#REF!,#REF!,#REF!,#REF!,#REF!,#REF!,#REF!,#REF!,#REF!,#REF!,#REF!,#REF!</definedName>
    <definedName name="__APW_RESTORE_DATA1846__" hidden="1">#REF!,#REF!,#REF!,#REF!,#REF!,#REF!,#REF!,#REF!,#REF!,#REF!,#REF!,#REF!,#REF!,#REF!,#REF!</definedName>
    <definedName name="__APW_RESTORE_DATA1847__" hidden="1">#REF!,#REF!,#REF!,#REF!,#REF!,#REF!,#REF!,#REF!,#REF!,#REF!,#REF!,#REF!,#REF!,#REF!,#REF!</definedName>
    <definedName name="__APW_RESTORE_DATA1848__" hidden="1">#REF!,#REF!,#REF!,#REF!,#REF!,#REF!,#REF!,#REF!,#REF!,#REF!,#REF!,#REF!,#REF!,#REF!,#REF!</definedName>
    <definedName name="__APW_RESTORE_DATA1849__" hidden="1">#REF!,#REF!,#REF!,#REF!,#REF!,#REF!,#REF!,#REF!,#REF!,#REF!,#REF!,#REF!,#REF!,#REF!,#REF!</definedName>
    <definedName name="__APW_RESTORE_DATA185__" hidden="1">#REF!,#REF!,#REF!,#REF!,#REF!,#REF!,#REF!,#REF!,#REF!,#REF!,#REF!,#REF!,#REF!,#REF!,#REF!,#REF!</definedName>
    <definedName name="__APW_RESTORE_DATA1850__" hidden="1">#REF!,#REF!,#REF!,#REF!,#REF!,#REF!,#REF!,#REF!,#REF!,#REF!,#REF!,#REF!,#REF!,#REF!,#REF!</definedName>
    <definedName name="__APW_RESTORE_DATA1851__" hidden="1">#REF!,#REF!,#REF!,#REF!,#REF!,#REF!,#REF!,#REF!,#REF!,#REF!,#REF!,#REF!,#REF!,#REF!,#REF!</definedName>
    <definedName name="__APW_RESTORE_DATA1852__" hidden="1">#REF!,#REF!,#REF!,#REF!,#REF!,#REF!,#REF!,#REF!,#REF!,#REF!,#REF!,#REF!,#REF!,#REF!,#REF!</definedName>
    <definedName name="__APW_RESTORE_DATA1853__" hidden="1">#REF!,#REF!,#REF!,#REF!,#REF!,#REF!,#REF!,#REF!,#REF!,#REF!,#REF!,#REF!,#REF!,#REF!,#REF!</definedName>
    <definedName name="__APW_RESTORE_DATA1856__" hidden="1">#REF!,#REF!,#REF!,#REF!,#REF!,#REF!,#REF!,#REF!,#REF!,#REF!,#REF!,#REF!,#REF!,#REF!,#REF!</definedName>
    <definedName name="__APW_RESTORE_DATA1857__" hidden="1">#REF!,#REF!,#REF!,#REF!,#REF!,#REF!,#REF!,#REF!,#REF!,#REF!,#REF!,#REF!,#REF!,#REF!,#REF!</definedName>
    <definedName name="__APW_RESTORE_DATA1858__" hidden="1">#REF!,#REF!,#REF!,#REF!,#REF!,#REF!,#REF!,#REF!,#REF!,#REF!,#REF!,#REF!,#REF!,#REF!,#REF!</definedName>
    <definedName name="__APW_RESTORE_DATA1859__" hidden="1">#REF!,#REF!,#REF!,#REF!,#REF!,#REF!,#REF!,#REF!,#REF!,#REF!,#REF!,#REF!,#REF!,#REF!,#REF!</definedName>
    <definedName name="__APW_RESTORE_DATA186__" hidden="1">#REF!,#REF!,#REF!,#REF!,#REF!,#REF!,#REF!,#REF!,#REF!,#REF!,#REF!,#REF!,#REF!,#REF!,#REF!,#REF!</definedName>
    <definedName name="__APW_RESTORE_DATA1860__" hidden="1">#REF!,#REF!,#REF!,#REF!,#REF!,#REF!,#REF!,#REF!,#REF!,#REF!,#REF!,#REF!,#REF!,#REF!,#REF!</definedName>
    <definedName name="__APW_RESTORE_DATA1861__" hidden="1">#REF!,#REF!,#REF!,#REF!,#REF!,#REF!,#REF!,#REF!,#REF!,#REF!,#REF!,#REF!,#REF!,#REF!,#REF!</definedName>
    <definedName name="__APW_RESTORE_DATA1862__" hidden="1">#REF!,#REF!,#REF!,#REF!,#REF!,#REF!,#REF!,#REF!,#REF!,#REF!,#REF!,#REF!,#REF!,#REF!,#REF!</definedName>
    <definedName name="__APW_RESTORE_DATA1863__" hidden="1">#REF!,#REF!,#REF!,#REF!,#REF!,#REF!,#REF!,#REF!,#REF!,#REF!,#REF!,#REF!,#REF!,#REF!,#REF!</definedName>
    <definedName name="__APW_RESTORE_DATA1864__" hidden="1">#REF!,#REF!,#REF!,#REF!,#REF!,#REF!,#REF!,#REF!,#REF!,#REF!,#REF!,#REF!,#REF!,#REF!,#REF!</definedName>
    <definedName name="__APW_RESTORE_DATA1865__" hidden="1">#REF!,#REF!,#REF!,#REF!,#REF!,#REF!,#REF!,#REF!,#REF!,#REF!,#REF!,#REF!,#REF!,#REF!,#REF!</definedName>
    <definedName name="__APW_RESTORE_DATA1866__" hidden="1">#REF!,#REF!,#REF!,#REF!,#REF!,#REF!,#REF!,#REF!,#REF!,#REF!,#REF!,#REF!,#REF!,#REF!,#REF!</definedName>
    <definedName name="__APW_RESTORE_DATA1867__" hidden="1">#REF!,#REF!,#REF!,#REF!,#REF!,#REF!,#REF!,#REF!,#REF!,#REF!,#REF!,#REF!,#REF!,#REF!,#REF!</definedName>
    <definedName name="__APW_RESTORE_DATA1868__" hidden="1">#REF!,#REF!,#REF!,#REF!,#REF!,#REF!,#REF!,#REF!,#REF!,#REF!,#REF!,#REF!,#REF!,#REF!,#REF!</definedName>
    <definedName name="__APW_RESTORE_DATA1869__" hidden="1">#REF!,#REF!,#REF!,#REF!,#REF!,#REF!,#REF!,#REF!,#REF!,#REF!,#REF!,#REF!,#REF!,#REF!,#REF!</definedName>
    <definedName name="__APW_RESTORE_DATA187__" hidden="1">#REF!,#REF!,#REF!,#REF!,#REF!,#REF!,#REF!,#REF!,#REF!,#REF!,#REF!,#REF!,#REF!,#REF!,#REF!,#REF!</definedName>
    <definedName name="__APW_RESTORE_DATA1870__" hidden="1">#REF!,#REF!,#REF!,#REF!,#REF!,#REF!</definedName>
    <definedName name="__APW_RESTORE_DATA1871__" hidden="1">#REF!</definedName>
    <definedName name="__APW_RESTORE_DATA1872__" hidden="1">#REF!</definedName>
    <definedName name="__APW_RESTORE_DATA1874__" hidden="1">#REF!</definedName>
    <definedName name="__APW_RESTORE_DATA1875__" hidden="1">#REF!,#REF!,#REF!,#REF!,#REF!,#REF!,#REF!,#REF!,#REF!,#REF!,#REF!,#REF!,#REF!,#REF!,#REF!,#REF!</definedName>
    <definedName name="__APW_RESTORE_DATA1876__" hidden="1">#REF!,#REF!,#REF!,#REF!,#REF!,#REF!,#REF!,#REF!,#REF!,#REF!,#REF!,#REF!,#REF!,#REF!,#REF!,#REF!</definedName>
    <definedName name="__APW_RESTORE_DATA1877__" hidden="1">#REF!,#REF!,#REF!,#REF!,#REF!,#REF!,#REF!,#REF!,#REF!,#REF!,#REF!,#REF!,#REF!,#REF!,#REF!,#REF!</definedName>
    <definedName name="__APW_RESTORE_DATA1878__" hidden="1">#REF!,#REF!,#REF!,#REF!,#REF!,#REF!,#REF!,#REF!,#REF!,#REF!,#REF!,#REF!,#REF!,#REF!,#REF!,#REF!</definedName>
    <definedName name="__APW_RESTORE_DATA1879__" hidden="1">#REF!,#REF!,#REF!,#REF!,#REF!,#REF!,#REF!,#REF!,#REF!,#REF!,#REF!,#REF!,#REF!,#REF!,#REF!,#REF!</definedName>
    <definedName name="__APW_RESTORE_DATA188__" hidden="1">#REF!,#REF!,#REF!,#REF!,#REF!,#REF!,#REF!,#REF!,#REF!,#REF!,#REF!,#REF!,#REF!,#REF!,#REF!</definedName>
    <definedName name="__APW_RESTORE_DATA1880__" hidden="1">#REF!,#REF!,#REF!,#REF!,#REF!,#REF!,#REF!,#REF!,#REF!,#REF!,#REF!,#REF!,#REF!,#REF!,#REF!,#REF!</definedName>
    <definedName name="__APW_RESTORE_DATA1881__" hidden="1">#REF!,#REF!,#REF!,#REF!,#REF!,#REF!,#REF!,#REF!,#REF!,#REF!,#REF!,#REF!,#REF!,#REF!,#REF!</definedName>
    <definedName name="__APW_RESTORE_DATA1882__" hidden="1">#REF!,#REF!,#REF!,#REF!,#REF!,#REF!,#REF!,#REF!,#REF!,#REF!,#REF!,#REF!,#REF!,#REF!,#REF!</definedName>
    <definedName name="__APW_RESTORE_DATA1883__" hidden="1">#REF!,#REF!,#REF!,#REF!,#REF!,#REF!,#REF!,#REF!,#REF!,#REF!,#REF!,#REF!,#REF!,#REF!,#REF!</definedName>
    <definedName name="__APW_RESTORE_DATA1884__" hidden="1">#REF!,#REF!,#REF!,#REF!,#REF!,#REF!,#REF!,#REF!,#REF!,#REF!,#REF!,#REF!,#REF!,#REF!,#REF!</definedName>
    <definedName name="__APW_RESTORE_DATA1885__" hidden="1">#REF!,#REF!,#REF!,#REF!,#REF!,#REF!,#REF!,#REF!,#REF!,#REF!,#REF!,#REF!,#REF!,#REF!,#REF!</definedName>
    <definedName name="__APW_RESTORE_DATA1886__" hidden="1">#REF!,#REF!,#REF!,#REF!,#REF!,#REF!,#REF!,#REF!,#REF!,#REF!,#REF!,#REF!,#REF!,#REF!,#REF!</definedName>
    <definedName name="__APW_RESTORE_DATA1887__" hidden="1">#REF!,#REF!,#REF!,#REF!,#REF!,#REF!,#REF!,#REF!,#REF!,#REF!,#REF!,#REF!,#REF!,#REF!,#REF!</definedName>
    <definedName name="__APW_RESTORE_DATA1888__" hidden="1">#REF!,#REF!,#REF!,#REF!,#REF!,#REF!,#REF!,#REF!,#REF!,#REF!,#REF!,#REF!,#REF!,#REF!,#REF!</definedName>
    <definedName name="__APW_RESTORE_DATA1889__" hidden="1">#REF!,#REF!,#REF!,#REF!,#REF!,#REF!,#REF!,#REF!,#REF!,#REF!,#REF!,#REF!,#REF!,#REF!,#REF!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890__" hidden="1">#REF!,#REF!,#REF!,#REF!,#REF!,#REF!,#REF!,#REF!,#REF!,#REF!,#REF!,#REF!,#REF!,#REF!,#REF!</definedName>
    <definedName name="__APW_RESTORE_DATA1891__" hidden="1">#REF!,#REF!,#REF!,#REF!,#REF!,#REF!,#REF!,#REF!,#REF!,#REF!,#REF!,#REF!,#REF!,#REF!,#REF!</definedName>
    <definedName name="__APW_RESTORE_DATA1892__" hidden="1">#REF!,#REF!,#REF!,#REF!,#REF!,#REF!,#REF!,#REF!,#REF!,#REF!,#REF!,#REF!,#REF!,#REF!,#REF!</definedName>
    <definedName name="__APW_RESTORE_DATA1893__" hidden="1">#REF!,#REF!,#REF!,#REF!,#REF!,#REF!,#REF!,#REF!,#REF!,#REF!,#REF!,#REF!,#REF!,#REF!,#REF!</definedName>
    <definedName name="__APW_RESTORE_DATA1894__" hidden="1">#REF!,#REF!,#REF!,#REF!,#REF!,#REF!,#REF!,#REF!,#REF!,#REF!,#REF!,#REF!,#REF!,#REF!,#REF!</definedName>
    <definedName name="__APW_RESTORE_DATA1895__" hidden="1">#REF!,#REF!,#REF!,#REF!,#REF!,#REF!,#REF!,#REF!,#REF!,#REF!,#REF!,#REF!,#REF!,#REF!,#REF!</definedName>
    <definedName name="__APW_RESTORE_DATA1896__" hidden="1">#REF!,#REF!,#REF!,#REF!,#REF!,#REF!,#REF!,#REF!,#REF!,#REF!,#REF!,#REF!,#REF!,#REF!,#REF!</definedName>
    <definedName name="__APW_RESTORE_DATA1897__" hidden="1">#REF!,#REF!,#REF!,#REF!,#REF!,#REF!,#REF!,#REF!,#REF!,#REF!,#REF!,#REF!,#REF!,#REF!,#REF!</definedName>
    <definedName name="__APW_RESTORE_DATA1898__" hidden="1">#REF!,#REF!,#REF!,#REF!,#REF!,#REF!,#REF!,#REF!,#REF!,#REF!,#REF!,#REF!,#REF!,#REF!,#REF!</definedName>
    <definedName name="__APW_RESTORE_DATA1899__" hidden="1">#REF!,#REF!,#REF!,#REF!,#REF!,#REF!,#REF!,#REF!,#REF!,#REF!,#REF!,#REF!,#REF!,#REF!,#REF!</definedName>
    <definedName name="__APW_RESTORE_DATA19__" hidden="1">#REF!,#REF!,#REF!,#REF!,#REF!,#REF!,#REF!,#REF!,#REF!,#REF!,#REF!,#REF!,#REF!,#REF!,#REF!</definedName>
    <definedName name="__APW_RESTORE_DATA190__" hidden="1">#REF!,#REF!,#REF!,#REF!,#REF!,#REF!,#REF!,#REF!,#REF!,#REF!,#REF!,#REF!,#REF!,#REF!,#REF!</definedName>
    <definedName name="__APW_RESTORE_DATA1900__" hidden="1">#REF!,#REF!,#REF!,#REF!,#REF!,#REF!,#REF!,#REF!,#REF!,#REF!,#REF!,#REF!,#REF!,#REF!,#REF!</definedName>
    <definedName name="__APW_RESTORE_DATA1901__" hidden="1">#REF!,#REF!,#REF!,#REF!,#REF!,#REF!,#REF!,#REF!,#REF!,#REF!,#REF!,#REF!,#REF!,#REF!,#REF!</definedName>
    <definedName name="__APW_RESTORE_DATA1902__" hidden="1">#REF!,#REF!,#REF!,#REF!,#REF!,#REF!,#REF!,#REF!,#REF!,#REF!,#REF!,#REF!,#REF!,#REF!,#REF!</definedName>
    <definedName name="__APW_RESTORE_DATA1903__" hidden="1">#REF!,#REF!,#REF!,#REF!,#REF!,#REF!,#REF!,#REF!,#REF!,#REF!,#REF!,#REF!,#REF!,#REF!,#REF!</definedName>
    <definedName name="__APW_RESTORE_DATA1904__" hidden="1">#REF!,#REF!,#REF!,#REF!,#REF!,#REF!,#REF!,#REF!,#REF!,#REF!,#REF!,#REF!,#REF!,#REF!,#REF!</definedName>
    <definedName name="__APW_RESTORE_DATA1905__" hidden="1">#REF!,#REF!,#REF!,#REF!,#REF!,#REF!,#REF!,#REF!,#REF!,#REF!,#REF!,#REF!,#REF!,#REF!,#REF!</definedName>
    <definedName name="__APW_RESTORE_DATA1906__" hidden="1">#REF!,#REF!,#REF!,#REF!,#REF!,#REF!,#REF!,#REF!,#REF!,#REF!,#REF!,#REF!,#REF!,#REF!,#REF!</definedName>
    <definedName name="__APW_RESTORE_DATA1907__" hidden="1">#REF!,#REF!,#REF!,#REF!,#REF!,#REF!,#REF!,#REF!,#REF!,#REF!,#REF!,#REF!,#REF!,#REF!,#REF!</definedName>
    <definedName name="__APW_RESTORE_DATA1908__" hidden="1">#REF!,#REF!,#REF!,#REF!,#REF!,#REF!,#REF!,#REF!,#REF!,#REF!,#REF!,#REF!,#REF!,#REF!,#REF!</definedName>
    <definedName name="__APW_RESTORE_DATA1909__" hidden="1">#REF!,#REF!,#REF!,#REF!,#REF!,#REF!</definedName>
    <definedName name="__APW_RESTORE_DATA191__" hidden="1">#REF!,#REF!,#REF!,#REF!,#REF!,#REF!,#REF!,#REF!,#REF!,#REF!,#REF!,#REF!,#REF!,#REF!,#REF!</definedName>
    <definedName name="__APW_RESTORE_DATA1910__" hidden="1">#REF!,#REF!,#REF!,#REF!,#REF!,#REF!,#REF!,#REF!,#REF!,#REF!,#REF!,#REF!,#REF!,#REF!,#REF!,#REF!</definedName>
    <definedName name="__APW_RESTORE_DATA1911__" hidden="1">#REF!,#REF!,#REF!,#REF!,#REF!,#REF!,#REF!,#REF!,#REF!,#REF!,#REF!,#REF!,#REF!,#REF!,#REF!,#REF!</definedName>
    <definedName name="__APW_RESTORE_DATA1912__" hidden="1">#REF!,#REF!,#REF!,#REF!,#REF!,#REF!,#REF!,#REF!,#REF!,#REF!,#REF!,#REF!,#REF!,#REF!,#REF!,#REF!</definedName>
    <definedName name="__APW_RESTORE_DATA1913__" hidden="1">#REF!,#REF!,#REF!,#REF!,#REF!,#REF!,#REF!,#REF!,#REF!,#REF!,#REF!,#REF!,#REF!,#REF!,#REF!,#REF!</definedName>
    <definedName name="__APW_RESTORE_DATA1914__" hidden="1">#REF!,#REF!,#REF!,#REF!,#REF!,#REF!,#REF!,#REF!,#REF!,#REF!,#REF!,#REF!,#REF!,#REF!,#REF!,#REF!</definedName>
    <definedName name="__APW_RESTORE_DATA1915__" hidden="1">#REF!,#REF!,#REF!,#REF!,#REF!,#REF!,#REF!,#REF!,#REF!,#REF!,#REF!,#REF!,#REF!,#REF!,#REF!,#REF!</definedName>
    <definedName name="__APW_RESTORE_DATA1916__" hidden="1">#REF!,#REF!,#REF!,#REF!,#REF!,#REF!,#REF!,#REF!,#REF!,#REF!,#REF!,#REF!,#REF!,#REF!,#REF!</definedName>
    <definedName name="__APW_RESTORE_DATA1917__" hidden="1">#REF!,#REF!,#REF!,#REF!,#REF!,#REF!,#REF!,#REF!,#REF!,#REF!,#REF!,#REF!,#REF!,#REF!,#REF!</definedName>
    <definedName name="__APW_RESTORE_DATA1918__" hidden="1">#REF!,#REF!,#REF!,#REF!,#REF!,#REF!,#REF!,#REF!,#REF!,#REF!,#REF!,#REF!,#REF!,#REF!,#REF!</definedName>
    <definedName name="__APW_RESTORE_DATA1919__" hidden="1">#REF!,#REF!,#REF!,#REF!,#REF!,#REF!,#REF!,#REF!,#REF!,#REF!,#REF!,#REF!,#REF!,#REF!,#REF!</definedName>
    <definedName name="__APW_RESTORE_DATA192__" hidden="1">#REF!,#REF!,#REF!,#REF!,#REF!,#REF!,#REF!,#REF!,#REF!,#REF!,#REF!,#REF!,#REF!,#REF!,#REF!</definedName>
    <definedName name="__APW_RESTORE_DATA1920__" hidden="1">#REF!,#REF!,#REF!,#REF!,#REF!,#REF!,#REF!,#REF!,#REF!,#REF!,#REF!,#REF!,#REF!,#REF!,#REF!</definedName>
    <definedName name="__APW_RESTORE_DATA1921__" hidden="1">#REF!,#REF!,#REF!,#REF!,#REF!,#REF!,#REF!,#REF!,#REF!,#REF!,#REF!,#REF!,#REF!,#REF!,#REF!</definedName>
    <definedName name="__APW_RESTORE_DATA1922__" hidden="1">#REF!,#REF!,#REF!,#REF!,#REF!,#REF!,#REF!,#REF!,#REF!,#REF!,#REF!,#REF!,#REF!,#REF!,#REF!</definedName>
    <definedName name="__APW_RESTORE_DATA1923__" hidden="1">#REF!,#REF!,#REF!,#REF!,#REF!,#REF!,#REF!,#REF!,#REF!,#REF!,#REF!,#REF!,#REF!,#REF!,#REF!</definedName>
    <definedName name="__APW_RESTORE_DATA1924__" hidden="1">#REF!,#REF!,#REF!,#REF!,#REF!,#REF!,#REF!,#REF!,#REF!,#REF!,#REF!,#REF!,#REF!,#REF!,#REF!</definedName>
    <definedName name="__APW_RESTORE_DATA1925__" hidden="1">#REF!,#REF!,#REF!,#REF!,#REF!,#REF!,#REF!,#REF!,#REF!,#REF!,#REF!,#REF!,#REF!,#REF!,#REF!</definedName>
    <definedName name="__APW_RESTORE_DATA1926__" hidden="1">#REF!,#REF!,#REF!,#REF!,#REF!,#REF!,#REF!,#REF!,#REF!,#REF!,#REF!,#REF!,#REF!,#REF!,#REF!</definedName>
    <definedName name="__APW_RESTORE_DATA1927__" hidden="1">#REF!,#REF!,#REF!,#REF!,#REF!,#REF!,#REF!,#REF!,#REF!,#REF!,#REF!,#REF!,#REF!,#REF!,#REF!</definedName>
    <definedName name="__APW_RESTORE_DATA1928__" hidden="1">#REF!,#REF!,#REF!,#REF!,#REF!,#REF!,#REF!,#REF!,#REF!,#REF!,#REF!,#REF!,#REF!,#REF!,#REF!</definedName>
    <definedName name="__APW_RESTORE_DATA1929__" hidden="1">#REF!,#REF!,#REF!,#REF!,#REF!,#REF!,#REF!,#REF!,#REF!,#REF!,#REF!,#REF!,#REF!,#REF!,#REF!</definedName>
    <definedName name="__APW_RESTORE_DATA193__" hidden="1">#REF!,#REF!</definedName>
    <definedName name="__APW_RESTORE_DATA1930__" hidden="1">#REF!,#REF!,#REF!,#REF!,#REF!,#REF!,#REF!,#REF!,#REF!,#REF!,#REF!,#REF!,#REF!,#REF!,#REF!</definedName>
    <definedName name="__APW_RESTORE_DATA1931__" hidden="1">#REF!,#REF!,#REF!,#REF!,#REF!,#REF!,#REF!,#REF!,#REF!,#REF!,#REF!,#REF!,#REF!,#REF!,#REF!</definedName>
    <definedName name="__APW_RESTORE_DATA1932__" hidden="1">#REF!,#REF!,#REF!,#REF!,#REF!,#REF!,#REF!,#REF!,#REF!,#REF!,#REF!,#REF!,#REF!,#REF!,#REF!</definedName>
    <definedName name="__APW_RESTORE_DATA1933__" hidden="1">#REF!,#REF!,#REF!,#REF!,#REF!,#REF!,#REF!,#REF!,#REF!,#REF!,#REF!,#REF!,#REF!,#REF!,#REF!</definedName>
    <definedName name="__APW_RESTORE_DATA1934__" hidden="1">#REF!,#REF!,#REF!,#REF!,#REF!,#REF!,#REF!,#REF!,#REF!,#REF!,#REF!,#REF!,#REF!,#REF!,#REF!</definedName>
    <definedName name="__APW_RESTORE_DATA1935__" hidden="1">#REF!,#REF!,#REF!,#REF!,#REF!,#REF!,#REF!,#REF!,#REF!,#REF!,#REF!,#REF!,#REF!,#REF!,#REF!</definedName>
    <definedName name="__APW_RESTORE_DATA1936__" hidden="1">#REF!,#REF!,#REF!,#REF!,#REF!,#REF!,#REF!,#REF!,#REF!,#REF!,#REF!,#REF!,#REF!,#REF!,#REF!</definedName>
    <definedName name="__APW_RESTORE_DATA1937__" hidden="1">#REF!,#REF!,#REF!,#REF!,#REF!,#REF!,#REF!,#REF!,#REF!,#REF!,#REF!,#REF!,#REF!,#REF!,#REF!</definedName>
    <definedName name="__APW_RESTORE_DATA1938__" hidden="1">#REF!,#REF!,#REF!,#REF!,#REF!,#REF!,#REF!,#REF!,#REF!,#REF!,#REF!,#REF!,#REF!,#REF!,#REF!</definedName>
    <definedName name="__APW_RESTORE_DATA1939__" hidden="1">#REF!,#REF!,#REF!,#REF!,#REF!,#REF!,#REF!,#REF!,#REF!,#REF!,#REF!,#REF!,#REF!,#REF!,#REF!</definedName>
    <definedName name="__APW_RESTORE_DATA194__" hidden="1">#REF!,#REF!</definedName>
    <definedName name="__APW_RESTORE_DATA1940__" hidden="1">#REF!,#REF!,#REF!,#REF!,#REF!,#REF!,#REF!,#REF!,#REF!,#REF!,#REF!,#REF!,#REF!,#REF!,#REF!</definedName>
    <definedName name="__APW_RESTORE_DATA1941__" hidden="1">#REF!,#REF!,#REF!,#REF!,#REF!,#REF!,#REF!,#REF!,#REF!,#REF!,#REF!,#REF!,#REF!,#REF!,#REF!</definedName>
    <definedName name="__APW_RESTORE_DATA1942__" hidden="1">#REF!,#REF!,#REF!,#REF!,#REF!,#REF!,#REF!,#REF!,#REF!,#REF!,#REF!,#REF!,#REF!,#REF!,#REF!</definedName>
    <definedName name="__APW_RESTORE_DATA1943__" hidden="1">#REF!,#REF!,#REF!,#REF!,#REF!,#REF!,#REF!,#REF!,#REF!,#REF!,#REF!,#REF!,#REF!,#REF!,#REF!</definedName>
    <definedName name="__APW_RESTORE_DATA1944__" hidden="1">#REF!,#REF!,#REF!,#REF!,#REF!,#REF!</definedName>
    <definedName name="__APW_RESTORE_DATA1945__" hidden="1">#REF!,#REF!,#REF!,#REF!,#REF!,#REF!,#REF!,#REF!,#REF!,#REF!,#REF!,#REF!,#REF!,#REF!,#REF!,#REF!</definedName>
    <definedName name="__APW_RESTORE_DATA1946__" hidden="1">#REF!,#REF!,#REF!,#REF!,#REF!,#REF!,#REF!,#REF!,#REF!,#REF!,#REF!,#REF!,#REF!,#REF!,#REF!,#REF!</definedName>
    <definedName name="__APW_RESTORE_DATA1947__" hidden="1">#REF!,#REF!,#REF!,#REF!,#REF!,#REF!,#REF!,#REF!,#REF!,#REF!,#REF!,#REF!,#REF!,#REF!,#REF!,#REF!</definedName>
    <definedName name="__APW_RESTORE_DATA1948__" hidden="1">#REF!,#REF!,#REF!,#REF!,#REF!,#REF!,#REF!,#REF!,#REF!,#REF!,#REF!,#REF!,#REF!,#REF!,#REF!,#REF!</definedName>
    <definedName name="__APW_RESTORE_DATA1949__" hidden="1">#REF!,#REF!,#REF!,#REF!,#REF!,#REF!,#REF!,#REF!,#REF!,#REF!,#REF!,#REF!,#REF!,#REF!,#REF!,#REF!</definedName>
    <definedName name="__APW_RESTORE_DATA195__" hidden="1">#REF!,#REF!,#REF!,#REF!,#REF!,#REF!,#REF!,#REF!,#REF!,#REF!,#REF!,#REF!,#REF!,#REF!,#REF!</definedName>
    <definedName name="__APW_RESTORE_DATA1950__" hidden="1">#REF!,#REF!,#REF!,#REF!,#REF!,#REF!,#REF!,#REF!,#REF!,#REF!,#REF!,#REF!,#REF!,#REF!,#REF!,#REF!</definedName>
    <definedName name="__APW_RESTORE_DATA1951__" hidden="1">#REF!,#REF!,#REF!,#REF!,#REF!,#REF!,#REF!,#REF!,#REF!,#REF!,#REF!,#REF!,#REF!,#REF!,#REF!</definedName>
    <definedName name="__APW_RESTORE_DATA1952__" hidden="1">#REF!,#REF!,#REF!,#REF!,#REF!,#REF!,#REF!,#REF!,#REF!,#REF!,#REF!,#REF!,#REF!,#REF!,#REF!</definedName>
    <definedName name="__APW_RESTORE_DATA1953__" hidden="1">#REF!,#REF!,#REF!,#REF!,#REF!,#REF!,#REF!,#REF!,#REF!,#REF!,#REF!,#REF!,#REF!,#REF!,#REF!</definedName>
    <definedName name="__APW_RESTORE_DATA1954__" hidden="1">#REF!,#REF!,#REF!,#REF!,#REF!,#REF!,#REF!,#REF!,#REF!,#REF!,#REF!,#REF!,#REF!,#REF!,#REF!</definedName>
    <definedName name="__APW_RESTORE_DATA1955__" hidden="1">#REF!,#REF!,#REF!,#REF!,#REF!,#REF!,#REF!,#REF!,#REF!,#REF!,#REF!,#REF!,#REF!,#REF!,#REF!</definedName>
    <definedName name="__APW_RESTORE_DATA1956__" hidden="1">#REF!,#REF!,#REF!,#REF!,#REF!,#REF!,#REF!,#REF!,#REF!,#REF!,#REF!,#REF!,#REF!,#REF!,#REF!</definedName>
    <definedName name="__APW_RESTORE_DATA1957__" hidden="1">#REF!,#REF!,#REF!,#REF!,#REF!,#REF!,#REF!,#REF!,#REF!,#REF!,#REF!,#REF!,#REF!,#REF!,#REF!</definedName>
    <definedName name="__APW_RESTORE_DATA1958__" hidden="1">#REF!,#REF!,#REF!,#REF!,#REF!,#REF!,#REF!,#REF!,#REF!,#REF!,#REF!,#REF!,#REF!,#REF!,#REF!</definedName>
    <definedName name="__APW_RESTORE_DATA1959__" hidden="1">#REF!,#REF!,#REF!,#REF!,#REF!,#REF!,#REF!,#REF!,#REF!,#REF!,#REF!,#REF!,#REF!,#REF!,#REF!</definedName>
    <definedName name="__APW_RESTORE_DATA196__" hidden="1">#REF!,#REF!,#REF!,#REF!,#REF!,#REF!,#REF!,#REF!,#REF!,#REF!,#REF!,#REF!,#REF!,#REF!,#REF!</definedName>
    <definedName name="__APW_RESTORE_DATA1960__" hidden="1">#REF!,#REF!,#REF!,#REF!,#REF!,#REF!,#REF!,#REF!,#REF!,#REF!,#REF!,#REF!,#REF!,#REF!,#REF!</definedName>
    <definedName name="__APW_RESTORE_DATA1961__" hidden="1">#REF!,#REF!,#REF!,#REF!,#REF!,#REF!,#REF!,#REF!,#REF!,#REF!,#REF!,#REF!,#REF!,#REF!,#REF!</definedName>
    <definedName name="__APW_RESTORE_DATA1962__" hidden="1">#REF!,#REF!,#REF!,#REF!,#REF!,#REF!,#REF!,#REF!,#REF!,#REF!,#REF!,#REF!,#REF!,#REF!,#REF!</definedName>
    <definedName name="__APW_RESTORE_DATA1963__" hidden="1">#REF!,#REF!,#REF!,#REF!,#REF!,#REF!,#REF!,#REF!,#REF!,#REF!,#REF!,#REF!,#REF!,#REF!,#REF!</definedName>
    <definedName name="__APW_RESTORE_DATA1964__" hidden="1">#REF!,#REF!,#REF!,#REF!,#REF!,#REF!,#REF!,#REF!,#REF!,#REF!,#REF!,#REF!,#REF!,#REF!,#REF!</definedName>
    <definedName name="__APW_RESTORE_DATA1965__" hidden="1">#REF!,#REF!,#REF!,#REF!,#REF!,#REF!,#REF!,#REF!,#REF!,#REF!,#REF!,#REF!,#REF!,#REF!,#REF!</definedName>
    <definedName name="__APW_RESTORE_DATA1966__" hidden="1">#REF!,#REF!,#REF!,#REF!,#REF!,#REF!,#REF!,#REF!,#REF!,#REF!,#REF!,#REF!,#REF!,#REF!,#REF!</definedName>
    <definedName name="__APW_RESTORE_DATA1967__" hidden="1">#REF!,#REF!,#REF!,#REF!,#REF!,#REF!,#REF!,#REF!,#REF!,#REF!,#REF!,#REF!,#REF!,#REF!,#REF!</definedName>
    <definedName name="__APW_RESTORE_DATA1968__" hidden="1">#REF!,#REF!,#REF!,#REF!,#REF!,#REF!,#REF!,#REF!,#REF!,#REF!,#REF!,#REF!,#REF!,#REF!,#REF!</definedName>
    <definedName name="__APW_RESTORE_DATA1969__" hidden="1">#REF!,#REF!,#REF!,#REF!,#REF!,#REF!,#REF!,#REF!,#REF!,#REF!,#REF!,#REF!,#REF!,#REF!,#REF!</definedName>
    <definedName name="__APW_RESTORE_DATA197__" hidden="1">#REF!,#REF!,#REF!,#REF!,#REF!,#REF!,#REF!,#REF!,#REF!,#REF!,#REF!,#REF!,#REF!,#REF!,#REF!</definedName>
    <definedName name="__APW_RESTORE_DATA1970__" hidden="1">#REF!,#REF!,#REF!,#REF!,#REF!,#REF!,#REF!,#REF!,#REF!,#REF!,#REF!,#REF!,#REF!,#REF!,#REF!</definedName>
    <definedName name="__APW_RESTORE_DATA1971__" hidden="1">#REF!,#REF!,#REF!,#REF!,#REF!,#REF!,#REF!,#REF!,#REF!,#REF!,#REF!,#REF!,#REF!,#REF!,#REF!</definedName>
    <definedName name="__APW_RESTORE_DATA1972__" hidden="1">#REF!,#REF!,#REF!,#REF!,#REF!,#REF!,#REF!,#REF!,#REF!,#REF!,#REF!,#REF!,#REF!,#REF!,#REF!</definedName>
    <definedName name="__APW_RESTORE_DATA1973__" hidden="1">#REF!,#REF!,#REF!,#REF!,#REF!,#REF!,#REF!,#REF!,#REF!,#REF!,#REF!,#REF!,#REF!,#REF!,#REF!</definedName>
    <definedName name="__APW_RESTORE_DATA1974__" hidden="1">#REF!,#REF!,#REF!,#REF!,#REF!,#REF!,#REF!,#REF!,#REF!,#REF!,#REF!,#REF!,#REF!,#REF!,#REF!</definedName>
    <definedName name="__APW_RESTORE_DATA1975__" hidden="1">#REF!,#REF!,#REF!,#REF!,#REF!,#REF!,#REF!,#REF!,#REF!,#REF!,#REF!,#REF!,#REF!,#REF!,#REF!</definedName>
    <definedName name="__APW_RESTORE_DATA1976__" hidden="1">#REF!,#REF!,#REF!,#REF!,#REF!,#REF!,#REF!,#REF!,#REF!,#REF!,#REF!,#REF!,#REF!,#REF!,#REF!</definedName>
    <definedName name="__APW_RESTORE_DATA1977__" hidden="1">#REF!,#REF!,#REF!,#REF!,#REF!,#REF!,#REF!,#REF!,#REF!,#REF!,#REF!,#REF!,#REF!,#REF!,#REF!</definedName>
    <definedName name="__APW_RESTORE_DATA1978__" hidden="1">#REF!,#REF!,#REF!,#REF!,#REF!,#REF!,#REF!,#REF!,#REF!,#REF!,#REF!,#REF!,#REF!,#REF!,#REF!</definedName>
    <definedName name="__APW_RESTORE_DATA1979__" hidden="1">#REF!,#REF!,#REF!,#REF!,#REF!,#REF!</definedName>
    <definedName name="__APW_RESTORE_DATA198__" hidden="1">#REF!,#REF!,#REF!,#REF!,#REF!,#REF!,#REF!,#REF!,#REF!,#REF!,#REF!,#REF!,#REF!,#REF!,#REF!</definedName>
    <definedName name="__APW_RESTORE_DATA1980__" hidden="1">#REF!,#REF!,#REF!,#REF!,#REF!,#REF!,#REF!,#REF!,#REF!,#REF!,#REF!,#REF!,#REF!,#REF!,#REF!,#REF!</definedName>
    <definedName name="__APW_RESTORE_DATA1981__" hidden="1">#REF!,#REF!,#REF!,#REF!,#REF!,#REF!,#REF!,#REF!,#REF!,#REF!,#REF!,#REF!,#REF!,#REF!,#REF!,#REF!</definedName>
    <definedName name="__APW_RESTORE_DATA1982__" hidden="1">#REF!,#REF!,#REF!,#REF!,#REF!,#REF!,#REF!,#REF!,#REF!,#REF!,#REF!,#REF!,#REF!,#REF!,#REF!,#REF!</definedName>
    <definedName name="__APW_RESTORE_DATA1983__" hidden="1">#REF!,#REF!,#REF!,#REF!,#REF!,#REF!,#REF!,#REF!,#REF!,#REF!,#REF!,#REF!,#REF!,#REF!,#REF!,#REF!</definedName>
    <definedName name="__APW_RESTORE_DATA1984__" hidden="1">#REF!,#REF!,#REF!,#REF!,#REF!,#REF!,#REF!,#REF!,#REF!,#REF!,#REF!,#REF!,#REF!,#REF!,#REF!,#REF!</definedName>
    <definedName name="__APW_RESTORE_DATA1985__" hidden="1">#REF!,#REF!,#REF!,#REF!,#REF!,#REF!,#REF!,#REF!,#REF!,#REF!,#REF!,#REF!,#REF!,#REF!,#REF!,#REF!</definedName>
    <definedName name="__APW_RESTORE_DATA1986__" hidden="1">#REF!,#REF!,#REF!,#REF!,#REF!,#REF!,#REF!,#REF!,#REF!,#REF!,#REF!,#REF!,#REF!,#REF!,#REF!</definedName>
    <definedName name="__APW_RESTORE_DATA1987__" hidden="1">#REF!,#REF!,#REF!,#REF!,#REF!,#REF!,#REF!,#REF!,#REF!,#REF!,#REF!,#REF!,#REF!,#REF!,#REF!</definedName>
    <definedName name="__APW_RESTORE_DATA1988__" hidden="1">#REF!,#REF!,#REF!,#REF!,#REF!,#REF!,#REF!,#REF!,#REF!,#REF!,#REF!,#REF!,#REF!,#REF!,#REF!</definedName>
    <definedName name="__APW_RESTORE_DATA1989__" hidden="1">#REF!,#REF!,#REF!,#REF!,#REF!,#REF!,#REF!,#REF!,#REF!,#REF!,#REF!,#REF!,#REF!,#REF!,#REF!</definedName>
    <definedName name="__APW_RESTORE_DATA199__" hidden="1">#REF!,#REF!,#REF!,#REF!,#REF!,#REF!,#REF!,#REF!,#REF!,#REF!,#REF!,#REF!,#REF!,#REF!,#REF!</definedName>
    <definedName name="__APW_RESTORE_DATA1990__" hidden="1">#REF!,#REF!,#REF!,#REF!,#REF!,#REF!,#REF!,#REF!,#REF!,#REF!,#REF!,#REF!,#REF!,#REF!,#REF!</definedName>
    <definedName name="__APW_RESTORE_DATA1991__" hidden="1">#REF!,#REF!,#REF!,#REF!,#REF!,#REF!,#REF!,#REF!,#REF!,#REF!,#REF!,#REF!,#REF!,#REF!,#REF!</definedName>
    <definedName name="__APW_RESTORE_DATA1992__" hidden="1">#REF!,#REF!,#REF!,#REF!,#REF!,#REF!,#REF!,#REF!,#REF!,#REF!,#REF!,#REF!,#REF!,#REF!,#REF!</definedName>
    <definedName name="__APW_RESTORE_DATA1993__" hidden="1">#REF!,#REF!,#REF!,#REF!,#REF!,#REF!,#REF!,#REF!,#REF!,#REF!,#REF!,#REF!,#REF!,#REF!,#REF!</definedName>
    <definedName name="__APW_RESTORE_DATA1994__" hidden="1">#REF!,#REF!,#REF!,#REF!,#REF!,#REF!,#REF!,#REF!,#REF!,#REF!,#REF!,#REF!,#REF!,#REF!,#REF!</definedName>
    <definedName name="__APW_RESTORE_DATA1995__" hidden="1">#REF!,#REF!,#REF!,#REF!,#REF!,#REF!,#REF!,#REF!,#REF!,#REF!,#REF!,#REF!,#REF!,#REF!,#REF!</definedName>
    <definedName name="__APW_RESTORE_DATA1996__" hidden="1">#REF!,#REF!,#REF!,#REF!,#REF!,#REF!,#REF!,#REF!,#REF!,#REF!,#REF!,#REF!,#REF!,#REF!,#REF!</definedName>
    <definedName name="__APW_RESTORE_DATA1997__" hidden="1">#REF!,#REF!,#REF!,#REF!,#REF!,#REF!,#REF!,#REF!,#REF!,#REF!,#REF!,#REF!,#REF!,#REF!,#REF!</definedName>
    <definedName name="__APW_RESTORE_DATA1998__" hidden="1">#REF!,#REF!,#REF!,#REF!,#REF!,#REF!,#REF!,#REF!,#REF!,#REF!,#REF!,#REF!,#REF!,#REF!,#REF!</definedName>
    <definedName name="__APW_RESTORE_DATA1999__" hidden="1">#REF!,#REF!,#REF!,#REF!,#REF!,#REF!,#REF!,#REF!,#REF!,#REF!,#REF!,#REF!,#REF!,#REF!,#REF!</definedName>
    <definedName name="__APW_RESTORE_DATA2__" hidden="1">#REF!</definedName>
    <definedName name="__APW_RESTORE_DATA20__" hidden="1">#REF!</definedName>
    <definedName name="__APW_RESTORE_DATA200__" hidden="1">#REF!,#REF!,#REF!,#REF!,#REF!,#REF!,#REF!,#REF!,#REF!,#REF!,#REF!,#REF!,#REF!,#REF!,#REF!</definedName>
    <definedName name="__APW_RESTORE_DATA2000__" hidden="1">#REF!,#REF!,#REF!,#REF!,#REF!,#REF!,#REF!,#REF!,#REF!,#REF!,#REF!,#REF!,#REF!,#REF!,#REF!</definedName>
    <definedName name="__APW_RESTORE_DATA2001__" hidden="1">#REF!,#REF!,#REF!,#REF!,#REF!,#REF!,#REF!,#REF!,#REF!,#REF!,#REF!,#REF!,#REF!,#REF!,#REF!</definedName>
    <definedName name="__APW_RESTORE_DATA2002__" hidden="1">#REF!,#REF!,#REF!,#REF!,#REF!,#REF!,#REF!,#REF!,#REF!,#REF!,#REF!,#REF!,#REF!,#REF!,#REF!</definedName>
    <definedName name="__APW_RESTORE_DATA2003__" hidden="1">#REF!,#REF!,#REF!,#REF!,#REF!,#REF!,#REF!,#REF!,#REF!,#REF!,#REF!,#REF!,#REF!,#REF!,#REF!</definedName>
    <definedName name="__APW_RESTORE_DATA2004__" hidden="1">#REF!,#REF!,#REF!,#REF!,#REF!,#REF!,#REF!,#REF!,#REF!,#REF!,#REF!,#REF!,#REF!,#REF!,#REF!</definedName>
    <definedName name="__APW_RESTORE_DATA2005__" hidden="1">#REF!,#REF!,#REF!,#REF!,#REF!,#REF!,#REF!,#REF!,#REF!,#REF!,#REF!,#REF!,#REF!,#REF!,#REF!</definedName>
    <definedName name="__APW_RESTORE_DATA2006__" hidden="1">#REF!,#REF!,#REF!,#REF!,#REF!,#REF!,#REF!,#REF!,#REF!,#REF!,#REF!,#REF!,#REF!,#REF!,#REF!</definedName>
    <definedName name="__APW_RESTORE_DATA2007__" hidden="1">#REF!,#REF!,#REF!,#REF!,#REF!,#REF!,#REF!,#REF!,#REF!,#REF!,#REF!,#REF!,#REF!,#REF!,#REF!</definedName>
    <definedName name="__APW_RESTORE_DATA2008__" hidden="1">#REF!,#REF!,#REF!,#REF!,#REF!,#REF!,#REF!,#REF!,#REF!,#REF!,#REF!,#REF!,#REF!,#REF!,#REF!</definedName>
    <definedName name="__APW_RESTORE_DATA2009__" hidden="1">#REF!,#REF!,#REF!,#REF!,#REF!,#REF!,#REF!,#REF!,#REF!,#REF!,#REF!,#REF!,#REF!,#REF!,#REF!</definedName>
    <definedName name="__APW_RESTORE_DATA201__" hidden="1">#REF!,#REF!,#REF!,#REF!,#REF!,#REF!,#REF!,#REF!,#REF!,#REF!,#REF!,#REF!,#REF!,#REF!,#REF!</definedName>
    <definedName name="__APW_RESTORE_DATA2010__" hidden="1">#REF!,#REF!,#REF!,#REF!,#REF!,#REF!,#REF!,#REF!,#REF!,#REF!,#REF!,#REF!,#REF!,#REF!,#REF!</definedName>
    <definedName name="__APW_RESTORE_DATA2011__" hidden="1">#REF!,#REF!,#REF!,#REF!,#REF!,#REF!,#REF!,#REF!,#REF!,#REF!,#REF!,#REF!,#REF!,#REF!,#REF!</definedName>
    <definedName name="__APW_RESTORE_DATA2012__" hidden="1">#REF!,#REF!,#REF!,#REF!,#REF!,#REF!,#REF!,#REF!,#REF!,#REF!,#REF!,#REF!,#REF!,#REF!,#REF!</definedName>
    <definedName name="__APW_RESTORE_DATA2013__" hidden="1">#REF!,#REF!,#REF!,#REF!,#REF!,#REF!,#REF!,#REF!,#REF!,#REF!,#REF!,#REF!,#REF!,#REF!,#REF!</definedName>
    <definedName name="__APW_RESTORE_DATA2014__" hidden="1">#REF!,#REF!,#REF!,#REF!,#REF!,#REF!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9__" hidden="1">#REF!</definedName>
    <definedName name="__APW_RESTORE_DATA202__" hidden="1">#REF!,#REF!,#REF!,#REF!,#REF!,#REF!,#REF!,#REF!,#REF!,#REF!,#REF!,#REF!,#REF!,#REF!,#REF!</definedName>
    <definedName name="__APW_RESTORE_DATA2020__" hidden="1">#REF!,#REF!,#REF!,#REF!,#REF!,#REF!,#REF!,#REF!,#REF!,#REF!,#REF!,#REF!,#REF!,#REF!,#REF!,#REF!</definedName>
    <definedName name="__APW_RESTORE_DATA2021__" hidden="1">#REF!,#REF!,#REF!,#REF!,#REF!,#REF!,#REF!,#REF!,#REF!,#REF!,#REF!,#REF!,#REF!,#REF!,#REF!,#REF!</definedName>
    <definedName name="__APW_RESTORE_DATA2022__" hidden="1">#REF!,#REF!,#REF!,#REF!,#REF!,#REF!,#REF!,#REF!,#REF!,#REF!,#REF!,#REF!,#REF!,#REF!,#REF!,#REF!</definedName>
    <definedName name="__APW_RESTORE_DATA2023__" hidden="1">#REF!,#REF!,#REF!,#REF!,#REF!,#REF!,#REF!,#REF!,#REF!,#REF!,#REF!,#REF!,#REF!,#REF!,#REF!,#REF!</definedName>
    <definedName name="__APW_RESTORE_DATA2024__" hidden="1">#REF!,#REF!,#REF!,#REF!,#REF!,#REF!,#REF!,#REF!,#REF!,#REF!,#REF!,#REF!,#REF!,#REF!,#REF!,#REF!</definedName>
    <definedName name="__APW_RESTORE_DATA2025__" hidden="1">#REF!,#REF!,#REF!,#REF!,#REF!,#REF!,#REF!,#REF!,#REF!,#REF!,#REF!,#REF!,#REF!,#REF!,#REF!,#REF!</definedName>
    <definedName name="__APW_RESTORE_DATA2026__" hidden="1">#REF!,#REF!,#REF!,#REF!,#REF!,#REF!,#REF!,#REF!,#REF!,#REF!,#REF!,#REF!,#REF!,#REF!,#REF!</definedName>
    <definedName name="__APW_RESTORE_DATA2027__" hidden="1">#REF!,#REF!,#REF!,#REF!,#REF!,#REF!,#REF!,#REF!,#REF!,#REF!,#REF!,#REF!,#REF!,#REF!,#REF!</definedName>
    <definedName name="__APW_RESTORE_DATA2028__" hidden="1">#REF!,#REF!,#REF!,#REF!,#REF!,#REF!,#REF!,#REF!,#REF!,#REF!,#REF!,#REF!,#REF!,#REF!,#REF!</definedName>
    <definedName name="__APW_RESTORE_DATA2029__" hidden="1">#REF!,#REF!,#REF!,#REF!,#REF!,#REF!,#REF!,#REF!,#REF!,#REF!,#REF!,#REF!,#REF!,#REF!,#REF!</definedName>
    <definedName name="__APW_RESTORE_DATA203__" hidden="1">#REF!,#REF!,#REF!,#REF!,#REF!,#REF!,#REF!,#REF!,#REF!,#REF!,#REF!,#REF!,#REF!,#REF!,#REF!</definedName>
    <definedName name="__APW_RESTORE_DATA2030__" hidden="1">#REF!,#REF!,#REF!,#REF!,#REF!,#REF!,#REF!,#REF!,#REF!,#REF!,#REF!,#REF!,#REF!,#REF!,#REF!</definedName>
    <definedName name="__APW_RESTORE_DATA2031__" hidden="1">#REF!,#REF!,#REF!,#REF!,#REF!,#REF!,#REF!,#REF!,#REF!,#REF!,#REF!,#REF!,#REF!,#REF!,#REF!</definedName>
    <definedName name="__APW_RESTORE_DATA2032__" hidden="1">#REF!,#REF!,#REF!,#REF!,#REF!,#REF!,#REF!,#REF!,#REF!,#REF!,#REF!,#REF!,#REF!,#REF!,#REF!</definedName>
    <definedName name="__APW_RESTORE_DATA2033__" hidden="1">#REF!,#REF!,#REF!,#REF!,#REF!,#REF!,#REF!,#REF!,#REF!,#REF!,#REF!,#REF!,#REF!,#REF!,#REF!</definedName>
    <definedName name="__APW_RESTORE_DATA2034__" hidden="1">#REF!,#REF!,#REF!,#REF!,#REF!,#REF!,#REF!,#REF!,#REF!,#REF!,#REF!,#REF!,#REF!,#REF!,#REF!</definedName>
    <definedName name="__APW_RESTORE_DATA2035__" hidden="1">#REF!,#REF!,#REF!,#REF!,#REF!,#REF!,#REF!,#REF!,#REF!,#REF!,#REF!,#REF!,#REF!,#REF!,#REF!</definedName>
    <definedName name="__APW_RESTORE_DATA2036__" hidden="1">#REF!,#REF!,#REF!,#REF!,#REF!,#REF!,#REF!,#REF!,#REF!,#REF!,#REF!,#REF!,#REF!,#REF!,#REF!</definedName>
    <definedName name="__APW_RESTORE_DATA2037__" hidden="1">#REF!,#REF!,#REF!,#REF!,#REF!,#REF!,#REF!,#REF!,#REF!,#REF!,#REF!,#REF!,#REF!,#REF!,#REF!</definedName>
    <definedName name="__APW_RESTORE_DATA2038__" hidden="1">#REF!,#REF!,#REF!,#REF!,#REF!,#REF!,#REF!,#REF!,#REF!,#REF!,#REF!,#REF!,#REF!,#REF!,#REF!</definedName>
    <definedName name="__APW_RESTORE_DATA2039__" hidden="1">#REF!,#REF!,#REF!,#REF!,#REF!,#REF!,#REF!,#REF!,#REF!,#REF!,#REF!,#REF!,#REF!,#REF!,#REF!</definedName>
    <definedName name="__APW_RESTORE_DATA204__" hidden="1">#REF!,#REF!,#REF!,#REF!,#REF!,#REF!,#REF!,#REF!,#REF!,#REF!,#REF!,#REF!,#REF!,#REF!,#REF!</definedName>
    <definedName name="__APW_RESTORE_DATA2040__" hidden="1">#REF!,#REF!,#REF!,#REF!,#REF!,#REF!,#REF!,#REF!,#REF!,#REF!,#REF!,#REF!,#REF!,#REF!,#REF!</definedName>
    <definedName name="__APW_RESTORE_DATA2041__" hidden="1">#REF!,#REF!,#REF!,#REF!,#REF!,#REF!,#REF!,#REF!,#REF!,#REF!,#REF!,#REF!,#REF!,#REF!,#REF!</definedName>
    <definedName name="__APW_RESTORE_DATA2042__" hidden="1">#REF!,#REF!,#REF!,#REF!,#REF!,#REF!,#REF!,#REF!,#REF!,#REF!,#REF!,#REF!,#REF!,#REF!,#REF!</definedName>
    <definedName name="__APW_RESTORE_DATA2043__" hidden="1">#REF!,#REF!,#REF!,#REF!,#REF!,#REF!,#REF!,#REF!,#REF!,#REF!,#REF!,#REF!,#REF!,#REF!,#REF!</definedName>
    <definedName name="__APW_RESTORE_DATA2044__" hidden="1">#REF!,#REF!,#REF!,#REF!,#REF!,#REF!,#REF!,#REF!,#REF!,#REF!,#REF!,#REF!,#REF!,#REF!,#REF!</definedName>
    <definedName name="__APW_RESTORE_DATA2045__" hidden="1">#REF!,#REF!,#REF!,#REF!,#REF!,#REF!,#REF!,#REF!,#REF!,#REF!,#REF!,#REF!,#REF!,#REF!,#REF!</definedName>
    <definedName name="__APW_RESTORE_DATA2046__" hidden="1">#REF!,#REF!,#REF!,#REF!,#REF!,#REF!,#REF!,#REF!,#REF!,#REF!,#REF!,#REF!,#REF!,#REF!,#REF!</definedName>
    <definedName name="__APW_RESTORE_DATA2047__" hidden="1">#REF!,#REF!,#REF!,#REF!,#REF!,#REF!,#REF!,#REF!,#REF!,#REF!,#REF!,#REF!,#REF!,#REF!,#REF!</definedName>
    <definedName name="__APW_RESTORE_DATA2048__" hidden="1">#REF!,#REF!,#REF!,#REF!,#REF!,#REF!,#REF!,#REF!,#REF!,#REF!,#REF!,#REF!,#REF!,#REF!,#REF!</definedName>
    <definedName name="__APW_RESTORE_DATA2049__" hidden="1">#REF!,#REF!,#REF!,#REF!,#REF!,#REF!,#REF!,#REF!,#REF!,#REF!,#REF!,#REF!,#REF!,#REF!,#REF!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50__" hidden="1">#REF!,#REF!,#REF!,#REF!,#REF!,#REF!,#REF!,#REF!,#REF!,#REF!,#REF!,#REF!,#REF!,#REF!,#REF!</definedName>
    <definedName name="__APW_RESTORE_DATA2051__" hidden="1">#REF!,#REF!,#REF!,#REF!,#REF!,#REF!,#REF!,#REF!,#REF!,#REF!,#REF!,#REF!,#REF!,#REF!,#REF!</definedName>
    <definedName name="__APW_RESTORE_DATA2052__" hidden="1">#REF!,#REF!,#REF!,#REF!,#REF!,#REF!,#REF!,#REF!,#REF!,#REF!,#REF!,#REF!,#REF!,#REF!,#REF!</definedName>
    <definedName name="__APW_RESTORE_DATA2053__" hidden="1">#REF!,#REF!,#REF!,#REF!,#REF!,#REF!,#REF!,#REF!,#REF!,#REF!,#REF!,#REF!,#REF!,#REF!,#REF!</definedName>
    <definedName name="__APW_RESTORE_DATA2054__" hidden="1">#REF!,#REF!,#REF!,#REF!,#REF!,#REF!</definedName>
    <definedName name="__APW_RESTORE_DATA2055__" hidden="1">#REF!,#REF!,#REF!,#REF!,#REF!,#REF!,#REF!,#REF!,#REF!,#REF!,#REF!,#REF!,#REF!,#REF!,#REF!,#REF!</definedName>
    <definedName name="__APW_RESTORE_DATA2056__" hidden="1">#REF!,#REF!,#REF!,#REF!,#REF!,#REF!,#REF!,#REF!,#REF!,#REF!,#REF!,#REF!,#REF!,#REF!,#REF!,#REF!</definedName>
    <definedName name="__APW_RESTORE_DATA2057__" hidden="1">#REF!,#REF!,#REF!,#REF!,#REF!,#REF!,#REF!,#REF!,#REF!,#REF!,#REF!,#REF!,#REF!,#REF!,#REF!,#REF!</definedName>
    <definedName name="__APW_RESTORE_DATA2058__" hidden="1">#REF!,#REF!,#REF!,#REF!,#REF!,#REF!,#REF!,#REF!,#REF!,#REF!,#REF!,#REF!,#REF!,#REF!,#REF!,#REF!</definedName>
    <definedName name="__APW_RESTORE_DATA2059__" hidden="1">#REF!,#REF!,#REF!,#REF!,#REF!,#REF!,#REF!,#REF!,#REF!,#REF!,#REF!,#REF!,#REF!,#REF!,#REF!,#REF!</definedName>
    <definedName name="__APW_RESTORE_DATA206__" hidden="1">#REF!,#REF!,#REF!,#REF!,#REF!,#REF!,#REF!,#REF!,#REF!,#REF!,#REF!,#REF!,#REF!,#REF!,#REF!</definedName>
    <definedName name="__APW_RESTORE_DATA2060__" hidden="1">#REF!,#REF!,#REF!,#REF!,#REF!,#REF!,#REF!,#REF!,#REF!,#REF!,#REF!,#REF!,#REF!,#REF!,#REF!,#REF!</definedName>
    <definedName name="__APW_RESTORE_DATA2061__" hidden="1">#REF!,#REF!,#REF!,#REF!,#REF!,#REF!,#REF!,#REF!,#REF!,#REF!,#REF!,#REF!,#REF!,#REF!,#REF!</definedName>
    <definedName name="__APW_RESTORE_DATA2062__" hidden="1">#REF!,#REF!,#REF!,#REF!,#REF!,#REF!,#REF!,#REF!,#REF!,#REF!,#REF!,#REF!,#REF!,#REF!,#REF!</definedName>
    <definedName name="__APW_RESTORE_DATA2063__" hidden="1">#REF!,#REF!,#REF!,#REF!,#REF!,#REF!,#REF!,#REF!,#REF!,#REF!,#REF!,#REF!,#REF!,#REF!,#REF!</definedName>
    <definedName name="__APW_RESTORE_DATA2064__" hidden="1">#REF!,#REF!,#REF!,#REF!,#REF!,#REF!,#REF!,#REF!,#REF!,#REF!,#REF!,#REF!,#REF!,#REF!,#REF!</definedName>
    <definedName name="__APW_RESTORE_DATA2065__" hidden="1">#REF!,#REF!,#REF!,#REF!,#REF!,#REF!,#REF!,#REF!,#REF!,#REF!,#REF!,#REF!,#REF!,#REF!,#REF!</definedName>
    <definedName name="__APW_RESTORE_DATA2066__" hidden="1">#REF!,#REF!,#REF!,#REF!,#REF!,#REF!,#REF!,#REF!,#REF!,#REF!,#REF!,#REF!,#REF!,#REF!,#REF!</definedName>
    <definedName name="__APW_RESTORE_DATA2067__" hidden="1">#REF!,#REF!,#REF!,#REF!,#REF!,#REF!,#REF!,#REF!,#REF!,#REF!,#REF!,#REF!,#REF!,#REF!,#REF!</definedName>
    <definedName name="__APW_RESTORE_DATA2068__" hidden="1">#REF!,#REF!,#REF!,#REF!,#REF!,#REF!,#REF!,#REF!,#REF!,#REF!,#REF!,#REF!,#REF!,#REF!,#REF!</definedName>
    <definedName name="__APW_RESTORE_DATA2069__" hidden="1">#REF!,#REF!,#REF!,#REF!,#REF!,#REF!,#REF!,#REF!,#REF!,#REF!,#REF!,#REF!,#REF!,#REF!,#REF!</definedName>
    <definedName name="__APW_RESTORE_DATA207__" hidden="1">#REF!,#REF!</definedName>
    <definedName name="__APW_RESTORE_DATA2070__" hidden="1">#REF!,#REF!,#REF!,#REF!,#REF!,#REF!,#REF!,#REF!,#REF!,#REF!,#REF!,#REF!,#REF!,#REF!,#REF!</definedName>
    <definedName name="__APW_RESTORE_DATA2071__" hidden="1">#REF!,#REF!,#REF!,#REF!,#REF!,#REF!,#REF!,#REF!,#REF!,#REF!,#REF!,#REF!,#REF!,#REF!,#REF!</definedName>
    <definedName name="__APW_RESTORE_DATA2072__" hidden="1">#REF!,#REF!,#REF!,#REF!,#REF!,#REF!,#REF!,#REF!,#REF!,#REF!,#REF!,#REF!,#REF!,#REF!,#REF!</definedName>
    <definedName name="__APW_RESTORE_DATA2073__" hidden="1">#REF!,#REF!,#REF!,#REF!,#REF!,#REF!,#REF!,#REF!,#REF!,#REF!,#REF!,#REF!,#REF!,#REF!,#REF!</definedName>
    <definedName name="__APW_RESTORE_DATA2074__" hidden="1">#REF!,#REF!,#REF!,#REF!,#REF!,#REF!,#REF!,#REF!,#REF!,#REF!,#REF!,#REF!,#REF!,#REF!,#REF!</definedName>
    <definedName name="__APW_RESTORE_DATA2075__" hidden="1">#REF!,#REF!,#REF!,#REF!,#REF!,#REF!,#REF!,#REF!,#REF!,#REF!,#REF!,#REF!,#REF!,#REF!,#REF!</definedName>
    <definedName name="__APW_RESTORE_DATA2076__" hidden="1">#REF!,#REF!,#REF!,#REF!,#REF!,#REF!,#REF!,#REF!,#REF!,#REF!,#REF!,#REF!,#REF!,#REF!,#REF!</definedName>
    <definedName name="__APW_RESTORE_DATA2077__" hidden="1">#REF!,#REF!,#REF!,#REF!,#REF!,#REF!,#REF!,#REF!,#REF!,#REF!,#REF!,#REF!,#REF!,#REF!,#REF!</definedName>
    <definedName name="__APW_RESTORE_DATA2078__" hidden="1">#REF!,#REF!,#REF!,#REF!,#REF!,#REF!,#REF!,#REF!,#REF!,#REF!,#REF!,#REF!,#REF!,#REF!,#REF!</definedName>
    <definedName name="__APW_RESTORE_DATA2079__" hidden="1">#REF!,#REF!,#REF!,#REF!,#REF!,#REF!,#REF!,#REF!,#REF!,#REF!,#REF!,#REF!,#REF!,#REF!,#REF!</definedName>
    <definedName name="__APW_RESTORE_DATA208__" hidden="1">#REF!,#REF!,#REF!,#REF!,#REF!,#REF!,#REF!,#REF!,#REF!,#REF!,#REF!,#REF!,#REF!,#REF!,#REF!</definedName>
    <definedName name="__APW_RESTORE_DATA2080__" hidden="1">#REF!,#REF!,#REF!,#REF!,#REF!,#REF!,#REF!,#REF!,#REF!,#REF!,#REF!,#REF!,#REF!,#REF!,#REF!</definedName>
    <definedName name="__APW_RESTORE_DATA2081__" hidden="1">#REF!,#REF!,#REF!,#REF!,#REF!,#REF!,#REF!,#REF!,#REF!,#REF!,#REF!,#REF!,#REF!,#REF!,#REF!</definedName>
    <definedName name="__APW_RESTORE_DATA2082__" hidden="1">#REF!,#REF!,#REF!,#REF!,#REF!,#REF!,#REF!,#REF!,#REF!,#REF!,#REF!,#REF!,#REF!,#REF!,#REF!</definedName>
    <definedName name="__APW_RESTORE_DATA2083__" hidden="1">#REF!,#REF!,#REF!,#REF!,#REF!,#REF!,#REF!,#REF!,#REF!,#REF!,#REF!,#REF!,#REF!,#REF!,#REF!</definedName>
    <definedName name="__APW_RESTORE_DATA2084__" hidden="1">#REF!,#REF!,#REF!,#REF!,#REF!,#REF!,#REF!,#REF!,#REF!,#REF!,#REF!,#REF!,#REF!,#REF!,#REF!</definedName>
    <definedName name="__APW_RESTORE_DATA2085__" hidden="1">#REF!,#REF!,#REF!,#REF!,#REF!,#REF!,#REF!,#REF!,#REF!,#REF!,#REF!,#REF!,#REF!,#REF!,#REF!</definedName>
    <definedName name="__APW_RESTORE_DATA2086__" hidden="1">#REF!,#REF!,#REF!,#REF!,#REF!,#REF!,#REF!,#REF!,#REF!,#REF!,#REF!,#REF!,#REF!,#REF!,#REF!</definedName>
    <definedName name="__APW_RESTORE_DATA2087__" hidden="1">#REF!,#REF!,#REF!,#REF!,#REF!,#REF!,#REF!,#REF!,#REF!,#REF!,#REF!,#REF!,#REF!,#REF!,#REF!</definedName>
    <definedName name="__APW_RESTORE_DATA2088__" hidden="1">#REF!,#REF!,#REF!,#REF!,#REF!,#REF!,#REF!,#REF!,#REF!,#REF!,#REF!,#REF!,#REF!,#REF!,#REF!</definedName>
    <definedName name="__APW_RESTORE_DATA2089__" hidden="1">#REF!,#REF!,#REF!,#REF!,#REF!,#REF!</definedName>
    <definedName name="__APW_RESTORE_DATA209__" hidden="1">#REF!,#REF!,#REF!,#REF!,#REF!,#REF!,#REF!,#REF!,#REF!,#REF!,#REF!,#REF!,#REF!,#REF!,#REF!</definedName>
    <definedName name="__APW_RESTORE_DATA2090__" hidden="1">#REF!,#REF!,#REF!,#REF!,#REF!,#REF!,#REF!,#REF!,#REF!,#REF!,#REF!,#REF!,#REF!,#REF!,#REF!,#REF!</definedName>
    <definedName name="__APW_RESTORE_DATA2091__" hidden="1">#REF!,#REF!,#REF!,#REF!,#REF!,#REF!,#REF!,#REF!,#REF!,#REF!,#REF!,#REF!,#REF!,#REF!,#REF!,#REF!</definedName>
    <definedName name="__APW_RESTORE_DATA2092__" hidden="1">#REF!,#REF!,#REF!,#REF!,#REF!,#REF!,#REF!,#REF!,#REF!,#REF!,#REF!,#REF!,#REF!,#REF!,#REF!,#REF!</definedName>
    <definedName name="__APW_RESTORE_DATA2093__" hidden="1">#REF!,#REF!,#REF!,#REF!,#REF!,#REF!,#REF!,#REF!,#REF!,#REF!,#REF!,#REF!,#REF!,#REF!,#REF!,#REF!</definedName>
    <definedName name="__APW_RESTORE_DATA2094__" hidden="1">#REF!,#REF!,#REF!,#REF!,#REF!,#REF!,#REF!,#REF!,#REF!,#REF!,#REF!,#REF!,#REF!,#REF!,#REF!,#REF!</definedName>
    <definedName name="__APW_RESTORE_DATA2095__" hidden="1">#REF!,#REF!,#REF!,#REF!,#REF!,#REF!,#REF!,#REF!,#REF!,#REF!,#REF!,#REF!,#REF!,#REF!,#REF!,#REF!</definedName>
    <definedName name="__APW_RESTORE_DATA2096__" hidden="1">#REF!,#REF!,#REF!,#REF!,#REF!,#REF!,#REF!,#REF!,#REF!,#REF!,#REF!,#REF!,#REF!,#REF!,#REF!</definedName>
    <definedName name="__APW_RESTORE_DATA2097__" hidden="1">#REF!,#REF!,#REF!,#REF!,#REF!,#REF!,#REF!,#REF!,#REF!,#REF!,#REF!,#REF!,#REF!,#REF!,#REF!</definedName>
    <definedName name="__APW_RESTORE_DATA2098__" hidden="1">#REF!,#REF!,#REF!,#REF!,#REF!,#REF!,#REF!,#REF!,#REF!,#REF!,#REF!,#REF!,#REF!,#REF!,#REF!</definedName>
    <definedName name="__APW_RESTORE_DATA2099__" hidden="1">#REF!,#REF!,#REF!,#REF!,#REF!,#REF!,#REF!,#REF!,#REF!,#REF!,#REF!,#REF!,#REF!,#REF!,#REF!</definedName>
    <definedName name="__APW_RESTORE_DATA21__" hidden="1">#REF!</definedName>
    <definedName name="__APW_RESTORE_DATA210__" hidden="1">#REF!,#REF!,#REF!,#REF!,#REF!,#REF!,#REF!,#REF!,#REF!,#REF!,#REF!,#REF!,#REF!,#REF!,#REF!</definedName>
    <definedName name="__APW_RESTORE_DATA2100__" hidden="1">#REF!,#REF!,#REF!,#REF!,#REF!,#REF!,#REF!,#REF!,#REF!,#REF!,#REF!,#REF!,#REF!,#REF!,#REF!</definedName>
    <definedName name="__APW_RESTORE_DATA2101__" hidden="1">#REF!,#REF!,#REF!,#REF!,#REF!,#REF!,#REF!,#REF!,#REF!,#REF!,#REF!,#REF!,#REF!,#REF!,#REF!</definedName>
    <definedName name="__APW_RESTORE_DATA2102__" hidden="1">#REF!,#REF!,#REF!,#REF!,#REF!,#REF!,#REF!,#REF!,#REF!,#REF!,#REF!,#REF!,#REF!,#REF!,#REF!</definedName>
    <definedName name="__APW_RESTORE_DATA2103__" hidden="1">#REF!,#REF!,#REF!,#REF!,#REF!,#REF!,#REF!,#REF!,#REF!,#REF!,#REF!,#REF!,#REF!,#REF!,#REF!</definedName>
    <definedName name="__APW_RESTORE_DATA2104__" hidden="1">#REF!,#REF!,#REF!,#REF!,#REF!,#REF!,#REF!,#REF!,#REF!,#REF!,#REF!,#REF!,#REF!,#REF!,#REF!</definedName>
    <definedName name="__APW_RESTORE_DATA2105__" hidden="1">#REF!,#REF!,#REF!,#REF!,#REF!,#REF!,#REF!,#REF!,#REF!,#REF!,#REF!,#REF!,#REF!,#REF!,#REF!</definedName>
    <definedName name="__APW_RESTORE_DATA2106__" hidden="1">#REF!,#REF!,#REF!,#REF!,#REF!,#REF!,#REF!,#REF!,#REF!,#REF!,#REF!,#REF!,#REF!,#REF!,#REF!</definedName>
    <definedName name="__APW_RESTORE_DATA2107__" hidden="1">#REF!,#REF!,#REF!,#REF!,#REF!,#REF!,#REF!,#REF!,#REF!,#REF!,#REF!,#REF!,#REF!,#REF!,#REF!</definedName>
    <definedName name="__APW_RESTORE_DATA2108__" hidden="1">#REF!,#REF!,#REF!,#REF!,#REF!,#REF!,#REF!,#REF!,#REF!,#REF!,#REF!,#REF!,#REF!,#REF!,#REF!</definedName>
    <definedName name="__APW_RESTORE_DATA2109__" hidden="1">#REF!,#REF!,#REF!,#REF!,#REF!,#REF!,#REF!,#REF!,#REF!,#REF!,#REF!,#REF!,#REF!,#REF!,#REF!</definedName>
    <definedName name="__APW_RESTORE_DATA211__" hidden="1">#REF!,#REF!,#REF!,#REF!,#REF!,#REF!,#REF!,#REF!,#REF!,#REF!,#REF!,#REF!,#REF!,#REF!,#REF!</definedName>
    <definedName name="__APW_RESTORE_DATA2110__" hidden="1">#REF!,#REF!,#REF!,#REF!,#REF!,#REF!,#REF!,#REF!,#REF!,#REF!,#REF!,#REF!,#REF!,#REF!,#REF!</definedName>
    <definedName name="__APW_RESTORE_DATA2111__" hidden="1">#REF!,#REF!,#REF!,#REF!,#REF!,#REF!,#REF!,#REF!,#REF!,#REF!,#REF!,#REF!,#REF!,#REF!,#REF!</definedName>
    <definedName name="__APW_RESTORE_DATA2112__" hidden="1">#REF!,#REF!,#REF!,#REF!,#REF!,#REF!,#REF!,#REF!,#REF!,#REF!,#REF!,#REF!,#REF!,#REF!,#REF!</definedName>
    <definedName name="__APW_RESTORE_DATA2113__" hidden="1">#REF!,#REF!,#REF!,#REF!,#REF!,#REF!,#REF!,#REF!,#REF!,#REF!,#REF!,#REF!,#REF!,#REF!,#REF!</definedName>
    <definedName name="__APW_RESTORE_DATA2114__" hidden="1">#REF!,#REF!,#REF!,#REF!,#REF!,#REF!,#REF!,#REF!,#REF!,#REF!,#REF!,#REF!,#REF!,#REF!,#REF!</definedName>
    <definedName name="__APW_RESTORE_DATA2115__" hidden="1">#REF!,#REF!,#REF!,#REF!,#REF!,#REF!,#REF!,#REF!,#REF!,#REF!,#REF!,#REF!,#REF!,#REF!,#REF!</definedName>
    <definedName name="__APW_RESTORE_DATA2116__" hidden="1">#REF!,#REF!,#REF!,#REF!,#REF!,#REF!,#REF!,#REF!,#REF!,#REF!,#REF!,#REF!,#REF!,#REF!,#REF!</definedName>
    <definedName name="__APW_RESTORE_DATA2117__" hidden="1">#REF!,#REF!,#REF!,#REF!,#REF!,#REF!,#REF!,#REF!,#REF!,#REF!,#REF!,#REF!,#REF!,#REF!,#REF!</definedName>
    <definedName name="__APW_RESTORE_DATA2118__" hidden="1">#REF!,#REF!,#REF!,#REF!,#REF!,#REF!,#REF!,#REF!,#REF!,#REF!,#REF!,#REF!,#REF!,#REF!,#REF!</definedName>
    <definedName name="__APW_RESTORE_DATA2119__" hidden="1">#REF!,#REF!,#REF!,#REF!,#REF!,#REF!,#REF!,#REF!,#REF!,#REF!,#REF!,#REF!,#REF!,#REF!,#REF!</definedName>
    <definedName name="__APW_RESTORE_DATA212__" hidden="1">#REF!,#REF!</definedName>
    <definedName name="__APW_RESTORE_DATA2120__" hidden="1">#REF!,#REF!,#REF!,#REF!,#REF!,#REF!,#REF!,#REF!,#REF!,#REF!,#REF!,#REF!,#REF!,#REF!,#REF!</definedName>
    <definedName name="__APW_RESTORE_DATA2121__" hidden="1">#REF!,#REF!,#REF!,#REF!,#REF!,#REF!,#REF!,#REF!,#REF!,#REF!,#REF!,#REF!,#REF!,#REF!,#REF!</definedName>
    <definedName name="__APW_RESTORE_DATA2122__" hidden="1">#REF!,#REF!,#REF!,#REF!,#REF!,#REF!,#REF!,#REF!,#REF!,#REF!,#REF!,#REF!,#REF!,#REF!,#REF!</definedName>
    <definedName name="__APW_RESTORE_DATA2123__" hidden="1">#REF!,#REF!,#REF!,#REF!,#REF!,#REF!,#REF!,#REF!,#REF!,#REF!,#REF!,#REF!,#REF!,#REF!,#REF!</definedName>
    <definedName name="__APW_RESTORE_DATA2124__" hidden="1">#REF!,#REF!,#REF!,#REF!,#REF!,#REF!</definedName>
    <definedName name="__APW_RESTORE_DATA2125__" hidden="1">#REF!,#REF!,#REF!,#REF!,#REF!,#REF!,#REF!,#REF!,#REF!,#REF!,#REF!,#REF!,#REF!,#REF!,#REF!,#REF!</definedName>
    <definedName name="__APW_RESTORE_DATA2126__" hidden="1">#REF!,#REF!,#REF!,#REF!,#REF!,#REF!,#REF!,#REF!,#REF!,#REF!,#REF!,#REF!,#REF!,#REF!,#REF!,#REF!</definedName>
    <definedName name="__APW_RESTORE_DATA2127__" hidden="1">#REF!,#REF!,#REF!,#REF!,#REF!,#REF!,#REF!,#REF!,#REF!,#REF!,#REF!,#REF!,#REF!,#REF!,#REF!,#REF!</definedName>
    <definedName name="__APW_RESTORE_DATA2128__" hidden="1">#REF!,#REF!,#REF!,#REF!,#REF!,#REF!,#REF!,#REF!,#REF!,#REF!,#REF!,#REF!,#REF!,#REF!,#REF!,#REF!</definedName>
    <definedName name="__APW_RESTORE_DATA2129__" hidden="1">#REF!,#REF!,#REF!,#REF!,#REF!,#REF!,#REF!,#REF!,#REF!,#REF!,#REF!,#REF!,#REF!,#REF!,#REF!,#REF!</definedName>
    <definedName name="__APW_RESTORE_DATA213__" hidden="1">#REF!,#REF!,#REF!,#REF!,#REF!,#REF!,#REF!,#REF!,#REF!,#REF!,#REF!,#REF!,#REF!,#REF!,#REF!</definedName>
    <definedName name="__APW_RESTORE_DATA2130__" hidden="1">#REF!,#REF!,#REF!,#REF!,#REF!,#REF!,#REF!,#REF!,#REF!,#REF!,#REF!,#REF!,#REF!,#REF!,#REF!,#REF!</definedName>
    <definedName name="__APW_RESTORE_DATA2131__" hidden="1">#REF!,#REF!,#REF!,#REF!,#REF!,#REF!,#REF!,#REF!,#REF!,#REF!,#REF!,#REF!,#REF!,#REF!,#REF!</definedName>
    <definedName name="__APW_RESTORE_DATA2132__" hidden="1">#REF!,#REF!,#REF!,#REF!,#REF!,#REF!,#REF!,#REF!,#REF!,#REF!,#REF!,#REF!,#REF!,#REF!,#REF!</definedName>
    <definedName name="__APW_RESTORE_DATA2133__" hidden="1">#REF!,#REF!,#REF!,#REF!,#REF!,#REF!,#REF!,#REF!,#REF!,#REF!,#REF!,#REF!,#REF!,#REF!,#REF!</definedName>
    <definedName name="__APW_RESTORE_DATA2134__" hidden="1">#REF!,#REF!,#REF!,#REF!,#REF!,#REF!,#REF!,#REF!,#REF!,#REF!,#REF!,#REF!,#REF!,#REF!,#REF!</definedName>
    <definedName name="__APW_RESTORE_DATA2135__" hidden="1">#REF!,#REF!,#REF!,#REF!,#REF!,#REF!,#REF!,#REF!,#REF!,#REF!,#REF!,#REF!,#REF!,#REF!,#REF!</definedName>
    <definedName name="__APW_RESTORE_DATA2136__" hidden="1">#REF!,#REF!,#REF!,#REF!,#REF!,#REF!,#REF!,#REF!,#REF!,#REF!,#REF!,#REF!,#REF!,#REF!,#REF!</definedName>
    <definedName name="__APW_RESTORE_DATA2137__" hidden="1">#REF!,#REF!,#REF!,#REF!,#REF!,#REF!,#REF!,#REF!,#REF!,#REF!,#REF!,#REF!,#REF!,#REF!,#REF!</definedName>
    <definedName name="__APW_RESTORE_DATA2138__" hidden="1">#REF!,#REF!,#REF!,#REF!,#REF!,#REF!,#REF!,#REF!,#REF!,#REF!,#REF!,#REF!,#REF!,#REF!,#REF!</definedName>
    <definedName name="__APW_RESTORE_DATA2139__" hidden="1">#REF!,#REF!,#REF!,#REF!,#REF!,#REF!,#REF!,#REF!,#REF!,#REF!,#REF!,#REF!,#REF!,#REF!,#REF!</definedName>
    <definedName name="__APW_RESTORE_DATA214__" hidden="1">#REF!,#REF!,#REF!,#REF!,#REF!,#REF!,#REF!,#REF!,#REF!,#REF!,#REF!,#REF!,#REF!,#REF!,#REF!</definedName>
    <definedName name="__APW_RESTORE_DATA2140__" hidden="1">#REF!,#REF!,#REF!,#REF!,#REF!,#REF!,#REF!,#REF!,#REF!,#REF!,#REF!,#REF!,#REF!,#REF!,#REF!</definedName>
    <definedName name="__APW_RESTORE_DATA2141__" hidden="1">#REF!,#REF!,#REF!,#REF!,#REF!,#REF!,#REF!,#REF!,#REF!,#REF!,#REF!,#REF!,#REF!,#REF!,#REF!</definedName>
    <definedName name="__APW_RESTORE_DATA2142__" hidden="1">#REF!,#REF!,#REF!,#REF!,#REF!,#REF!,#REF!,#REF!,#REF!,#REF!,#REF!,#REF!,#REF!,#REF!,#REF!</definedName>
    <definedName name="__APW_RESTORE_DATA2143__" hidden="1">#REF!,#REF!,#REF!,#REF!,#REF!,#REF!,#REF!,#REF!,#REF!,#REF!,#REF!,#REF!,#REF!,#REF!,#REF!</definedName>
    <definedName name="__APW_RESTORE_DATA2144__" hidden="1">#REF!,#REF!,#REF!,#REF!,#REF!,#REF!,#REF!,#REF!,#REF!,#REF!,#REF!,#REF!,#REF!,#REF!,#REF!</definedName>
    <definedName name="__APW_RESTORE_DATA2145__" hidden="1">#REF!,#REF!,#REF!,#REF!,#REF!,#REF!,#REF!,#REF!,#REF!,#REF!,#REF!,#REF!,#REF!,#REF!,#REF!</definedName>
    <definedName name="__APW_RESTORE_DATA2146__" hidden="1">#REF!,#REF!,#REF!,#REF!,#REF!,#REF!,#REF!,#REF!,#REF!,#REF!,#REF!,#REF!,#REF!,#REF!,#REF!</definedName>
    <definedName name="__APW_RESTORE_DATA2147__" hidden="1">#REF!,#REF!,#REF!,#REF!,#REF!,#REF!,#REF!,#REF!,#REF!,#REF!,#REF!,#REF!,#REF!,#REF!,#REF!</definedName>
    <definedName name="__APW_RESTORE_DATA2148__" hidden="1">#REF!,#REF!,#REF!,#REF!,#REF!,#REF!,#REF!,#REF!,#REF!,#REF!,#REF!,#REF!,#REF!,#REF!,#REF!</definedName>
    <definedName name="__APW_RESTORE_DATA2149__" hidden="1">#REF!,#REF!,#REF!,#REF!,#REF!,#REF!,#REF!,#REF!,#REF!,#REF!,#REF!,#REF!,#REF!,#REF!,#REF!</definedName>
    <definedName name="__APW_RESTORE_DATA215__" hidden="1">#REF!,#REF!,#REF!,#REF!,#REF!,#REF!,#REF!,#REF!,#REF!,#REF!,#REF!,#REF!,#REF!,#REF!,#REF!</definedName>
    <definedName name="__APW_RESTORE_DATA2150__" hidden="1">#REF!,#REF!,#REF!,#REF!,#REF!,#REF!,#REF!,#REF!,#REF!,#REF!,#REF!,#REF!,#REF!,#REF!,#REF!</definedName>
    <definedName name="__APW_RESTORE_DATA2151__" hidden="1">#REF!,#REF!,#REF!,#REF!,#REF!,#REF!,#REF!,#REF!,#REF!,#REF!,#REF!,#REF!,#REF!,#REF!,#REF!</definedName>
    <definedName name="__APW_RESTORE_DATA2152__" hidden="1">#REF!,#REF!,#REF!,#REF!,#REF!,#REF!,#REF!,#REF!,#REF!,#REF!,#REF!,#REF!,#REF!,#REF!,#REF!</definedName>
    <definedName name="__APW_RESTORE_DATA2153__" hidden="1">#REF!,#REF!,#REF!,#REF!,#REF!,#REF!,#REF!,#REF!,#REF!,#REF!,#REF!,#REF!,#REF!,#REF!,#REF!</definedName>
    <definedName name="__APW_RESTORE_DATA2154__" hidden="1">#REF!,#REF!,#REF!,#REF!,#REF!,#REF!,#REF!,#REF!,#REF!,#REF!,#REF!,#REF!,#REF!,#REF!,#REF!</definedName>
    <definedName name="__APW_RESTORE_DATA2155__" hidden="1">#REF!,#REF!,#REF!,#REF!,#REF!,#REF!,#REF!,#REF!,#REF!,#REF!,#REF!,#REF!,#REF!,#REF!,#REF!</definedName>
    <definedName name="__APW_RESTORE_DATA2156__" hidden="1">#REF!,#REF!,#REF!,#REF!,#REF!,#REF!,#REF!,#REF!,#REF!,#REF!,#REF!,#REF!,#REF!,#REF!,#REF!</definedName>
    <definedName name="__APW_RESTORE_DATA2157__" hidden="1">#REF!,#REF!,#REF!,#REF!,#REF!,#REF!,#REF!,#REF!,#REF!,#REF!,#REF!,#REF!,#REF!,#REF!,#REF!</definedName>
    <definedName name="__APW_RESTORE_DATA2158__" hidden="1">#REF!,#REF!,#REF!,#REF!,#REF!,#REF!,#REF!,#REF!,#REF!,#REF!,#REF!,#REF!,#REF!,#REF!,#REF!</definedName>
    <definedName name="__APW_RESTORE_DATA2159__" hidden="1">#REF!,#REF!,#REF!,#REF!,#REF!,#REF!</definedName>
    <definedName name="__APW_RESTORE_DATA216__" hidden="1">#REF!,#REF!,#REF!,#REF!,#REF!,#REF!,#REF!,#REF!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4__" hidden="1">#REF!</definedName>
    <definedName name="__APW_RESTORE_DATA2165__" hidden="1">#REF!,#REF!,#REF!,#REF!,#REF!,#REF!,#REF!,#REF!,#REF!,#REF!,#REF!,#REF!,#REF!,#REF!,#REF!,#REF!</definedName>
    <definedName name="__APW_RESTORE_DATA2166__" hidden="1">#REF!,#REF!,#REF!,#REF!,#REF!,#REF!,#REF!,#REF!,#REF!,#REF!,#REF!,#REF!,#REF!,#REF!,#REF!,#REF!</definedName>
    <definedName name="__APW_RESTORE_DATA2167__" hidden="1">#REF!,#REF!,#REF!,#REF!,#REF!,#REF!,#REF!,#REF!,#REF!,#REF!,#REF!,#REF!,#REF!,#REF!,#REF!,#REF!</definedName>
    <definedName name="__APW_RESTORE_DATA2168__" hidden="1">#REF!,#REF!,#REF!,#REF!,#REF!,#REF!,#REF!,#REF!,#REF!,#REF!,#REF!,#REF!,#REF!,#REF!,#REF!,#REF!</definedName>
    <definedName name="__APW_RESTORE_DATA2169__" hidden="1">#REF!,#REF!,#REF!,#REF!,#REF!,#REF!,#REF!,#REF!,#REF!,#REF!,#REF!,#REF!,#REF!,#REF!,#REF!,#REF!</definedName>
    <definedName name="__APW_RESTORE_DATA217__" hidden="1">#REF!,#REF!</definedName>
    <definedName name="__APW_RESTORE_DATA2170__" hidden="1">#REF!,#REF!,#REF!,#REF!,#REF!,#REF!,#REF!,#REF!,#REF!,#REF!,#REF!,#REF!,#REF!,#REF!,#REF!,#REF!</definedName>
    <definedName name="__APW_RESTORE_DATA2171__" hidden="1">#REF!,#REF!,#REF!,#REF!,#REF!,#REF!,#REF!,#REF!,#REF!,#REF!,#REF!,#REF!,#REF!,#REF!,#REF!</definedName>
    <definedName name="__APW_RESTORE_DATA2172__" hidden="1">#REF!,#REF!,#REF!,#REF!,#REF!,#REF!,#REF!,#REF!,#REF!,#REF!,#REF!,#REF!,#REF!,#REF!,#REF!</definedName>
    <definedName name="__APW_RESTORE_DATA2173__" hidden="1">#REF!,#REF!,#REF!,#REF!,#REF!,#REF!,#REF!,#REF!,#REF!,#REF!,#REF!,#REF!,#REF!,#REF!,#REF!</definedName>
    <definedName name="__APW_RESTORE_DATA2174__" hidden="1">#REF!,#REF!,#REF!,#REF!,#REF!,#REF!,#REF!,#REF!,#REF!,#REF!,#REF!,#REF!,#REF!,#REF!,#REF!</definedName>
    <definedName name="__APW_RESTORE_DATA2175__" hidden="1">#REF!,#REF!,#REF!,#REF!,#REF!,#REF!,#REF!,#REF!,#REF!,#REF!,#REF!,#REF!,#REF!,#REF!,#REF!</definedName>
    <definedName name="__APW_RESTORE_DATA2176__" hidden="1">#REF!,#REF!,#REF!,#REF!,#REF!,#REF!,#REF!,#REF!,#REF!,#REF!,#REF!,#REF!,#REF!,#REF!,#REF!</definedName>
    <definedName name="__APW_RESTORE_DATA2177__" hidden="1">#REF!,#REF!,#REF!,#REF!,#REF!,#REF!,#REF!,#REF!,#REF!,#REF!,#REF!,#REF!,#REF!,#REF!,#REF!</definedName>
    <definedName name="__APW_RESTORE_DATA2178__" hidden="1">#REF!,#REF!,#REF!,#REF!,#REF!,#REF!,#REF!,#REF!,#REF!,#REF!,#REF!,#REF!,#REF!,#REF!,#REF!</definedName>
    <definedName name="__APW_RESTORE_DATA2179__" hidden="1">#REF!,#REF!,#REF!,#REF!,#REF!,#REF!,#REF!,#REF!,#REF!,#REF!,#REF!,#REF!,#REF!,#REF!,#REF!</definedName>
    <definedName name="__APW_RESTORE_DATA218__" hidden="1">#REF!,#REF!,#REF!,#REF!,#REF!,#REF!,#REF!,#REF!,#REF!,#REF!,#REF!,#REF!,#REF!,#REF!,#REF!,#REF!</definedName>
    <definedName name="__APW_RESTORE_DATA2180__" hidden="1">#REF!,#REF!,#REF!,#REF!,#REF!,#REF!,#REF!,#REF!,#REF!,#REF!,#REF!,#REF!,#REF!,#REF!,#REF!</definedName>
    <definedName name="__APW_RESTORE_DATA2181__" hidden="1">#REF!,#REF!,#REF!,#REF!,#REF!,#REF!,#REF!,#REF!,#REF!,#REF!,#REF!,#REF!,#REF!,#REF!,#REF!</definedName>
    <definedName name="__APW_RESTORE_DATA2182__" hidden="1">#REF!,#REF!,#REF!,#REF!,#REF!,#REF!,#REF!,#REF!,#REF!,#REF!,#REF!,#REF!,#REF!,#REF!,#REF!</definedName>
    <definedName name="__APW_RESTORE_DATA2183__" hidden="1">#REF!,#REF!,#REF!,#REF!,#REF!,#REF!,#REF!,#REF!,#REF!,#REF!,#REF!,#REF!,#REF!,#REF!,#REF!</definedName>
    <definedName name="__APW_RESTORE_DATA2184__" hidden="1">#REF!,#REF!,#REF!,#REF!,#REF!,#REF!,#REF!,#REF!,#REF!,#REF!,#REF!,#REF!,#REF!,#REF!,#REF!</definedName>
    <definedName name="__APW_RESTORE_DATA2185__" hidden="1">#REF!,#REF!,#REF!,#REF!,#REF!,#REF!,#REF!,#REF!,#REF!,#REF!,#REF!,#REF!,#REF!,#REF!,#REF!</definedName>
    <definedName name="__APW_RESTORE_DATA2186__" hidden="1">#REF!,#REF!,#REF!,#REF!,#REF!,#REF!,#REF!,#REF!,#REF!,#REF!,#REF!,#REF!,#REF!,#REF!,#REF!</definedName>
    <definedName name="__APW_RESTORE_DATA2187__" hidden="1">#REF!,#REF!,#REF!,#REF!,#REF!,#REF!,#REF!,#REF!,#REF!,#REF!,#REF!,#REF!,#REF!,#REF!,#REF!</definedName>
    <definedName name="__APW_RESTORE_DATA2188__" hidden="1">#REF!,#REF!,#REF!,#REF!,#REF!,#REF!,#REF!,#REF!,#REF!,#REF!,#REF!,#REF!,#REF!,#REF!,#REF!</definedName>
    <definedName name="__APW_RESTORE_DATA2189__" hidden="1">#REF!,#REF!,#REF!,#REF!,#REF!,#REF!,#REF!,#REF!,#REF!,#REF!,#REF!,#REF!,#REF!,#REF!,#REF!</definedName>
    <definedName name="__APW_RESTORE_DATA219__" hidden="1">#REF!,#REF!,#REF!,#REF!,#REF!,#REF!,#REF!,#REF!,#REF!,#REF!,#REF!,#REF!,#REF!,#REF!,#REF!,#REF!</definedName>
    <definedName name="__APW_RESTORE_DATA2190__" hidden="1">#REF!,#REF!,#REF!,#REF!,#REF!,#REF!,#REF!,#REF!,#REF!,#REF!,#REF!,#REF!,#REF!,#REF!,#REF!</definedName>
    <definedName name="__APW_RESTORE_DATA2191__" hidden="1">#REF!,#REF!,#REF!,#REF!,#REF!,#REF!,#REF!,#REF!,#REF!,#REF!,#REF!,#REF!,#REF!,#REF!,#REF!</definedName>
    <definedName name="__APW_RESTORE_DATA2192__" hidden="1">#REF!,#REF!,#REF!,#REF!,#REF!,#REF!,#REF!,#REF!,#REF!,#REF!,#REF!,#REF!,#REF!,#REF!,#REF!</definedName>
    <definedName name="__APW_RESTORE_DATA2193__" hidden="1">#REF!,#REF!,#REF!,#REF!,#REF!,#REF!,#REF!,#REF!,#REF!,#REF!,#REF!,#REF!,#REF!,#REF!,#REF!</definedName>
    <definedName name="__APW_RESTORE_DATA2194__" hidden="1">#REF!,#REF!,#REF!,#REF!,#REF!,#REF!,#REF!,#REF!,#REF!,#REF!,#REF!,#REF!,#REF!,#REF!,#REF!</definedName>
    <definedName name="__APW_RESTORE_DATA2195__" hidden="1">#REF!,#REF!,#REF!,#REF!,#REF!,#REF!,#REF!,#REF!,#REF!,#REF!,#REF!,#REF!,#REF!,#REF!,#REF!</definedName>
    <definedName name="__APW_RESTORE_DATA2196__" hidden="1">#REF!,#REF!,#REF!,#REF!,#REF!,#REF!,#REF!,#REF!,#REF!,#REF!,#REF!,#REF!,#REF!,#REF!,#REF!</definedName>
    <definedName name="__APW_RESTORE_DATA2197__" hidden="1">#REF!,#REF!,#REF!,#REF!,#REF!,#REF!,#REF!,#REF!,#REF!,#REF!,#REF!,#REF!,#REF!,#REF!,#REF!</definedName>
    <definedName name="__APW_RESTORE_DATA2198__" hidden="1">#REF!,#REF!,#REF!,#REF!,#REF!,#REF!,#REF!,#REF!,#REF!,#REF!,#REF!,#REF!,#REF!,#REF!,#REF!</definedName>
    <definedName name="__APW_RESTORE_DATA2199__" hidden="1">#REF!,#REF!,#REF!,#REF!,#REF!,#REF!</definedName>
    <definedName name="__APW_RESTORE_DATA22__" hidden="1">#REF!,#REF!,#REF!,#REF!,#REF!,#REF!,#REF!,#REF!,#REF!,#REF!,#REF!,#REF!,#REF!,#REF!,#REF!,#REF!</definedName>
    <definedName name="__APW_RESTORE_DATA220__" hidden="1">#REF!,#REF!,#REF!,#REF!,#REF!,#REF!,#REF!,#REF!,#REF!,#REF!,#REF!,#REF!,#REF!,#REF!,#REF!,#REF!</definedName>
    <definedName name="__APW_RESTORE_DATA2200__" hidden="1">#REF!,#REF!,#REF!,#REF!,#REF!,#REF!,#REF!,#REF!,#REF!,#REF!,#REF!,#REF!,#REF!,#REF!,#REF!,#REF!</definedName>
    <definedName name="__APW_RESTORE_DATA2201__" hidden="1">#REF!,#REF!,#REF!,#REF!,#REF!,#REF!,#REF!,#REF!,#REF!,#REF!,#REF!,#REF!,#REF!,#REF!,#REF!,#REF!</definedName>
    <definedName name="__APW_RESTORE_DATA2202__" hidden="1">#REF!,#REF!,#REF!,#REF!,#REF!,#REF!,#REF!,#REF!,#REF!,#REF!,#REF!,#REF!,#REF!,#REF!,#REF!,#REF!</definedName>
    <definedName name="__APW_RESTORE_DATA2203__" hidden="1">#REF!,#REF!,#REF!,#REF!,#REF!,#REF!,#REF!,#REF!,#REF!,#REF!,#REF!,#REF!,#REF!,#REF!,#REF!,#REF!</definedName>
    <definedName name="__APW_RESTORE_DATA2204__" hidden="1">#REF!,#REF!,#REF!,#REF!,#REF!,#REF!,#REF!,#REF!,#REF!,#REF!,#REF!,#REF!,#REF!,#REF!,#REF!,#REF!</definedName>
    <definedName name="__APW_RESTORE_DATA2205__" hidden="1">#REF!,#REF!,#REF!,#REF!,#REF!,#REF!,#REF!,#REF!,#REF!,#REF!,#REF!,#REF!,#REF!,#REF!,#REF!,#REF!</definedName>
    <definedName name="__APW_RESTORE_DATA2206__" hidden="1">#REF!,#REF!,#REF!,#REF!,#REF!,#REF!,#REF!,#REF!,#REF!,#REF!,#REF!,#REF!,#REF!,#REF!,#REF!</definedName>
    <definedName name="__APW_RESTORE_DATA2207__" hidden="1">#REF!,#REF!,#REF!,#REF!,#REF!,#REF!,#REF!,#REF!,#REF!,#REF!,#REF!,#REF!,#REF!,#REF!,#REF!</definedName>
    <definedName name="__APW_RESTORE_DATA2208__" hidden="1">#REF!,#REF!,#REF!,#REF!,#REF!,#REF!,#REF!,#REF!,#REF!,#REF!,#REF!,#REF!,#REF!,#REF!,#REF!</definedName>
    <definedName name="__APW_RESTORE_DATA2209__" hidden="1">#REF!,#REF!,#REF!,#REF!,#REF!,#REF!,#REF!,#REF!,#REF!,#REF!,#REF!,#REF!,#REF!,#REF!,#REF!</definedName>
    <definedName name="__APW_RESTORE_DATA221__" hidden="1">#REF!,#REF!,#REF!,#REF!,#REF!,#REF!,#REF!,#REF!,#REF!,#REF!,#REF!,#REF!,#REF!,#REF!,#REF!,#REF!</definedName>
    <definedName name="__APW_RESTORE_DATA2210__" hidden="1">#REF!,#REF!,#REF!,#REF!,#REF!,#REF!,#REF!,#REF!,#REF!,#REF!,#REF!,#REF!,#REF!,#REF!,#REF!</definedName>
    <definedName name="__APW_RESTORE_DATA2211__" hidden="1">#REF!,#REF!,#REF!,#REF!,#REF!,#REF!,#REF!,#REF!,#REF!,#REF!,#REF!,#REF!,#REF!,#REF!,#REF!</definedName>
    <definedName name="__APW_RESTORE_DATA2212__" hidden="1">#REF!,#REF!,#REF!,#REF!,#REF!,#REF!,#REF!,#REF!,#REF!,#REF!,#REF!,#REF!,#REF!,#REF!,#REF!</definedName>
    <definedName name="__APW_RESTORE_DATA2213__" hidden="1">#REF!,#REF!,#REF!,#REF!,#REF!,#REF!,#REF!,#REF!,#REF!,#REF!,#REF!,#REF!,#REF!,#REF!,#REF!</definedName>
    <definedName name="__APW_RESTORE_DATA2214__" hidden="1">#REF!,#REF!,#REF!,#REF!,#REF!,#REF!,#REF!,#REF!,#REF!,#REF!,#REF!,#REF!,#REF!,#REF!,#REF!</definedName>
    <definedName name="__APW_RESTORE_DATA2215__" hidden="1">#REF!,#REF!,#REF!,#REF!,#REF!,#REF!,#REF!,#REF!,#REF!,#REF!,#REF!,#REF!,#REF!,#REF!,#REF!</definedName>
    <definedName name="__APW_RESTORE_DATA2216__" hidden="1">#REF!,#REF!,#REF!,#REF!,#REF!,#REF!,#REF!,#REF!,#REF!,#REF!,#REF!,#REF!,#REF!,#REF!,#REF!</definedName>
    <definedName name="__APW_RESTORE_DATA2217__" hidden="1">#REF!,#REF!,#REF!,#REF!,#REF!,#REF!,#REF!,#REF!,#REF!,#REF!,#REF!,#REF!,#REF!,#REF!,#REF!</definedName>
    <definedName name="__APW_RESTORE_DATA2218__" hidden="1">#REF!,#REF!,#REF!,#REF!,#REF!,#REF!,#REF!,#REF!,#REF!,#REF!,#REF!,#REF!,#REF!,#REF!,#REF!</definedName>
    <definedName name="__APW_RESTORE_DATA2219__" hidden="1">#REF!,#REF!,#REF!,#REF!,#REF!,#REF!,#REF!,#REF!,#REF!,#REF!,#REF!,#REF!,#REF!,#REF!,#REF!</definedName>
    <definedName name="__APW_RESTORE_DATA222__" hidden="1">#REF!,#REF!,#REF!,#REF!,#REF!,#REF!,#REF!,#REF!,#REF!,#REF!,#REF!,#REF!,#REF!,#REF!,#REF!,#REF!</definedName>
    <definedName name="__APW_RESTORE_DATA2220__" hidden="1">#REF!,#REF!,#REF!,#REF!,#REF!,#REF!,#REF!,#REF!,#REF!,#REF!,#REF!,#REF!,#REF!,#REF!,#REF!</definedName>
    <definedName name="__APW_RESTORE_DATA2221__" hidden="1">#REF!,#REF!,#REF!,#REF!,#REF!,#REF!,#REF!,#REF!,#REF!,#REF!,#REF!,#REF!,#REF!,#REF!,#REF!</definedName>
    <definedName name="__APW_RESTORE_DATA2222__" hidden="1">#REF!,#REF!,#REF!,#REF!,#REF!,#REF!,#REF!,#REF!,#REF!,#REF!,#REF!,#REF!,#REF!,#REF!,#REF!</definedName>
    <definedName name="__APW_RESTORE_DATA2223__" hidden="1">#REF!,#REF!,#REF!,#REF!,#REF!,#REF!,#REF!,#REF!,#REF!,#REF!,#REF!,#REF!,#REF!,#REF!,#REF!</definedName>
    <definedName name="__APW_RESTORE_DATA2224__" hidden="1">#REF!,#REF!,#REF!,#REF!,#REF!,#REF!,#REF!,#REF!,#REF!,#REF!,#REF!,#REF!,#REF!,#REF!,#REF!</definedName>
    <definedName name="__APW_RESTORE_DATA2225__" hidden="1">#REF!,#REF!,#REF!,#REF!,#REF!,#REF!,#REF!,#REF!,#REF!,#REF!,#REF!,#REF!,#REF!,#REF!,#REF!</definedName>
    <definedName name="__APW_RESTORE_DATA2226__" hidden="1">#REF!,#REF!,#REF!,#REF!,#REF!,#REF!,#REF!,#REF!,#REF!,#REF!,#REF!,#REF!,#REF!,#REF!,#REF!</definedName>
    <definedName name="__APW_RESTORE_DATA2227__" hidden="1">#REF!,#REF!,#REF!,#REF!,#REF!,#REF!,#REF!,#REF!,#REF!,#REF!,#REF!,#REF!,#REF!,#REF!,#REF!</definedName>
    <definedName name="__APW_RESTORE_DATA2228__" hidden="1">#REF!,#REF!,#REF!,#REF!,#REF!,#REF!,#REF!,#REF!,#REF!,#REF!,#REF!,#REF!,#REF!,#REF!,#REF!</definedName>
    <definedName name="__APW_RESTORE_DATA2229__" hidden="1">#REF!,#REF!,#REF!,#REF!,#REF!,#REF!,#REF!,#REF!,#REF!,#REF!,#REF!,#REF!,#REF!,#REF!,#REF!</definedName>
    <definedName name="__APW_RESTORE_DATA223__" hidden="1">#REF!,#REF!,#REF!,#REF!,#REF!,#REF!,#REF!,#REF!,#REF!,#REF!,#REF!,#REF!,#REF!,#REF!,#REF!</definedName>
    <definedName name="__APW_RESTORE_DATA2230__" hidden="1">#REF!,#REF!,#REF!,#REF!,#REF!,#REF!,#REF!,#REF!,#REF!,#REF!,#REF!,#REF!,#REF!,#REF!,#REF!</definedName>
    <definedName name="__APW_RESTORE_DATA2231__" hidden="1">#REF!,#REF!,#REF!,#REF!,#REF!,#REF!,#REF!,#REF!,#REF!,#REF!,#REF!,#REF!,#REF!,#REF!,#REF!</definedName>
    <definedName name="__APW_RESTORE_DATA2232__" hidden="1">#REF!,#REF!,#REF!,#REF!,#REF!,#REF!,#REF!,#REF!,#REF!,#REF!,#REF!,#REF!,#REF!,#REF!,#REF!</definedName>
    <definedName name="__APW_RESTORE_DATA2233__" hidden="1">#REF!,#REF!,#REF!,#REF!,#REF!,#REF!,#REF!,#REF!,#REF!,#REF!,#REF!,#REF!,#REF!,#REF!,#REF!</definedName>
    <definedName name="__APW_RESTORE_DATA2234__" hidden="1">#REF!,#REF!,#REF!,#REF!,#REF!,#REF!</definedName>
    <definedName name="__APW_RESTORE_DATA2235__" hidden="1">#REF!,#REF!,#REF!,#REF!,#REF!,#REF!,#REF!,#REF!,#REF!,#REF!,#REF!,#REF!,#REF!,#REF!,#REF!,#REF!</definedName>
    <definedName name="__APW_RESTORE_DATA2236__" hidden="1">#REF!,#REF!,#REF!,#REF!,#REF!,#REF!,#REF!,#REF!,#REF!,#REF!,#REF!,#REF!,#REF!,#REF!,#REF!,#REF!</definedName>
    <definedName name="__APW_RESTORE_DATA2237__" hidden="1">#REF!,#REF!,#REF!,#REF!,#REF!,#REF!,#REF!,#REF!,#REF!,#REF!,#REF!,#REF!,#REF!,#REF!,#REF!,#REF!</definedName>
    <definedName name="__APW_RESTORE_DATA2238__" hidden="1">#REF!,#REF!,#REF!,#REF!,#REF!,#REF!,#REF!,#REF!,#REF!,#REF!,#REF!,#REF!,#REF!,#REF!,#REF!,#REF!</definedName>
    <definedName name="__APW_RESTORE_DATA2239__" hidden="1">#REF!,#REF!,#REF!,#REF!,#REF!,#REF!,#REF!,#REF!,#REF!,#REF!,#REF!,#REF!,#REF!,#REF!,#REF!,#REF!</definedName>
    <definedName name="__APW_RESTORE_DATA224__" hidden="1">#REF!,#REF!,#REF!,#REF!,#REF!,#REF!,#REF!,#REF!,#REF!,#REF!,#REF!,#REF!,#REF!,#REF!,#REF!</definedName>
    <definedName name="__APW_RESTORE_DATA2240__" hidden="1">#REF!,#REF!,#REF!,#REF!,#REF!,#REF!,#REF!,#REF!,#REF!,#REF!,#REF!,#REF!,#REF!,#REF!,#REF!,#REF!</definedName>
    <definedName name="__APW_RESTORE_DATA2241__" hidden="1">#REF!,#REF!,#REF!,#REF!,#REF!,#REF!,#REF!,#REF!,#REF!,#REF!,#REF!,#REF!,#REF!,#REF!,#REF!</definedName>
    <definedName name="__APW_RESTORE_DATA2242__" hidden="1">#REF!,#REF!,#REF!,#REF!,#REF!,#REF!,#REF!,#REF!,#REF!,#REF!,#REF!,#REF!,#REF!,#REF!,#REF!</definedName>
    <definedName name="__APW_RESTORE_DATA2243__" hidden="1">#REF!,#REF!,#REF!,#REF!,#REF!,#REF!,#REF!,#REF!,#REF!,#REF!,#REF!,#REF!,#REF!,#REF!,#REF!</definedName>
    <definedName name="__APW_RESTORE_DATA2244__" hidden="1">#REF!,#REF!,#REF!,#REF!,#REF!,#REF!,#REF!,#REF!,#REF!,#REF!,#REF!,#REF!,#REF!,#REF!,#REF!</definedName>
    <definedName name="__APW_RESTORE_DATA2245__" hidden="1">#REF!,#REF!,#REF!,#REF!,#REF!,#REF!,#REF!,#REF!,#REF!,#REF!,#REF!,#REF!,#REF!,#REF!,#REF!</definedName>
    <definedName name="__APW_RESTORE_DATA2246__" hidden="1">#REF!,#REF!,#REF!,#REF!,#REF!,#REF!,#REF!,#REF!,#REF!,#REF!,#REF!,#REF!,#REF!,#REF!,#REF!</definedName>
    <definedName name="__APW_RESTORE_DATA2247__" hidden="1">#REF!,#REF!,#REF!,#REF!,#REF!,#REF!,#REF!,#REF!,#REF!,#REF!,#REF!,#REF!,#REF!,#REF!,#REF!</definedName>
    <definedName name="__APW_RESTORE_DATA2248__" hidden="1">#REF!,#REF!,#REF!,#REF!,#REF!,#REF!,#REF!,#REF!,#REF!,#REF!,#REF!,#REF!,#REF!,#REF!,#REF!</definedName>
    <definedName name="__APW_RESTORE_DATA2249__" hidden="1">#REF!,#REF!,#REF!,#REF!,#REF!,#REF!,#REF!,#REF!,#REF!,#REF!,#REF!,#REF!,#REF!,#REF!,#REF!</definedName>
    <definedName name="__APW_RESTORE_DATA225__" hidden="1">#REF!,#REF!,#REF!,#REF!,#REF!,#REF!,#REF!,#REF!,#REF!,#REF!,#REF!,#REF!,#REF!,#REF!,#REF!</definedName>
    <definedName name="__APW_RESTORE_DATA2250__" hidden="1">#REF!,#REF!,#REF!,#REF!,#REF!,#REF!,#REF!,#REF!,#REF!,#REF!,#REF!,#REF!,#REF!,#REF!,#REF!</definedName>
    <definedName name="__APW_RESTORE_DATA2251__" hidden="1">#REF!,#REF!,#REF!,#REF!,#REF!,#REF!,#REF!,#REF!,#REF!,#REF!,#REF!,#REF!,#REF!,#REF!,#REF!</definedName>
    <definedName name="__APW_RESTORE_DATA2252__" hidden="1">#REF!,#REF!,#REF!,#REF!,#REF!,#REF!,#REF!,#REF!,#REF!,#REF!,#REF!,#REF!,#REF!,#REF!,#REF!</definedName>
    <definedName name="__APW_RESTORE_DATA2253__" hidden="1">#REF!,#REF!,#REF!,#REF!,#REF!,#REF!,#REF!,#REF!,#REF!,#REF!,#REF!,#REF!,#REF!,#REF!,#REF!</definedName>
    <definedName name="__APW_RESTORE_DATA2254__" hidden="1">#REF!,#REF!,#REF!,#REF!,#REF!,#REF!,#REF!,#REF!,#REF!,#REF!,#REF!,#REF!,#REF!,#REF!,#REF!</definedName>
    <definedName name="__APW_RESTORE_DATA2255__" hidden="1">#REF!,#REF!,#REF!,#REF!,#REF!,#REF!,#REF!,#REF!,#REF!,#REF!,#REF!,#REF!,#REF!,#REF!,#REF!</definedName>
    <definedName name="__APW_RESTORE_DATA2256__" hidden="1">#REF!,#REF!,#REF!,#REF!,#REF!,#REF!,#REF!,#REF!,#REF!,#REF!,#REF!,#REF!,#REF!,#REF!,#REF!</definedName>
    <definedName name="__APW_RESTORE_DATA2257__" hidden="1">#REF!,#REF!,#REF!,#REF!,#REF!,#REF!,#REF!,#REF!,#REF!,#REF!,#REF!,#REF!,#REF!,#REF!,#REF!</definedName>
    <definedName name="__APW_RESTORE_DATA2258__" hidden="1">#REF!,#REF!,#REF!,#REF!,#REF!,#REF!,#REF!,#REF!,#REF!,#REF!,#REF!,#REF!,#REF!,#REF!,#REF!</definedName>
    <definedName name="__APW_RESTORE_DATA2259__" hidden="1">#REF!,#REF!,#REF!,#REF!,#REF!,#REF!,#REF!,#REF!,#REF!,#REF!,#REF!,#REF!,#REF!,#REF!,#REF!</definedName>
    <definedName name="__APW_RESTORE_DATA226__" hidden="1">#REF!,#REF!,#REF!,#REF!,#REF!,#REF!,#REF!,#REF!,#REF!,#REF!,#REF!,#REF!,#REF!,#REF!,#REF!</definedName>
    <definedName name="__APW_RESTORE_DATA2260__" hidden="1">#REF!,#REF!,#REF!,#REF!,#REF!,#REF!,#REF!,#REF!,#REF!,#REF!,#REF!,#REF!,#REF!,#REF!,#REF!</definedName>
    <definedName name="__APW_RESTORE_DATA2261__" hidden="1">#REF!,#REF!,#REF!,#REF!,#REF!,#REF!,#REF!,#REF!,#REF!,#REF!,#REF!,#REF!,#REF!,#REF!,#REF!</definedName>
    <definedName name="__APW_RESTORE_DATA2262__" hidden="1">#REF!,#REF!,#REF!,#REF!,#REF!,#REF!,#REF!,#REF!,#REF!,#REF!,#REF!,#REF!,#REF!,#REF!,#REF!</definedName>
    <definedName name="__APW_RESTORE_DATA2263__" hidden="1">#REF!,#REF!,#REF!,#REF!,#REF!,#REF!,#REF!,#REF!,#REF!,#REF!,#REF!,#REF!,#REF!,#REF!,#REF!</definedName>
    <definedName name="__APW_RESTORE_DATA2264__" hidden="1">#REF!,#REF!,#REF!,#REF!,#REF!,#REF!,#REF!,#REF!,#REF!,#REF!,#REF!,#REF!,#REF!,#REF!,#REF!</definedName>
    <definedName name="__APW_RESTORE_DATA2265__" hidden="1">#REF!,#REF!,#REF!,#REF!,#REF!,#REF!,#REF!,#REF!,#REF!,#REF!,#REF!,#REF!,#REF!,#REF!,#REF!</definedName>
    <definedName name="__APW_RESTORE_DATA2266__" hidden="1">#REF!,#REF!,#REF!,#REF!,#REF!,#REF!,#REF!,#REF!,#REF!,#REF!,#REF!,#REF!,#REF!,#REF!,#REF!</definedName>
    <definedName name="__APW_RESTORE_DATA2267__" hidden="1">#REF!,#REF!,#REF!,#REF!,#REF!,#REF!,#REF!,#REF!,#REF!,#REF!,#REF!,#REF!,#REF!,#REF!,#REF!</definedName>
    <definedName name="__APW_RESTORE_DATA2268__" hidden="1">#REF!,#REF!,#REF!,#REF!,#REF!,#REF!,#REF!,#REF!,#REF!,#REF!,#REF!,#REF!,#REF!,#REF!,#REF!</definedName>
    <definedName name="__APW_RESTORE_DATA2269__" hidden="1">#REF!,#REF!,#REF!,#REF!,#REF!,#REF!</definedName>
    <definedName name="__APW_RESTORE_DATA227__" hidden="1">#REF!,#REF!,#REF!,#REF!,#REF!,#REF!,#REF!,#REF!,#REF!,#REF!,#REF!,#REF!,#REF!,#REF!,#REF!</definedName>
    <definedName name="__APW_RESTORE_DATA2270__" hidden="1">#REF!,#REF!,#REF!,#REF!,#REF!,#REF!,#REF!,#REF!,#REF!,#REF!,#REF!,#REF!,#REF!,#REF!,#REF!,#REF!</definedName>
    <definedName name="__APW_RESTORE_DATA2271__" hidden="1">#REF!,#REF!,#REF!,#REF!,#REF!,#REF!,#REF!,#REF!,#REF!,#REF!,#REF!,#REF!,#REF!,#REF!,#REF!,#REF!</definedName>
    <definedName name="__APW_RESTORE_DATA2272__" hidden="1">#REF!,#REF!,#REF!,#REF!,#REF!,#REF!,#REF!,#REF!,#REF!,#REF!,#REF!,#REF!,#REF!,#REF!,#REF!,#REF!</definedName>
    <definedName name="__APW_RESTORE_DATA2273__" hidden="1">#REF!,#REF!,#REF!,#REF!,#REF!,#REF!,#REF!,#REF!,#REF!,#REF!,#REF!,#REF!,#REF!,#REF!,#REF!,#REF!</definedName>
    <definedName name="__APW_RESTORE_DATA2274__" hidden="1">#REF!,#REF!,#REF!,#REF!,#REF!,#REF!,#REF!,#REF!,#REF!,#REF!,#REF!,#REF!,#REF!,#REF!,#REF!,#REF!</definedName>
    <definedName name="__APW_RESTORE_DATA2275__" hidden="1">#REF!,#REF!,#REF!,#REF!,#REF!,#REF!,#REF!,#REF!,#REF!,#REF!,#REF!,#REF!,#REF!,#REF!,#REF!,#REF!</definedName>
    <definedName name="__APW_RESTORE_DATA2276__" hidden="1">#REF!,#REF!,#REF!,#REF!,#REF!,#REF!,#REF!,#REF!,#REF!,#REF!,#REF!,#REF!,#REF!,#REF!,#REF!</definedName>
    <definedName name="__APW_RESTORE_DATA2277__" hidden="1">#REF!,#REF!,#REF!,#REF!,#REF!,#REF!,#REF!,#REF!,#REF!,#REF!,#REF!,#REF!,#REF!,#REF!,#REF!</definedName>
    <definedName name="__APW_RESTORE_DATA2278__" hidden="1">#REF!,#REF!,#REF!,#REF!,#REF!,#REF!,#REF!,#REF!,#REF!,#REF!,#REF!,#REF!,#REF!,#REF!,#REF!</definedName>
    <definedName name="__APW_RESTORE_DATA2279__" hidden="1">#REF!,#REF!,#REF!,#REF!,#REF!,#REF!,#REF!,#REF!,#REF!,#REF!,#REF!,#REF!,#REF!,#REF!,#REF!</definedName>
    <definedName name="__APW_RESTORE_DATA228__" hidden="1">#REF!,#REF!,#REF!,#REF!,#REF!,#REF!,#REF!,#REF!,#REF!,#REF!,#REF!,#REF!,#REF!,#REF!,#REF!</definedName>
    <definedName name="__APW_RESTORE_DATA2280__" hidden="1">#REF!,#REF!,#REF!,#REF!,#REF!,#REF!,#REF!,#REF!,#REF!,#REF!,#REF!,#REF!,#REF!,#REF!,#REF!</definedName>
    <definedName name="__APW_RESTORE_DATA2281__" hidden="1">#REF!,#REF!,#REF!,#REF!,#REF!,#REF!,#REF!,#REF!,#REF!,#REF!,#REF!,#REF!,#REF!,#REF!,#REF!</definedName>
    <definedName name="__APW_RESTORE_DATA2282__" hidden="1">#REF!,#REF!,#REF!,#REF!,#REF!,#REF!,#REF!,#REF!,#REF!,#REF!,#REF!,#REF!,#REF!,#REF!,#REF!</definedName>
    <definedName name="__APW_RESTORE_DATA2283__" hidden="1">#REF!,#REF!,#REF!,#REF!,#REF!,#REF!,#REF!,#REF!,#REF!,#REF!,#REF!,#REF!,#REF!,#REF!,#REF!</definedName>
    <definedName name="__APW_RESTORE_DATA2284__" hidden="1">#REF!,#REF!,#REF!,#REF!,#REF!,#REF!,#REF!,#REF!,#REF!,#REF!,#REF!,#REF!,#REF!,#REF!,#REF!</definedName>
    <definedName name="__APW_RESTORE_DATA2285__" hidden="1">#REF!,#REF!,#REF!,#REF!,#REF!,#REF!,#REF!,#REF!,#REF!,#REF!,#REF!,#REF!,#REF!,#REF!,#REF!</definedName>
    <definedName name="__APW_RESTORE_DATA2286__" hidden="1">#REF!,#REF!,#REF!,#REF!,#REF!,#REF!,#REF!,#REF!,#REF!,#REF!,#REF!,#REF!,#REF!,#REF!,#REF!</definedName>
    <definedName name="__APW_RESTORE_DATA2287__" hidden="1">#REF!,#REF!,#REF!,#REF!,#REF!,#REF!,#REF!,#REF!,#REF!,#REF!,#REF!,#REF!,#REF!,#REF!,#REF!</definedName>
    <definedName name="__APW_RESTORE_DATA2288__" hidden="1">#REF!,#REF!,#REF!,#REF!,#REF!,#REF!,#REF!,#REF!,#REF!,#REF!,#REF!,#REF!,#REF!,#REF!,#REF!</definedName>
    <definedName name="__APW_RESTORE_DATA2289__" hidden="1">#REF!,#REF!,#REF!,#REF!,#REF!,#REF!,#REF!,#REF!,#REF!,#REF!,#REF!,#REF!,#REF!,#REF!,#REF!</definedName>
    <definedName name="__APW_RESTORE_DATA229__" hidden="1">#REF!,#REF!,#REF!,#REF!,#REF!,#REF!,#REF!,#REF!,#REF!,#REF!,#REF!,#REF!,#REF!,#REF!,#REF!</definedName>
    <definedName name="__APW_RESTORE_DATA2290__" hidden="1">#REF!,#REF!,#REF!,#REF!,#REF!,#REF!,#REF!,#REF!,#REF!,#REF!,#REF!,#REF!,#REF!,#REF!,#REF!</definedName>
    <definedName name="__APW_RESTORE_DATA2291__" hidden="1">#REF!,#REF!,#REF!,#REF!,#REF!,#REF!,#REF!,#REF!,#REF!,#REF!,#REF!,#REF!,#REF!,#REF!,#REF!</definedName>
    <definedName name="__APW_RESTORE_DATA2292__" hidden="1">#REF!,#REF!,#REF!,#REF!,#REF!,#REF!,#REF!,#REF!,#REF!,#REF!,#REF!,#REF!,#REF!,#REF!,#REF!</definedName>
    <definedName name="__APW_RESTORE_DATA2293__" hidden="1">#REF!,#REF!,#REF!,#REF!,#REF!,#REF!,#REF!,#REF!,#REF!,#REF!,#REF!,#REF!,#REF!,#REF!,#REF!</definedName>
    <definedName name="__APW_RESTORE_DATA2294__" hidden="1">#REF!,#REF!,#REF!,#REF!,#REF!,#REF!,#REF!,#REF!,#REF!,#REF!,#REF!,#REF!,#REF!,#REF!,#REF!</definedName>
    <definedName name="__APW_RESTORE_DATA2295__" hidden="1">#REF!,#REF!,#REF!,#REF!,#REF!,#REF!,#REF!,#REF!,#REF!,#REF!,#REF!,#REF!,#REF!,#REF!,#REF!</definedName>
    <definedName name="__APW_RESTORE_DATA2296__" hidden="1">#REF!,#REF!,#REF!,#REF!,#REF!,#REF!,#REF!,#REF!,#REF!,#REF!,#REF!,#REF!,#REF!,#REF!,#REF!</definedName>
    <definedName name="__APW_RESTORE_DATA2297__" hidden="1">#REF!,#REF!,#REF!,#REF!,#REF!,#REF!,#REF!,#REF!,#REF!,#REF!,#REF!,#REF!,#REF!,#REF!,#REF!</definedName>
    <definedName name="__APW_RESTORE_DATA2298__" hidden="1">#REF!,#REF!,#REF!,#REF!,#REF!,#REF!,#REF!,#REF!,#REF!,#REF!,#REF!,#REF!,#REF!,#REF!,#REF!</definedName>
    <definedName name="__APW_RESTORE_DATA2299__" hidden="1">#REF!,#REF!,#REF!,#REF!,#REF!,#REF!,#REF!,#REF!,#REF!,#REF!,#REF!,#REF!,#REF!,#REF!,#REF!</definedName>
    <definedName name="__APW_RESTORE_DATA23__" hidden="1">#REF!,#REF!,#REF!,#REF!,#REF!,#REF!,#REF!,#REF!,#REF!,#REF!,#REF!,#REF!,#REF!,#REF!,#REF!</definedName>
    <definedName name="__APW_RESTORE_DATA230__" hidden="1">#REF!,#REF!,#REF!,#REF!,#REF!,#REF!,#REF!,#REF!,#REF!,#REF!,#REF!,#REF!,#REF!,#REF!,#REF!</definedName>
    <definedName name="__APW_RESTORE_DATA2300__" hidden="1">#REF!,#REF!,#REF!,#REF!,#REF!,#REF!,#REF!,#REF!,#REF!,#REF!,#REF!,#REF!,#REF!,#REF!,#REF!</definedName>
    <definedName name="__APW_RESTORE_DATA2301__" hidden="1">#REF!,#REF!,#REF!,#REF!,#REF!,#REF!,#REF!,#REF!,#REF!,#REF!,#REF!,#REF!,#REF!,#REF!,#REF!</definedName>
    <definedName name="__APW_RESTORE_DATA2302__" hidden="1">#REF!,#REF!,#REF!,#REF!,#REF!,#REF!,#REF!,#REF!,#REF!,#REF!,#REF!,#REF!,#REF!,#REF!,#REF!</definedName>
    <definedName name="__APW_RESTORE_DATA2303__" hidden="1">#REF!,#REF!,#REF!,#REF!,#REF!,#REF!,#REF!,#REF!,#REF!,#REF!,#REF!,#REF!,#REF!,#REF!,#REF!</definedName>
    <definedName name="__APW_RESTORE_DATA2304__" hidden="1">#REF!,#REF!,#REF!,#REF!,#REF!,#REF!</definedName>
    <definedName name="__APW_RESTORE_DATA2305__" hidden="1">#REF!</definedName>
    <definedName name="__APW_RESTORE_DATA2306__" hidden="1">#REF!</definedName>
    <definedName name="__APW_RESTORE_DATA2307__" hidden="1">#REF!</definedName>
    <definedName name="__APW_RESTORE_DATA2309__" hidden="1">#REF!</definedName>
    <definedName name="__APW_RESTORE_DATA231__" hidden="1">#REF!,#REF!,#REF!,#REF!,#REF!,#REF!,#REF!,#REF!,#REF!,#REF!,#REF!,#REF!,#REF!,#REF!,#REF!</definedName>
    <definedName name="__APW_RESTORE_DATA2310__" hidden="1">#REF!,#REF!,#REF!,#REF!,#REF!,#REF!,#REF!,#REF!,#REF!,#REF!,#REF!,#REF!,#REF!,#REF!,#REF!,#REF!</definedName>
    <definedName name="__APW_RESTORE_DATA2311__" hidden="1">#REF!,#REF!,#REF!,#REF!,#REF!,#REF!,#REF!,#REF!,#REF!,#REF!,#REF!,#REF!,#REF!,#REF!,#REF!,#REF!</definedName>
    <definedName name="__APW_RESTORE_DATA2312__" hidden="1">#REF!,#REF!,#REF!,#REF!,#REF!,#REF!,#REF!,#REF!,#REF!,#REF!,#REF!,#REF!,#REF!,#REF!,#REF!,#REF!</definedName>
    <definedName name="__APW_RESTORE_DATA2313__" hidden="1">#REF!,#REF!,#REF!,#REF!,#REF!,#REF!,#REF!,#REF!,#REF!,#REF!,#REF!,#REF!,#REF!,#REF!,#REF!,#REF!</definedName>
    <definedName name="__APW_RESTORE_DATA2314__" hidden="1">#REF!,#REF!,#REF!,#REF!,#REF!,#REF!,#REF!,#REF!,#REF!,#REF!,#REF!,#REF!,#REF!,#REF!,#REF!,#REF!</definedName>
    <definedName name="__APW_RESTORE_DATA2315__" hidden="1">#REF!,#REF!,#REF!,#REF!,#REF!,#REF!,#REF!,#REF!,#REF!,#REF!,#REF!,#REF!,#REF!,#REF!,#REF!,#REF!</definedName>
    <definedName name="__APW_RESTORE_DATA2316__" hidden="1">#REF!,#REF!,#REF!,#REF!,#REF!,#REF!,#REF!,#REF!,#REF!,#REF!,#REF!,#REF!,#REF!,#REF!,#REF!</definedName>
    <definedName name="__APW_RESTORE_DATA2317__" hidden="1">#REF!,#REF!,#REF!,#REF!,#REF!,#REF!,#REF!,#REF!,#REF!,#REF!,#REF!,#REF!,#REF!,#REF!,#REF!</definedName>
    <definedName name="__APW_RESTORE_DATA2318__" hidden="1">#REF!,#REF!,#REF!,#REF!,#REF!,#REF!,#REF!,#REF!,#REF!,#REF!,#REF!,#REF!,#REF!,#REF!,#REF!</definedName>
    <definedName name="__APW_RESTORE_DATA2319__" hidden="1">#REF!,#REF!,#REF!,#REF!,#REF!,#REF!,#REF!,#REF!,#REF!,#REF!,#REF!,#REF!,#REF!,#REF!,#REF!</definedName>
    <definedName name="__APW_RESTORE_DATA232__" hidden="1">#REF!,#REF!</definedName>
    <definedName name="__APW_RESTORE_DATA2320__" hidden="1">#REF!,#REF!,#REF!,#REF!,#REF!,#REF!,#REF!,#REF!,#REF!,#REF!,#REF!,#REF!,#REF!,#REF!,#REF!</definedName>
    <definedName name="__APW_RESTORE_DATA2321__" hidden="1">#REF!,#REF!,#REF!,#REF!,#REF!,#REF!,#REF!,#REF!,#REF!,#REF!,#REF!,#REF!,#REF!,#REF!,#REF!</definedName>
    <definedName name="__APW_RESTORE_DATA2322__" hidden="1">#REF!,#REF!,#REF!,#REF!,#REF!,#REF!,#REF!,#REF!,#REF!,#REF!,#REF!,#REF!,#REF!,#REF!,#REF!</definedName>
    <definedName name="__APW_RESTORE_DATA2323__" hidden="1">#REF!,#REF!,#REF!,#REF!,#REF!,#REF!,#REF!,#REF!,#REF!,#REF!,#REF!,#REF!,#REF!,#REF!,#REF!</definedName>
    <definedName name="__APW_RESTORE_DATA2324__" hidden="1">#REF!,#REF!,#REF!,#REF!,#REF!,#REF!,#REF!,#REF!,#REF!,#REF!,#REF!,#REF!,#REF!,#REF!,#REF!</definedName>
    <definedName name="__APW_RESTORE_DATA2325__" hidden="1">#REF!,#REF!,#REF!,#REF!,#REF!,#REF!,#REF!,#REF!,#REF!,#REF!,#REF!,#REF!,#REF!,#REF!,#REF!</definedName>
    <definedName name="__APW_RESTORE_DATA2326__" hidden="1">#REF!,#REF!,#REF!,#REF!,#REF!,#REF!,#REF!,#REF!,#REF!,#REF!,#REF!,#REF!,#REF!,#REF!,#REF!</definedName>
    <definedName name="__APW_RESTORE_DATA2327__" hidden="1">#REF!,#REF!,#REF!,#REF!,#REF!,#REF!,#REF!,#REF!,#REF!,#REF!,#REF!,#REF!,#REF!,#REF!,#REF!</definedName>
    <definedName name="__APW_RESTORE_DATA2328__" hidden="1">#REF!,#REF!,#REF!,#REF!,#REF!,#REF!,#REF!,#REF!,#REF!,#REF!,#REF!,#REF!,#REF!,#REF!,#REF!</definedName>
    <definedName name="__APW_RESTORE_DATA2329__" hidden="1">#REF!,#REF!,#REF!,#REF!,#REF!,#REF!,#REF!,#REF!,#REF!,#REF!,#REF!,#REF!,#REF!,#REF!,#REF!</definedName>
    <definedName name="__APW_RESTORE_DATA233__" hidden="1">#REF!,#REF!</definedName>
    <definedName name="__APW_RESTORE_DATA2330__" hidden="1">#REF!,#REF!,#REF!,#REF!,#REF!,#REF!,#REF!,#REF!,#REF!,#REF!,#REF!,#REF!,#REF!,#REF!,#REF!</definedName>
    <definedName name="__APW_RESTORE_DATA2331__" hidden="1">#REF!,#REF!,#REF!,#REF!,#REF!,#REF!,#REF!,#REF!,#REF!,#REF!,#REF!,#REF!,#REF!,#REF!,#REF!</definedName>
    <definedName name="__APW_RESTORE_DATA2332__" hidden="1">#REF!,#REF!,#REF!,#REF!,#REF!,#REF!,#REF!,#REF!,#REF!,#REF!,#REF!,#REF!,#REF!,#REF!,#REF!</definedName>
    <definedName name="__APW_RESTORE_DATA2333__" hidden="1">#REF!,#REF!,#REF!,#REF!,#REF!,#REF!,#REF!,#REF!,#REF!,#REF!,#REF!,#REF!,#REF!,#REF!,#REF!</definedName>
    <definedName name="__APW_RESTORE_DATA2334__" hidden="1">#REF!,#REF!,#REF!,#REF!,#REF!,#REF!,#REF!,#REF!,#REF!,#REF!,#REF!,#REF!,#REF!,#REF!,#REF!</definedName>
    <definedName name="__APW_RESTORE_DATA2335__" hidden="1">#REF!,#REF!,#REF!,#REF!,#REF!,#REF!,#REF!,#REF!,#REF!,#REF!,#REF!,#REF!,#REF!,#REF!,#REF!</definedName>
    <definedName name="__APW_RESTORE_DATA2336__" hidden="1">#REF!,#REF!,#REF!,#REF!,#REF!,#REF!,#REF!,#REF!,#REF!,#REF!,#REF!,#REF!,#REF!,#REF!,#REF!</definedName>
    <definedName name="__APW_RESTORE_DATA2337__" hidden="1">#REF!,#REF!,#REF!,#REF!,#REF!,#REF!,#REF!,#REF!,#REF!,#REF!,#REF!,#REF!,#REF!,#REF!,#REF!</definedName>
    <definedName name="__APW_RESTORE_DATA2338__" hidden="1">#REF!,#REF!,#REF!,#REF!,#REF!,#REF!,#REF!,#REF!,#REF!,#REF!,#REF!,#REF!,#REF!,#REF!,#REF!</definedName>
    <definedName name="__APW_RESTORE_DATA2339__" hidden="1">#REF!,#REF!,#REF!,#REF!,#REF!,#REF!,#REF!,#REF!,#REF!,#REF!,#REF!,#REF!,#REF!,#REF!,#REF!</definedName>
    <definedName name="__APW_RESTORE_DATA234__" hidden="1">#REF!,#REF!,#REF!,#REF!,#REF!,#REF!,#REF!,#REF!,#REF!,#REF!,#REF!,#REF!,#REF!,#REF!,#REF!</definedName>
    <definedName name="__APW_RESTORE_DATA2340__" hidden="1">#REF!,#REF!,#REF!,#REF!,#REF!,#REF!,#REF!,#REF!,#REF!,#REF!,#REF!,#REF!,#REF!,#REF!,#REF!</definedName>
    <definedName name="__APW_RESTORE_DATA2341__" hidden="1">#REF!,#REF!,#REF!,#REF!,#REF!,#REF!,#REF!,#REF!,#REF!,#REF!,#REF!,#REF!,#REF!,#REF!,#REF!</definedName>
    <definedName name="__APW_RESTORE_DATA2342__" hidden="1">#REF!,#REF!,#REF!,#REF!,#REF!,#REF!,#REF!,#REF!,#REF!,#REF!,#REF!,#REF!,#REF!,#REF!,#REF!</definedName>
    <definedName name="__APW_RESTORE_DATA2343__" hidden="1">#REF!,#REF!,#REF!,#REF!,#REF!,#REF!,#REF!,#REF!,#REF!,#REF!,#REF!,#REF!,#REF!,#REF!,#REF!</definedName>
    <definedName name="__APW_RESTORE_DATA2344__" hidden="1">#REF!,#REF!,#REF!,#REF!,#REF!,#REF!</definedName>
    <definedName name="__APW_RESTORE_DATA2345__" hidden="1">#REF!,#REF!,#REF!,#REF!,#REF!,#REF!,#REF!,#REF!,#REF!,#REF!,#REF!,#REF!,#REF!,#REF!,#REF!,#REF!</definedName>
    <definedName name="__APW_RESTORE_DATA2346__" hidden="1">#REF!,#REF!,#REF!,#REF!,#REF!,#REF!,#REF!,#REF!,#REF!,#REF!,#REF!,#REF!,#REF!,#REF!,#REF!,#REF!</definedName>
    <definedName name="__APW_RESTORE_DATA2347__" hidden="1">#REF!,#REF!,#REF!,#REF!,#REF!,#REF!,#REF!,#REF!,#REF!,#REF!,#REF!,#REF!,#REF!,#REF!,#REF!,#REF!</definedName>
    <definedName name="__APW_RESTORE_DATA2348__" hidden="1">#REF!,#REF!,#REF!,#REF!,#REF!,#REF!,#REF!,#REF!,#REF!,#REF!,#REF!,#REF!,#REF!,#REF!,#REF!,#REF!</definedName>
    <definedName name="__APW_RESTORE_DATA2349__" hidden="1">#REF!,#REF!,#REF!,#REF!,#REF!,#REF!,#REF!,#REF!,#REF!,#REF!,#REF!,#REF!,#REF!,#REF!,#REF!,#REF!</definedName>
    <definedName name="__APW_RESTORE_DATA235__" hidden="1">#REF!,#REF!,#REF!,#REF!,#REF!,#REF!,#REF!,#REF!,#REF!,#REF!,#REF!,#REF!,#REF!,#REF!,#REF!</definedName>
    <definedName name="__APW_RESTORE_DATA2350__" hidden="1">#REF!,#REF!,#REF!,#REF!,#REF!,#REF!,#REF!,#REF!,#REF!,#REF!,#REF!,#REF!,#REF!,#REF!,#REF!,#REF!</definedName>
    <definedName name="__APW_RESTORE_DATA2351__" hidden="1">#REF!,#REF!,#REF!,#REF!,#REF!,#REF!,#REF!,#REF!,#REF!,#REF!,#REF!,#REF!,#REF!,#REF!,#REF!</definedName>
    <definedName name="__APW_RESTORE_DATA2352__" hidden="1">#REF!,#REF!,#REF!,#REF!,#REF!,#REF!,#REF!,#REF!,#REF!,#REF!,#REF!,#REF!,#REF!,#REF!,#REF!</definedName>
    <definedName name="__APW_RESTORE_DATA2353__" hidden="1">#REF!,#REF!,#REF!,#REF!,#REF!,#REF!,#REF!,#REF!,#REF!,#REF!,#REF!,#REF!,#REF!,#REF!,#REF!</definedName>
    <definedName name="__APW_RESTORE_DATA2354__" hidden="1">#REF!,#REF!,#REF!,#REF!,#REF!,#REF!,#REF!,#REF!,#REF!,#REF!,#REF!,#REF!,#REF!,#REF!,#REF!</definedName>
    <definedName name="__APW_RESTORE_DATA2355__" hidden="1">#REF!,#REF!,#REF!,#REF!,#REF!,#REF!,#REF!,#REF!,#REF!,#REF!,#REF!,#REF!,#REF!,#REF!,#REF!</definedName>
    <definedName name="__APW_RESTORE_DATA2356__" hidden="1">#REF!,#REF!,#REF!,#REF!,#REF!,#REF!,#REF!,#REF!,#REF!,#REF!,#REF!,#REF!,#REF!,#REF!,#REF!</definedName>
    <definedName name="__APW_RESTORE_DATA2357__" hidden="1">#REF!,#REF!,#REF!,#REF!,#REF!,#REF!,#REF!,#REF!,#REF!,#REF!,#REF!,#REF!,#REF!,#REF!,#REF!</definedName>
    <definedName name="__APW_RESTORE_DATA2358__" hidden="1">#REF!,#REF!,#REF!,#REF!,#REF!,#REF!,#REF!,#REF!,#REF!,#REF!,#REF!,#REF!,#REF!,#REF!,#REF!</definedName>
    <definedName name="__APW_RESTORE_DATA2359__" hidden="1">#REF!,#REF!,#REF!,#REF!,#REF!,#REF!,#REF!,#REF!,#REF!,#REF!,#REF!,#REF!,#REF!,#REF!,#REF!</definedName>
    <definedName name="__APW_RESTORE_DATA236__" hidden="1">#REF!,#REF!,#REF!,#REF!,#REF!,#REF!,#REF!,#REF!,#REF!,#REF!,#REF!,#REF!,#REF!,#REF!,#REF!</definedName>
    <definedName name="__APW_RESTORE_DATA2360__" hidden="1">#REF!,#REF!,#REF!,#REF!,#REF!,#REF!,#REF!,#REF!,#REF!,#REF!,#REF!,#REF!,#REF!,#REF!,#REF!</definedName>
    <definedName name="__APW_RESTORE_DATA2361__" hidden="1">#REF!,#REF!,#REF!,#REF!,#REF!,#REF!,#REF!,#REF!,#REF!,#REF!,#REF!,#REF!,#REF!,#REF!,#REF!</definedName>
    <definedName name="__APW_RESTORE_DATA2362__" hidden="1">#REF!,#REF!,#REF!,#REF!,#REF!,#REF!,#REF!,#REF!,#REF!,#REF!,#REF!,#REF!,#REF!,#REF!,#REF!</definedName>
    <definedName name="__APW_RESTORE_DATA2363__" hidden="1">#REF!,#REF!,#REF!,#REF!,#REF!,#REF!,#REF!,#REF!,#REF!,#REF!,#REF!,#REF!,#REF!,#REF!,#REF!</definedName>
    <definedName name="__APW_RESTORE_DATA2364__" hidden="1">#REF!,#REF!,#REF!,#REF!,#REF!,#REF!,#REF!,#REF!,#REF!,#REF!,#REF!,#REF!,#REF!,#REF!,#REF!</definedName>
    <definedName name="__APW_RESTORE_DATA2365__" hidden="1">#REF!,#REF!,#REF!,#REF!,#REF!,#REF!,#REF!,#REF!,#REF!,#REF!,#REF!,#REF!,#REF!,#REF!,#REF!</definedName>
    <definedName name="__APW_RESTORE_DATA2366__" hidden="1">#REF!,#REF!,#REF!,#REF!,#REF!,#REF!,#REF!,#REF!,#REF!,#REF!,#REF!,#REF!,#REF!,#REF!,#REF!</definedName>
    <definedName name="__APW_RESTORE_DATA2367__" hidden="1">#REF!,#REF!,#REF!,#REF!,#REF!,#REF!,#REF!,#REF!,#REF!,#REF!,#REF!,#REF!,#REF!,#REF!,#REF!</definedName>
    <definedName name="__APW_RESTORE_DATA2368__" hidden="1">#REF!,#REF!,#REF!,#REF!,#REF!,#REF!,#REF!,#REF!,#REF!,#REF!,#REF!,#REF!,#REF!,#REF!,#REF!</definedName>
    <definedName name="__APW_RESTORE_DATA2369__" hidden="1">#REF!,#REF!,#REF!,#REF!,#REF!,#REF!,#REF!,#REF!,#REF!,#REF!,#REF!,#REF!,#REF!,#REF!,#REF!</definedName>
    <definedName name="__APW_RESTORE_DATA237__" hidden="1">#REF!,#REF!,#REF!,#REF!,#REF!,#REF!,#REF!,#REF!,#REF!,#REF!,#REF!,#REF!,#REF!,#REF!,#REF!</definedName>
    <definedName name="__APW_RESTORE_DATA2370__" hidden="1">#REF!,#REF!,#REF!,#REF!,#REF!,#REF!,#REF!,#REF!,#REF!,#REF!,#REF!,#REF!,#REF!,#REF!,#REF!</definedName>
    <definedName name="__APW_RESTORE_DATA2371__" hidden="1">#REF!,#REF!,#REF!,#REF!,#REF!,#REF!,#REF!,#REF!,#REF!,#REF!,#REF!,#REF!,#REF!,#REF!,#REF!</definedName>
    <definedName name="__APW_RESTORE_DATA2372__" hidden="1">#REF!,#REF!,#REF!,#REF!,#REF!,#REF!,#REF!,#REF!,#REF!,#REF!,#REF!,#REF!,#REF!,#REF!,#REF!</definedName>
    <definedName name="__APW_RESTORE_DATA2373__" hidden="1">#REF!,#REF!,#REF!,#REF!,#REF!,#REF!,#REF!,#REF!,#REF!,#REF!,#REF!,#REF!,#REF!,#REF!,#REF!</definedName>
    <definedName name="__APW_RESTORE_DATA2374__" hidden="1">#REF!,#REF!,#REF!,#REF!,#REF!,#REF!,#REF!,#REF!,#REF!,#REF!,#REF!,#REF!,#REF!,#REF!,#REF!</definedName>
    <definedName name="__APW_RESTORE_DATA2375__" hidden="1">#REF!,#REF!,#REF!,#REF!,#REF!,#REF!,#REF!,#REF!,#REF!,#REF!,#REF!,#REF!,#REF!,#REF!,#REF!</definedName>
    <definedName name="__APW_RESTORE_DATA2376__" hidden="1">#REF!,#REF!,#REF!,#REF!,#REF!,#REF!,#REF!,#REF!,#REF!,#REF!,#REF!,#REF!,#REF!,#REF!,#REF!</definedName>
    <definedName name="__APW_RESTORE_DATA2377__" hidden="1">#REF!,#REF!,#REF!,#REF!,#REF!,#REF!,#REF!,#REF!,#REF!,#REF!,#REF!,#REF!,#REF!,#REF!,#REF!</definedName>
    <definedName name="__APW_RESTORE_DATA2378__" hidden="1">#REF!,#REF!,#REF!,#REF!,#REF!,#REF!,#REF!,#REF!,#REF!,#REF!,#REF!,#REF!,#REF!,#REF!,#REF!</definedName>
    <definedName name="__APW_RESTORE_DATA2379__" hidden="1">#REF!,#REF!,#REF!,#REF!,#REF!,#REF!</definedName>
    <definedName name="__APW_RESTORE_DATA238__" hidden="1">#REF!,#REF!,#REF!,#REF!,#REF!,#REF!,#REF!,#REF!,#REF!,#REF!,#REF!,#REF!,#REF!,#REF!,#REF!</definedName>
    <definedName name="__APW_RESTORE_DATA2380__" hidden="1">#REF!,#REF!,#REF!,#REF!,#REF!,#REF!,#REF!,#REF!,#REF!,#REF!,#REF!,#REF!,#REF!,#REF!,#REF!,#REF!</definedName>
    <definedName name="__APW_RESTORE_DATA2381__" hidden="1">#REF!,#REF!,#REF!,#REF!,#REF!,#REF!,#REF!,#REF!,#REF!,#REF!,#REF!,#REF!,#REF!,#REF!,#REF!,#REF!</definedName>
    <definedName name="__APW_RESTORE_DATA2382__" hidden="1">#REF!,#REF!,#REF!,#REF!,#REF!,#REF!,#REF!,#REF!,#REF!,#REF!,#REF!,#REF!,#REF!,#REF!,#REF!,#REF!</definedName>
    <definedName name="__APW_RESTORE_DATA2383__" hidden="1">#REF!,#REF!,#REF!,#REF!,#REF!,#REF!,#REF!,#REF!,#REF!,#REF!,#REF!,#REF!,#REF!,#REF!,#REF!,#REF!</definedName>
    <definedName name="__APW_RESTORE_DATA2384__" hidden="1">#REF!,#REF!,#REF!,#REF!,#REF!,#REF!,#REF!,#REF!,#REF!,#REF!,#REF!,#REF!,#REF!,#REF!,#REF!,#REF!</definedName>
    <definedName name="__APW_RESTORE_DATA2385__" hidden="1">#REF!,#REF!,#REF!,#REF!,#REF!,#REF!,#REF!,#REF!,#REF!,#REF!,#REF!,#REF!,#REF!,#REF!,#REF!,#REF!</definedName>
    <definedName name="__APW_RESTORE_DATA2386__" hidden="1">#REF!,#REF!,#REF!,#REF!,#REF!,#REF!,#REF!,#REF!,#REF!,#REF!,#REF!,#REF!,#REF!,#REF!,#REF!</definedName>
    <definedName name="__APW_RESTORE_DATA2387__" hidden="1">#REF!,#REF!,#REF!,#REF!,#REF!,#REF!,#REF!,#REF!,#REF!,#REF!,#REF!,#REF!,#REF!,#REF!,#REF!</definedName>
    <definedName name="__APW_RESTORE_DATA2388__" hidden="1">#REF!,#REF!,#REF!,#REF!,#REF!,#REF!,#REF!,#REF!,#REF!,#REF!,#REF!,#REF!,#REF!,#REF!,#REF!</definedName>
    <definedName name="__APW_RESTORE_DATA2389__" hidden="1">#REF!,#REF!,#REF!,#REF!,#REF!,#REF!,#REF!,#REF!,#REF!,#REF!,#REF!,#REF!,#REF!,#REF!,#REF!</definedName>
    <definedName name="__APW_RESTORE_DATA239__" hidden="1">#REF!,#REF!,#REF!,#REF!,#REF!,#REF!,#REF!,#REF!,#REF!,#REF!,#REF!,#REF!,#REF!,#REF!,#REF!</definedName>
    <definedName name="__APW_RESTORE_DATA2390__" hidden="1">#REF!,#REF!,#REF!,#REF!,#REF!,#REF!,#REF!,#REF!,#REF!,#REF!,#REF!,#REF!,#REF!,#REF!,#REF!</definedName>
    <definedName name="__APW_RESTORE_DATA2391__" hidden="1">#REF!,#REF!,#REF!,#REF!,#REF!,#REF!,#REF!,#REF!,#REF!,#REF!,#REF!,#REF!,#REF!,#REF!,#REF!</definedName>
    <definedName name="__APW_RESTORE_DATA2392__" hidden="1">#REF!,#REF!,#REF!,#REF!,#REF!,#REF!,#REF!,#REF!,#REF!,#REF!,#REF!,#REF!,#REF!,#REF!,#REF!</definedName>
    <definedName name="__APW_RESTORE_DATA2393__" hidden="1">#REF!,#REF!,#REF!,#REF!,#REF!,#REF!,#REF!,#REF!,#REF!,#REF!,#REF!,#REF!,#REF!,#REF!,#REF!</definedName>
    <definedName name="__APW_RESTORE_DATA2394__" hidden="1">#REF!,#REF!,#REF!,#REF!,#REF!,#REF!,#REF!,#REF!,#REF!,#REF!,#REF!,#REF!,#REF!,#REF!,#REF!</definedName>
    <definedName name="__APW_RESTORE_DATA2395__" hidden="1">#REF!,#REF!,#REF!,#REF!,#REF!,#REF!,#REF!,#REF!,#REF!,#REF!,#REF!,#REF!,#REF!,#REF!,#REF!</definedName>
    <definedName name="__APW_RESTORE_DATA2396__" hidden="1">#REF!,#REF!,#REF!,#REF!,#REF!,#REF!,#REF!,#REF!,#REF!,#REF!,#REF!,#REF!,#REF!,#REF!,#REF!</definedName>
    <definedName name="__APW_RESTORE_DATA2397__" hidden="1">#REF!,#REF!,#REF!,#REF!,#REF!,#REF!,#REF!,#REF!,#REF!,#REF!,#REF!,#REF!,#REF!,#REF!,#REF!</definedName>
    <definedName name="__APW_RESTORE_DATA2398__" hidden="1">#REF!,#REF!,#REF!,#REF!,#REF!,#REF!,#REF!,#REF!,#REF!,#REF!,#REF!,#REF!,#REF!,#REF!,#REF!</definedName>
    <definedName name="__APW_RESTORE_DATA2399__" hidden="1">#REF!,#REF!,#REF!,#REF!,#REF!,#REF!,#REF!,#REF!,#REF!,#REF!,#REF!,#REF!,#REF!,#REF!,#REF!</definedName>
    <definedName name="__APW_RESTORE_DATA24__" hidden="1">#REF!,#REF!,#REF!,#REF!,#REF!,#REF!,#REF!,#REF!,#REF!,#REF!,#REF!,#REF!,#REF!,#REF!,#REF!,#REF!</definedName>
    <definedName name="__APW_RESTORE_DATA240__" hidden="1">#REF!,#REF!,#REF!,#REF!,#REF!,#REF!,#REF!,#REF!,#REF!,#REF!,#REF!,#REF!,#REF!,#REF!,#REF!</definedName>
    <definedName name="__APW_RESTORE_DATA2400__" hidden="1">#REF!,#REF!,#REF!,#REF!,#REF!,#REF!,#REF!,#REF!,#REF!,#REF!,#REF!,#REF!,#REF!,#REF!,#REF!</definedName>
    <definedName name="__APW_RESTORE_DATA2401__" hidden="1">#REF!,#REF!,#REF!,#REF!,#REF!,#REF!,#REF!,#REF!,#REF!,#REF!,#REF!,#REF!,#REF!,#REF!,#REF!</definedName>
    <definedName name="__APW_RESTORE_DATA2402__" hidden="1">#REF!,#REF!,#REF!,#REF!,#REF!,#REF!,#REF!,#REF!,#REF!,#REF!,#REF!,#REF!,#REF!,#REF!,#REF!</definedName>
    <definedName name="__APW_RESTORE_DATA2403__" hidden="1">#REF!,#REF!,#REF!,#REF!,#REF!,#REF!,#REF!,#REF!,#REF!,#REF!,#REF!,#REF!,#REF!,#REF!,#REF!</definedName>
    <definedName name="__APW_RESTORE_DATA2404__" hidden="1">#REF!,#REF!,#REF!,#REF!,#REF!,#REF!,#REF!,#REF!,#REF!,#REF!,#REF!,#REF!,#REF!,#REF!,#REF!</definedName>
    <definedName name="__APW_RESTORE_DATA2405__" hidden="1">#REF!,#REF!,#REF!,#REF!,#REF!,#REF!,#REF!,#REF!,#REF!,#REF!,#REF!,#REF!,#REF!,#REF!,#REF!</definedName>
    <definedName name="__APW_RESTORE_DATA2406__" hidden="1">#REF!,#REF!,#REF!,#REF!,#REF!,#REF!,#REF!,#REF!,#REF!,#REF!,#REF!,#REF!,#REF!,#REF!,#REF!</definedName>
    <definedName name="__APW_RESTORE_DATA2407__" hidden="1">#REF!,#REF!,#REF!,#REF!,#REF!,#REF!,#REF!,#REF!,#REF!,#REF!,#REF!,#REF!,#REF!,#REF!,#REF!</definedName>
    <definedName name="__APW_RESTORE_DATA2408__" hidden="1">#REF!,#REF!,#REF!,#REF!,#REF!,#REF!,#REF!,#REF!,#REF!,#REF!,#REF!,#REF!,#REF!,#REF!,#REF!</definedName>
    <definedName name="__APW_RESTORE_DATA2409__" hidden="1">#REF!,#REF!,#REF!,#REF!,#REF!,#REF!,#REF!,#REF!,#REF!,#REF!,#REF!,#REF!,#REF!,#REF!,#REF!</definedName>
    <definedName name="__APW_RESTORE_DATA241__" hidden="1">#REF!,#REF!,#REF!,#REF!,#REF!,#REF!,#REF!,#REF!,#REF!,#REF!,#REF!,#REF!,#REF!,#REF!,#REF!</definedName>
    <definedName name="__APW_RESTORE_DATA2410__" hidden="1">#REF!,#REF!,#REF!,#REF!,#REF!,#REF!,#REF!,#REF!,#REF!,#REF!,#REF!,#REF!,#REF!,#REF!,#REF!</definedName>
    <definedName name="__APW_RESTORE_DATA2411__" hidden="1">#REF!,#REF!,#REF!,#REF!,#REF!,#REF!,#REF!,#REF!,#REF!,#REF!,#REF!,#REF!,#REF!,#REF!,#REF!</definedName>
    <definedName name="__APW_RESTORE_DATA2412__" hidden="1">#REF!,#REF!,#REF!,#REF!,#REF!,#REF!,#REF!,#REF!,#REF!,#REF!,#REF!,#REF!,#REF!,#REF!,#REF!</definedName>
    <definedName name="__APW_RESTORE_DATA2413__" hidden="1">#REF!,#REF!,#REF!,#REF!,#REF!,#REF!,#REF!,#REF!,#REF!,#REF!,#REF!,#REF!,#REF!,#REF!,#REF!</definedName>
    <definedName name="__APW_RESTORE_DATA2414__" hidden="1">#REF!,#REF!,#REF!,#REF!,#REF!,#REF!</definedName>
    <definedName name="__APW_RESTORE_DATA2415__" hidden="1">#REF!,#REF!,#REF!,#REF!,#REF!,#REF!,#REF!,#REF!,#REF!,#REF!,#REF!,#REF!,#REF!,#REF!,#REF!,#REF!</definedName>
    <definedName name="__APW_RESTORE_DATA2416__" hidden="1">#REF!,#REF!,#REF!,#REF!,#REF!,#REF!,#REF!,#REF!,#REF!,#REF!,#REF!,#REF!,#REF!,#REF!,#REF!,#REF!</definedName>
    <definedName name="__APW_RESTORE_DATA2417__" hidden="1">#REF!,#REF!,#REF!,#REF!,#REF!,#REF!,#REF!,#REF!,#REF!,#REF!,#REF!,#REF!,#REF!,#REF!,#REF!,#REF!</definedName>
    <definedName name="__APW_RESTORE_DATA2418__" hidden="1">#REF!,#REF!,#REF!,#REF!,#REF!,#REF!,#REF!,#REF!,#REF!,#REF!,#REF!,#REF!,#REF!,#REF!,#REF!,#REF!</definedName>
    <definedName name="__APW_RESTORE_DATA2419__" hidden="1">#REF!,#REF!,#REF!,#REF!,#REF!,#REF!,#REF!,#REF!,#REF!,#REF!,#REF!,#REF!,#REF!,#REF!,#REF!,#REF!</definedName>
    <definedName name="__APW_RESTORE_DATA242__" hidden="1">#REF!,#REF!,#REF!,#REF!,#REF!,#REF!,#REF!,#REF!,#REF!,#REF!,#REF!,#REF!,#REF!,#REF!,#REF!</definedName>
    <definedName name="__APW_RESTORE_DATA2420__" hidden="1">#REF!,#REF!,#REF!,#REF!,#REF!,#REF!,#REF!,#REF!,#REF!,#REF!,#REF!,#REF!,#REF!,#REF!,#REF!,#REF!</definedName>
    <definedName name="__APW_RESTORE_DATA2421__" hidden="1">#REF!,#REF!,#REF!,#REF!,#REF!,#REF!,#REF!,#REF!,#REF!,#REF!,#REF!,#REF!,#REF!,#REF!,#REF!</definedName>
    <definedName name="__APW_RESTORE_DATA2422__" hidden="1">#REF!,#REF!,#REF!,#REF!,#REF!,#REF!,#REF!,#REF!,#REF!,#REF!,#REF!,#REF!,#REF!,#REF!,#REF!</definedName>
    <definedName name="__APW_RESTORE_DATA2423__" hidden="1">#REF!,#REF!,#REF!,#REF!,#REF!,#REF!,#REF!,#REF!,#REF!,#REF!,#REF!,#REF!,#REF!,#REF!,#REF!</definedName>
    <definedName name="__APW_RESTORE_DATA2424__" hidden="1">#REF!,#REF!,#REF!,#REF!,#REF!,#REF!,#REF!,#REF!,#REF!,#REF!,#REF!,#REF!,#REF!,#REF!,#REF!</definedName>
    <definedName name="__APW_RESTORE_DATA2425__" hidden="1">#REF!,#REF!,#REF!,#REF!,#REF!,#REF!,#REF!,#REF!,#REF!,#REF!,#REF!,#REF!,#REF!,#REF!,#REF!</definedName>
    <definedName name="__APW_RESTORE_DATA2426__" hidden="1">#REF!,#REF!,#REF!,#REF!,#REF!,#REF!,#REF!,#REF!,#REF!,#REF!,#REF!,#REF!,#REF!,#REF!,#REF!</definedName>
    <definedName name="__APW_RESTORE_DATA2427__" hidden="1">#REF!,#REF!,#REF!,#REF!,#REF!,#REF!,#REF!,#REF!,#REF!,#REF!,#REF!,#REF!,#REF!,#REF!,#REF!</definedName>
    <definedName name="__APW_RESTORE_DATA2428__" hidden="1">#REF!,#REF!,#REF!,#REF!,#REF!,#REF!,#REF!,#REF!,#REF!,#REF!,#REF!,#REF!,#REF!,#REF!,#REF!</definedName>
    <definedName name="__APW_RESTORE_DATA2429__" hidden="1">#REF!,#REF!,#REF!,#REF!,#REF!,#REF!,#REF!,#REF!,#REF!,#REF!,#REF!,#REF!,#REF!,#REF!,#REF!</definedName>
    <definedName name="__APW_RESTORE_DATA243__" hidden="1">#REF!,#REF!,#REF!,#REF!,#REF!,#REF!,#REF!,#REF!,#REF!,#REF!,#REF!,#REF!,#REF!,#REF!,#REF!</definedName>
    <definedName name="__APW_RESTORE_DATA2430__" hidden="1">#REF!,#REF!,#REF!,#REF!,#REF!,#REF!,#REF!,#REF!,#REF!,#REF!,#REF!,#REF!,#REF!,#REF!,#REF!</definedName>
    <definedName name="__APW_RESTORE_DATA2431__" hidden="1">#REF!,#REF!,#REF!,#REF!,#REF!,#REF!,#REF!,#REF!,#REF!,#REF!,#REF!,#REF!,#REF!,#REF!,#REF!</definedName>
    <definedName name="__APW_RESTORE_DATA2432__" hidden="1">#REF!,#REF!,#REF!,#REF!,#REF!,#REF!,#REF!,#REF!,#REF!,#REF!,#REF!,#REF!,#REF!,#REF!,#REF!</definedName>
    <definedName name="__APW_RESTORE_DATA2433__" hidden="1">#REF!,#REF!,#REF!,#REF!,#REF!,#REF!,#REF!,#REF!,#REF!,#REF!,#REF!,#REF!,#REF!,#REF!,#REF!</definedName>
    <definedName name="__APW_RESTORE_DATA2434__" hidden="1">#REF!,#REF!,#REF!,#REF!,#REF!,#REF!,#REF!,#REF!,#REF!,#REF!,#REF!,#REF!,#REF!,#REF!,#REF!</definedName>
    <definedName name="__APW_RESTORE_DATA2435__" hidden="1">#REF!,#REF!,#REF!,#REF!,#REF!,#REF!,#REF!,#REF!,#REF!,#REF!,#REF!,#REF!,#REF!,#REF!,#REF!</definedName>
    <definedName name="__APW_RESTORE_DATA2436__" hidden="1">#REF!,#REF!,#REF!,#REF!,#REF!,#REF!,#REF!,#REF!,#REF!,#REF!,#REF!,#REF!,#REF!,#REF!,#REF!</definedName>
    <definedName name="__APW_RESTORE_DATA2437__" hidden="1">#REF!,#REF!,#REF!,#REF!,#REF!,#REF!,#REF!,#REF!,#REF!,#REF!,#REF!,#REF!,#REF!,#REF!,#REF!</definedName>
    <definedName name="__APW_RESTORE_DATA2438__" hidden="1">#REF!,#REF!,#REF!,#REF!,#REF!,#REF!,#REF!,#REF!,#REF!,#REF!,#REF!,#REF!,#REF!,#REF!,#REF!</definedName>
    <definedName name="__APW_RESTORE_DATA2439__" hidden="1">#REF!,#REF!,#REF!,#REF!,#REF!,#REF!,#REF!,#REF!,#REF!,#REF!,#REF!,#REF!,#REF!,#REF!,#REF!</definedName>
    <definedName name="__APW_RESTORE_DATA244__" hidden="1">#REF!,#REF!,#REF!,#REF!,#REF!,#REF!,#REF!,#REF!,#REF!,#REF!,#REF!,#REF!,#REF!,#REF!,#REF!</definedName>
    <definedName name="__APW_RESTORE_DATA2440__" hidden="1">#REF!,#REF!,#REF!,#REF!,#REF!,#REF!,#REF!,#REF!,#REF!,#REF!,#REF!,#REF!,#REF!,#REF!,#REF!</definedName>
    <definedName name="__APW_RESTORE_DATA2441__" hidden="1">#REF!,#REF!,#REF!,#REF!,#REF!,#REF!,#REF!,#REF!,#REF!,#REF!,#REF!,#REF!,#REF!,#REF!,#REF!</definedName>
    <definedName name="__APW_RESTORE_DATA2442__" hidden="1">#REF!,#REF!,#REF!,#REF!,#REF!,#REF!,#REF!,#REF!,#REF!,#REF!,#REF!,#REF!,#REF!,#REF!,#REF!</definedName>
    <definedName name="__APW_RESTORE_DATA2443__" hidden="1">#REF!,#REF!,#REF!,#REF!,#REF!,#REF!,#REF!,#REF!,#REF!,#REF!,#REF!,#REF!,#REF!,#REF!,#REF!</definedName>
    <definedName name="__APW_RESTORE_DATA2444__" hidden="1">#REF!,#REF!,#REF!,#REF!,#REF!,#REF!,#REF!,#REF!,#REF!,#REF!,#REF!,#REF!,#REF!,#REF!,#REF!</definedName>
    <definedName name="__APW_RESTORE_DATA2445__" hidden="1">#REF!,#REF!,#REF!,#REF!,#REF!,#REF!,#REF!,#REF!,#REF!,#REF!,#REF!,#REF!,#REF!,#REF!,#REF!</definedName>
    <definedName name="__APW_RESTORE_DATA2446__" hidden="1">#REF!,#REF!,#REF!,#REF!,#REF!,#REF!,#REF!,#REF!,#REF!,#REF!,#REF!,#REF!,#REF!,#REF!,#REF!</definedName>
    <definedName name="__APW_RESTORE_DATA2447__" hidden="1">#REF!,#REF!,#REF!,#REF!,#REF!,#REF!,#REF!,#REF!,#REF!,#REF!,#REF!,#REF!,#REF!,#REF!,#REF!</definedName>
    <definedName name="__APW_RESTORE_DATA2448__" hidden="1">#REF!,#REF!,#REF!,#REF!,#REF!,#REF!,#REF!,#REF!,#REF!,#REF!,#REF!,#REF!,#REF!,#REF!,#REF!</definedName>
    <definedName name="__APW_RESTORE_DATA2449__" hidden="1">#REF!,#REF!,#REF!,#REF!,#REF!,#REF!</definedName>
    <definedName name="__APW_RESTORE_DATA245__" hidden="1">#REF!,#REF!,#REF!,#REF!,#REF!,#REF!,#REF!,#REF!,#REF!,#REF!,#REF!,#REF!,#REF!,#REF!,#REF!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4__" hidden="1">#REF!</definedName>
    <definedName name="__APW_RESTORE_DATA2455__" hidden="1">#REF!,#REF!,#REF!,#REF!,#REF!,#REF!,#REF!,#REF!,#REF!,#REF!,#REF!,#REF!,#REF!,#REF!,#REF!,#REF!</definedName>
    <definedName name="__APW_RESTORE_DATA2456__" hidden="1">#REF!,#REF!,#REF!,#REF!,#REF!,#REF!,#REF!,#REF!,#REF!,#REF!,#REF!,#REF!,#REF!,#REF!,#REF!,#REF!</definedName>
    <definedName name="__APW_RESTORE_DATA2457__" hidden="1">#REF!,#REF!,#REF!,#REF!,#REF!,#REF!,#REF!,#REF!,#REF!,#REF!,#REF!,#REF!,#REF!,#REF!,#REF!,#REF!</definedName>
    <definedName name="__APW_RESTORE_DATA2458__" hidden="1">#REF!,#REF!,#REF!,#REF!,#REF!,#REF!,#REF!,#REF!,#REF!,#REF!,#REF!,#REF!,#REF!,#REF!,#REF!,#REF!</definedName>
    <definedName name="__APW_RESTORE_DATA2459__" hidden="1">#REF!,#REF!,#REF!,#REF!,#REF!,#REF!,#REF!,#REF!,#REF!,#REF!,#REF!,#REF!,#REF!,#REF!,#REF!,#REF!</definedName>
    <definedName name="__APW_RESTORE_DATA246__" hidden="1">#REF!,#REF!,#REF!,#REF!,#REF!,#REF!,#REF!,#REF!,#REF!,#REF!,#REF!,#REF!,#REF!,#REF!,#REF!</definedName>
    <definedName name="__APW_RESTORE_DATA2460__" hidden="1">#REF!,#REF!,#REF!,#REF!,#REF!,#REF!,#REF!,#REF!,#REF!,#REF!,#REF!,#REF!,#REF!,#REF!,#REF!,#REF!</definedName>
    <definedName name="__APW_RESTORE_DATA2461__" hidden="1">#REF!,#REF!,#REF!,#REF!,#REF!,#REF!,#REF!,#REF!,#REF!,#REF!,#REF!,#REF!,#REF!,#REF!,#REF!</definedName>
    <definedName name="__APW_RESTORE_DATA2462__" hidden="1">#REF!,#REF!,#REF!,#REF!,#REF!,#REF!,#REF!,#REF!,#REF!,#REF!,#REF!,#REF!,#REF!,#REF!,#REF!</definedName>
    <definedName name="__APW_RESTORE_DATA2463__" hidden="1">#REF!,#REF!,#REF!,#REF!,#REF!,#REF!,#REF!,#REF!,#REF!,#REF!,#REF!,#REF!,#REF!,#REF!,#REF!</definedName>
    <definedName name="__APW_RESTORE_DATA2464__" hidden="1">#REF!,#REF!,#REF!,#REF!,#REF!,#REF!,#REF!,#REF!,#REF!,#REF!,#REF!,#REF!,#REF!,#REF!,#REF!</definedName>
    <definedName name="__APW_RESTORE_DATA2465__" hidden="1">#REF!,#REF!,#REF!,#REF!,#REF!,#REF!,#REF!,#REF!,#REF!,#REF!,#REF!,#REF!,#REF!,#REF!,#REF!</definedName>
    <definedName name="__APW_RESTORE_DATA2466__" hidden="1">#REF!,#REF!,#REF!,#REF!,#REF!,#REF!,#REF!,#REF!,#REF!,#REF!,#REF!,#REF!,#REF!,#REF!,#REF!</definedName>
    <definedName name="__APW_RESTORE_DATA2467__" hidden="1">#REF!,#REF!,#REF!,#REF!,#REF!,#REF!,#REF!,#REF!,#REF!,#REF!,#REF!,#REF!,#REF!,#REF!,#REF!</definedName>
    <definedName name="__APW_RESTORE_DATA2468__" hidden="1">#REF!,#REF!,#REF!,#REF!,#REF!,#REF!,#REF!,#REF!,#REF!,#REF!,#REF!,#REF!,#REF!,#REF!,#REF!</definedName>
    <definedName name="__APW_RESTORE_DATA2469__" hidden="1">#REF!,#REF!,#REF!,#REF!,#REF!,#REF!,#REF!,#REF!,#REF!,#REF!,#REF!,#REF!,#REF!,#REF!,#REF!</definedName>
    <definedName name="__APW_RESTORE_DATA247__" hidden="1">#REF!,#REF!,#REF!,#REF!,#REF!,#REF!,#REF!,#REF!,#REF!,#REF!,#REF!,#REF!,#REF!,#REF!,#REF!</definedName>
    <definedName name="__APW_RESTORE_DATA2470__" hidden="1">#REF!,#REF!,#REF!,#REF!,#REF!,#REF!,#REF!,#REF!,#REF!,#REF!,#REF!,#REF!,#REF!,#REF!,#REF!</definedName>
    <definedName name="__APW_RESTORE_DATA2471__" hidden="1">#REF!,#REF!,#REF!,#REF!,#REF!,#REF!,#REF!,#REF!,#REF!,#REF!,#REF!,#REF!,#REF!,#REF!,#REF!</definedName>
    <definedName name="__APW_RESTORE_DATA2472__" hidden="1">#REF!,#REF!,#REF!,#REF!,#REF!,#REF!,#REF!,#REF!,#REF!,#REF!,#REF!,#REF!,#REF!,#REF!,#REF!</definedName>
    <definedName name="__APW_RESTORE_DATA2473__" hidden="1">#REF!,#REF!,#REF!,#REF!,#REF!,#REF!,#REF!,#REF!,#REF!,#REF!,#REF!,#REF!,#REF!,#REF!,#REF!</definedName>
    <definedName name="__APW_RESTORE_DATA2474__" hidden="1">#REF!,#REF!,#REF!,#REF!,#REF!,#REF!,#REF!,#REF!,#REF!,#REF!,#REF!,#REF!,#REF!,#REF!,#REF!</definedName>
    <definedName name="__APW_RESTORE_DATA2475__" hidden="1">#REF!,#REF!,#REF!,#REF!,#REF!,#REF!,#REF!,#REF!,#REF!,#REF!,#REF!,#REF!,#REF!,#REF!,#REF!</definedName>
    <definedName name="__APW_RESTORE_DATA2476__" hidden="1">#REF!,#REF!,#REF!,#REF!,#REF!,#REF!,#REF!,#REF!,#REF!,#REF!,#REF!,#REF!,#REF!,#REF!,#REF!</definedName>
    <definedName name="__APW_RESTORE_DATA2477__" hidden="1">#REF!,#REF!,#REF!,#REF!,#REF!,#REF!,#REF!,#REF!,#REF!,#REF!,#REF!,#REF!,#REF!,#REF!,#REF!</definedName>
    <definedName name="__APW_RESTORE_DATA2478__" hidden="1">#REF!,#REF!,#REF!,#REF!,#REF!,#REF!,#REF!,#REF!,#REF!,#REF!,#REF!,#REF!,#REF!,#REF!,#REF!</definedName>
    <definedName name="__APW_RESTORE_DATA2479__" hidden="1">#REF!,#REF!,#REF!,#REF!,#REF!,#REF!,#REF!,#REF!,#REF!,#REF!,#REF!,#REF!,#REF!,#REF!,#REF!</definedName>
    <definedName name="__APW_RESTORE_DATA248__" hidden="1">#REF!,#REF!,#REF!,#REF!,#REF!,#REF!,#REF!,#REF!,#REF!,#REF!,#REF!,#REF!,#REF!,#REF!,#REF!</definedName>
    <definedName name="__APW_RESTORE_DATA2480__" hidden="1">#REF!,#REF!,#REF!,#REF!,#REF!,#REF!,#REF!,#REF!,#REF!,#REF!,#REF!,#REF!,#REF!,#REF!,#REF!</definedName>
    <definedName name="__APW_RESTORE_DATA2481__" hidden="1">#REF!,#REF!,#REF!,#REF!,#REF!,#REF!,#REF!,#REF!,#REF!,#REF!,#REF!,#REF!,#REF!,#REF!,#REF!</definedName>
    <definedName name="__APW_RESTORE_DATA2482__" hidden="1">#REF!,#REF!,#REF!,#REF!,#REF!,#REF!,#REF!,#REF!,#REF!,#REF!,#REF!,#REF!,#REF!,#REF!,#REF!</definedName>
    <definedName name="__APW_RESTORE_DATA2483__" hidden="1">#REF!,#REF!,#REF!,#REF!,#REF!,#REF!,#REF!,#REF!,#REF!,#REF!,#REF!,#REF!,#REF!,#REF!,#REF!</definedName>
    <definedName name="__APW_RESTORE_DATA2484__" hidden="1">#REF!,#REF!,#REF!,#REF!,#REF!,#REF!,#REF!,#REF!,#REF!,#REF!,#REF!,#REF!,#REF!,#REF!,#REF!</definedName>
    <definedName name="__APW_RESTORE_DATA2485__" hidden="1">#REF!,#REF!,#REF!,#REF!,#REF!,#REF!,#REF!,#REF!,#REF!,#REF!,#REF!,#REF!,#REF!,#REF!,#REF!</definedName>
    <definedName name="__APW_RESTORE_DATA2486__" hidden="1">#REF!,#REF!,#REF!,#REF!,#REF!,#REF!,#REF!,#REF!,#REF!,#REF!,#REF!,#REF!,#REF!,#REF!,#REF!</definedName>
    <definedName name="__APW_RESTORE_DATA2487__" hidden="1">#REF!,#REF!,#REF!,#REF!,#REF!,#REF!,#REF!,#REF!,#REF!,#REF!,#REF!,#REF!,#REF!,#REF!,#REF!</definedName>
    <definedName name="__APW_RESTORE_DATA2488__" hidden="1">#REF!,#REF!,#REF!,#REF!,#REF!,#REF!,#REF!,#REF!,#REF!,#REF!,#REF!,#REF!,#REF!,#REF!,#REF!</definedName>
    <definedName name="__APW_RESTORE_DATA2489__" hidden="1">#REF!,#REF!,#REF!,#REF!,#REF!,#REF!</definedName>
    <definedName name="__APW_RESTORE_DATA249__" hidden="1">#REF!,#REF!</definedName>
    <definedName name="__APW_RESTORE_DATA2490__" hidden="1">#REF!,#REF!,#REF!,#REF!,#REF!,#REF!,#REF!,#REF!,#REF!,#REF!,#REF!,#REF!,#REF!,#REF!,#REF!,#REF!</definedName>
    <definedName name="__APW_RESTORE_DATA2491__" hidden="1">#REF!,#REF!,#REF!,#REF!,#REF!,#REF!,#REF!,#REF!,#REF!,#REF!,#REF!,#REF!,#REF!,#REF!,#REF!,#REF!</definedName>
    <definedName name="__APW_RESTORE_DATA2492__" hidden="1">#REF!,#REF!,#REF!,#REF!,#REF!,#REF!,#REF!,#REF!,#REF!,#REF!,#REF!,#REF!,#REF!,#REF!,#REF!,#REF!</definedName>
    <definedName name="__APW_RESTORE_DATA2493__" hidden="1">#REF!,#REF!,#REF!,#REF!,#REF!,#REF!,#REF!,#REF!,#REF!,#REF!,#REF!,#REF!,#REF!,#REF!,#REF!,#REF!</definedName>
    <definedName name="__APW_RESTORE_DATA2494__" hidden="1">#REF!,#REF!,#REF!,#REF!,#REF!,#REF!,#REF!,#REF!,#REF!,#REF!,#REF!,#REF!,#REF!,#REF!,#REF!,#REF!</definedName>
    <definedName name="__APW_RESTORE_DATA2495__" hidden="1">#REF!,#REF!,#REF!,#REF!,#REF!,#REF!,#REF!,#REF!,#REF!,#REF!,#REF!,#REF!,#REF!,#REF!,#REF!,#REF!</definedName>
    <definedName name="__APW_RESTORE_DATA2496__" hidden="1">#REF!,#REF!,#REF!,#REF!,#REF!,#REF!,#REF!,#REF!,#REF!,#REF!,#REF!,#REF!,#REF!,#REF!,#REF!</definedName>
    <definedName name="__APW_RESTORE_DATA2497__" hidden="1">#REF!,#REF!,#REF!,#REF!,#REF!,#REF!,#REF!,#REF!,#REF!,#REF!,#REF!,#REF!,#REF!,#REF!,#REF!</definedName>
    <definedName name="__APW_RESTORE_DATA2498__" hidden="1">#REF!,#REF!,#REF!,#REF!,#REF!,#REF!,#REF!,#REF!,#REF!,#REF!,#REF!,#REF!,#REF!,#REF!,#REF!</definedName>
    <definedName name="__APW_RESTORE_DATA2499__" hidden="1">#REF!,#REF!,#REF!,#REF!,#REF!,#REF!,#REF!,#REF!,#REF!,#REF!,#REF!,#REF!,#REF!,#REF!,#REF!</definedName>
    <definedName name="__APW_RESTORE_DATA25__" hidden="1">#REF!,#REF!,#REF!,#REF!,#REF!,#REF!,#REF!,#REF!,#REF!,#REF!,#REF!,#REF!,#REF!,#REF!,#REF!</definedName>
    <definedName name="__APW_RESTORE_DATA250__" hidden="1">#REF!,#REF!,#REF!,#REF!,#REF!,#REF!,#REF!,#REF!,#REF!,#REF!,#REF!,#REF!,#REF!,#REF!,#REF!</definedName>
    <definedName name="__APW_RESTORE_DATA2500__" hidden="1">#REF!,#REF!,#REF!,#REF!,#REF!,#REF!,#REF!,#REF!,#REF!,#REF!,#REF!,#REF!,#REF!,#REF!,#REF!</definedName>
    <definedName name="__APW_RESTORE_DATA2501__" hidden="1">#REF!,#REF!,#REF!,#REF!,#REF!,#REF!,#REF!,#REF!,#REF!,#REF!,#REF!,#REF!,#REF!,#REF!,#REF!</definedName>
    <definedName name="__APW_RESTORE_DATA2502__" hidden="1">#REF!,#REF!,#REF!,#REF!,#REF!,#REF!,#REF!,#REF!,#REF!,#REF!,#REF!,#REF!,#REF!,#REF!,#REF!</definedName>
    <definedName name="__APW_RESTORE_DATA2503__" hidden="1">#REF!,#REF!,#REF!,#REF!,#REF!,#REF!,#REF!,#REF!,#REF!,#REF!,#REF!,#REF!,#REF!,#REF!,#REF!</definedName>
    <definedName name="__APW_RESTORE_DATA2504__" hidden="1">#REF!,#REF!,#REF!,#REF!,#REF!,#REF!,#REF!,#REF!,#REF!,#REF!,#REF!,#REF!,#REF!,#REF!,#REF!</definedName>
    <definedName name="__APW_RESTORE_DATA2505__" hidden="1">#REF!,#REF!,#REF!,#REF!,#REF!,#REF!,#REF!,#REF!,#REF!,#REF!,#REF!,#REF!,#REF!,#REF!,#REF!</definedName>
    <definedName name="__APW_RESTORE_DATA2506__" hidden="1">#REF!,#REF!,#REF!,#REF!,#REF!,#REF!,#REF!,#REF!,#REF!,#REF!,#REF!,#REF!,#REF!,#REF!,#REF!</definedName>
    <definedName name="__APW_RESTORE_DATA2507__" hidden="1">#REF!,#REF!,#REF!,#REF!,#REF!,#REF!,#REF!,#REF!,#REF!,#REF!,#REF!,#REF!,#REF!,#REF!,#REF!</definedName>
    <definedName name="__APW_RESTORE_DATA2508__" hidden="1">#REF!,#REF!,#REF!,#REF!,#REF!,#REF!,#REF!,#REF!,#REF!,#REF!,#REF!,#REF!,#REF!,#REF!,#REF!</definedName>
    <definedName name="__APW_RESTORE_DATA2509__" hidden="1">#REF!,#REF!,#REF!,#REF!,#REF!,#REF!,#REF!,#REF!,#REF!,#REF!,#REF!,#REF!,#REF!,#REF!,#REF!</definedName>
    <definedName name="__APW_RESTORE_DATA251__" hidden="1">#REF!,#REF!,#REF!,#REF!,#REF!,#REF!,#REF!,#REF!</definedName>
    <definedName name="__APW_RESTORE_DATA2510__" hidden="1">#REF!,#REF!,#REF!,#REF!,#REF!,#REF!,#REF!,#REF!,#REF!,#REF!,#REF!,#REF!,#REF!,#REF!,#REF!</definedName>
    <definedName name="__APW_RESTORE_DATA2511__" hidden="1">#REF!,#REF!,#REF!,#REF!,#REF!,#REF!,#REF!,#REF!,#REF!,#REF!,#REF!,#REF!,#REF!,#REF!,#REF!</definedName>
    <definedName name="__APW_RESTORE_DATA2512__" hidden="1">#REF!,#REF!,#REF!,#REF!,#REF!,#REF!,#REF!,#REF!,#REF!,#REF!,#REF!,#REF!,#REF!,#REF!,#REF!</definedName>
    <definedName name="__APW_RESTORE_DATA2513__" hidden="1">#REF!,#REF!,#REF!,#REF!,#REF!,#REF!,#REF!,#REF!,#REF!,#REF!,#REF!,#REF!,#REF!,#REF!,#REF!</definedName>
    <definedName name="__APW_RESTORE_DATA2514__" hidden="1">#REF!,#REF!,#REF!,#REF!,#REF!,#REF!,#REF!,#REF!,#REF!,#REF!,#REF!,#REF!,#REF!,#REF!,#REF!</definedName>
    <definedName name="__APW_RESTORE_DATA2515__" hidden="1">#REF!,#REF!,#REF!,#REF!,#REF!,#REF!,#REF!,#REF!,#REF!,#REF!,#REF!,#REF!,#REF!,#REF!,#REF!</definedName>
    <definedName name="__APW_RESTORE_DATA2516__" hidden="1">#REF!,#REF!,#REF!,#REF!,#REF!,#REF!,#REF!,#REF!,#REF!,#REF!,#REF!,#REF!,#REF!,#REF!,#REF!</definedName>
    <definedName name="__APW_RESTORE_DATA2517__" hidden="1">#REF!,#REF!,#REF!,#REF!,#REF!,#REF!,#REF!,#REF!,#REF!,#REF!,#REF!,#REF!,#REF!,#REF!,#REF!</definedName>
    <definedName name="__APW_RESTORE_DATA2518__" hidden="1">#REF!,#REF!,#REF!,#REF!,#REF!,#REF!,#REF!,#REF!,#REF!,#REF!,#REF!,#REF!,#REF!,#REF!,#REF!</definedName>
    <definedName name="__APW_RESTORE_DATA2519__" hidden="1">#REF!,#REF!,#REF!,#REF!,#REF!,#REF!,#REF!,#REF!,#REF!,#REF!,#REF!,#REF!,#REF!,#REF!,#REF!</definedName>
    <definedName name="__APW_RESTORE_DATA252__" hidden="1">#REF!,#REF!,#REF!,#REF!,#REF!,#REF!,#REF!,#REF!,#REF!,#REF!,#REF!,#REF!,#REF!,#REF!,#REF!,#REF!</definedName>
    <definedName name="__APW_RESTORE_DATA2520__" hidden="1">#REF!,#REF!,#REF!,#REF!,#REF!,#REF!,#REF!,#REF!,#REF!,#REF!,#REF!,#REF!,#REF!,#REF!,#REF!</definedName>
    <definedName name="__APW_RESTORE_DATA2521__" hidden="1">#REF!,#REF!,#REF!,#REF!,#REF!,#REF!,#REF!,#REF!,#REF!,#REF!,#REF!,#REF!,#REF!,#REF!,#REF!</definedName>
    <definedName name="__APW_RESTORE_DATA2522__" hidden="1">#REF!,#REF!,#REF!,#REF!,#REF!,#REF!,#REF!,#REF!,#REF!,#REF!,#REF!,#REF!,#REF!,#REF!,#REF!</definedName>
    <definedName name="__APW_RESTORE_DATA2523__" hidden="1">#REF!,#REF!,#REF!,#REF!,#REF!,#REF!,#REF!,#REF!,#REF!,#REF!,#REF!,#REF!,#REF!,#REF!,#REF!</definedName>
    <definedName name="__APW_RESTORE_DATA2524__" hidden="1">#REF!,#REF!,#REF!,#REF!,#REF!,#REF!</definedName>
    <definedName name="__APW_RESTORE_DATA2525__" hidden="1">#REF!,#REF!,#REF!,#REF!,#REF!,#REF!,#REF!,#REF!,#REF!,#REF!,#REF!,#REF!,#REF!,#REF!,#REF!,#REF!</definedName>
    <definedName name="__APW_RESTORE_DATA2526__" hidden="1">#REF!,#REF!,#REF!,#REF!,#REF!,#REF!,#REF!,#REF!,#REF!,#REF!,#REF!,#REF!,#REF!,#REF!,#REF!,#REF!</definedName>
    <definedName name="__APW_RESTORE_DATA2527__" hidden="1">#REF!,#REF!,#REF!,#REF!,#REF!,#REF!,#REF!,#REF!,#REF!,#REF!,#REF!,#REF!,#REF!,#REF!,#REF!,#REF!</definedName>
    <definedName name="__APW_RESTORE_DATA2528__" hidden="1">#REF!,#REF!,#REF!,#REF!,#REF!,#REF!,#REF!,#REF!,#REF!,#REF!,#REF!,#REF!,#REF!,#REF!,#REF!,#REF!</definedName>
    <definedName name="__APW_RESTORE_DATA2529__" hidden="1">#REF!,#REF!,#REF!,#REF!,#REF!,#REF!,#REF!,#REF!,#REF!,#REF!,#REF!,#REF!,#REF!,#REF!,#REF!,#REF!</definedName>
    <definedName name="__APW_RESTORE_DATA253__" hidden="1">#REF!,#REF!,#REF!,#REF!,#REF!,#REF!,#REF!,#REF!,#REF!,#REF!,#REF!,#REF!,#REF!,#REF!,#REF!,#REF!</definedName>
    <definedName name="__APW_RESTORE_DATA2530__" hidden="1">#REF!,#REF!,#REF!,#REF!,#REF!,#REF!,#REF!,#REF!,#REF!,#REF!,#REF!,#REF!,#REF!,#REF!,#REF!,#REF!</definedName>
    <definedName name="__APW_RESTORE_DATA2531__" hidden="1">#REF!,#REF!,#REF!,#REF!,#REF!,#REF!,#REF!,#REF!,#REF!,#REF!,#REF!,#REF!,#REF!,#REF!,#REF!</definedName>
    <definedName name="__APW_RESTORE_DATA2532__" hidden="1">#REF!,#REF!,#REF!,#REF!,#REF!,#REF!,#REF!,#REF!,#REF!,#REF!,#REF!,#REF!,#REF!,#REF!,#REF!</definedName>
    <definedName name="__APW_RESTORE_DATA2533__" hidden="1">#REF!,#REF!,#REF!,#REF!,#REF!,#REF!,#REF!,#REF!,#REF!,#REF!,#REF!,#REF!,#REF!,#REF!,#REF!</definedName>
    <definedName name="__APW_RESTORE_DATA2534__" hidden="1">#REF!,#REF!,#REF!,#REF!,#REF!,#REF!,#REF!,#REF!,#REF!,#REF!,#REF!,#REF!,#REF!,#REF!,#REF!</definedName>
    <definedName name="__APW_RESTORE_DATA2535__" hidden="1">#REF!,#REF!,#REF!,#REF!,#REF!,#REF!,#REF!,#REF!,#REF!,#REF!,#REF!,#REF!,#REF!,#REF!,#REF!</definedName>
    <definedName name="__APW_RESTORE_DATA2536__" hidden="1">#REF!,#REF!,#REF!,#REF!,#REF!,#REF!,#REF!,#REF!,#REF!,#REF!,#REF!,#REF!,#REF!,#REF!,#REF!</definedName>
    <definedName name="__APW_RESTORE_DATA2537__" hidden="1">#REF!,#REF!,#REF!,#REF!,#REF!,#REF!,#REF!,#REF!,#REF!,#REF!,#REF!,#REF!,#REF!,#REF!,#REF!</definedName>
    <definedName name="__APW_RESTORE_DATA2538__" hidden="1">#REF!,#REF!,#REF!,#REF!,#REF!,#REF!,#REF!,#REF!,#REF!,#REF!,#REF!,#REF!,#REF!,#REF!,#REF!</definedName>
    <definedName name="__APW_RESTORE_DATA2539__" hidden="1">#REF!,#REF!,#REF!,#REF!,#REF!,#REF!,#REF!,#REF!,#REF!,#REF!,#REF!,#REF!,#REF!,#REF!,#REF!</definedName>
    <definedName name="__APW_RESTORE_DATA254__" hidden="1">#REF!,#REF!</definedName>
    <definedName name="__APW_RESTORE_DATA2540__" hidden="1">#REF!,#REF!,#REF!,#REF!,#REF!,#REF!,#REF!,#REF!,#REF!,#REF!,#REF!,#REF!,#REF!,#REF!,#REF!</definedName>
    <definedName name="__APW_RESTORE_DATA2541__" hidden="1">#REF!,#REF!,#REF!,#REF!,#REF!,#REF!,#REF!,#REF!,#REF!,#REF!,#REF!,#REF!,#REF!,#REF!,#REF!</definedName>
    <definedName name="__APW_RESTORE_DATA2542__" hidden="1">#REF!,#REF!,#REF!,#REF!,#REF!,#REF!,#REF!,#REF!,#REF!,#REF!,#REF!,#REF!,#REF!,#REF!,#REF!</definedName>
    <definedName name="__APW_RESTORE_DATA2543__" hidden="1">#REF!,#REF!,#REF!,#REF!,#REF!,#REF!,#REF!,#REF!,#REF!,#REF!,#REF!,#REF!,#REF!,#REF!,#REF!</definedName>
    <definedName name="__APW_RESTORE_DATA2544__" hidden="1">#REF!,#REF!,#REF!,#REF!,#REF!,#REF!,#REF!,#REF!,#REF!,#REF!,#REF!,#REF!,#REF!,#REF!,#REF!</definedName>
    <definedName name="__APW_RESTORE_DATA2545__" hidden="1">#REF!,#REF!,#REF!,#REF!,#REF!,#REF!,#REF!,#REF!,#REF!,#REF!,#REF!,#REF!,#REF!,#REF!,#REF!</definedName>
    <definedName name="__APW_RESTORE_DATA2546__" hidden="1">#REF!,#REF!,#REF!,#REF!,#REF!,#REF!,#REF!,#REF!,#REF!,#REF!,#REF!,#REF!,#REF!,#REF!,#REF!</definedName>
    <definedName name="__APW_RESTORE_DATA2547__" hidden="1">#REF!,#REF!,#REF!,#REF!,#REF!,#REF!,#REF!,#REF!,#REF!,#REF!,#REF!,#REF!,#REF!,#REF!,#REF!</definedName>
    <definedName name="__APW_RESTORE_DATA2548__" hidden="1">#REF!,#REF!,#REF!,#REF!,#REF!,#REF!,#REF!,#REF!,#REF!,#REF!,#REF!,#REF!,#REF!,#REF!,#REF!</definedName>
    <definedName name="__APW_RESTORE_DATA2549__" hidden="1">#REF!,#REF!,#REF!,#REF!,#REF!,#REF!,#REF!,#REF!,#REF!,#REF!,#REF!,#REF!,#REF!,#REF!,#REF!</definedName>
    <definedName name="__APW_RESTORE_DATA255__" hidden="1">#REF!,#REF!,#REF!,#REF!,#REF!,#REF!,#REF!,#REF!,#REF!,#REF!,#REF!,#REF!,#REF!,#REF!,#REF!,#REF!</definedName>
    <definedName name="__APW_RESTORE_DATA2550__" hidden="1">#REF!,#REF!,#REF!,#REF!,#REF!,#REF!,#REF!,#REF!,#REF!,#REF!,#REF!,#REF!,#REF!,#REF!,#REF!</definedName>
    <definedName name="__APW_RESTORE_DATA2551__" hidden="1">#REF!,#REF!,#REF!,#REF!,#REF!,#REF!,#REF!,#REF!,#REF!,#REF!,#REF!,#REF!,#REF!,#REF!,#REF!</definedName>
    <definedName name="__APW_RESTORE_DATA2552__" hidden="1">#REF!,#REF!,#REF!,#REF!,#REF!,#REF!,#REF!,#REF!,#REF!,#REF!,#REF!,#REF!,#REF!,#REF!,#REF!</definedName>
    <definedName name="__APW_RESTORE_DATA2553__" hidden="1">#REF!,#REF!,#REF!,#REF!,#REF!,#REF!,#REF!,#REF!,#REF!,#REF!,#REF!,#REF!,#REF!,#REF!,#REF!</definedName>
    <definedName name="__APW_RESTORE_DATA2554__" hidden="1">#REF!,#REF!,#REF!,#REF!,#REF!,#REF!,#REF!,#REF!,#REF!,#REF!,#REF!,#REF!,#REF!,#REF!,#REF!</definedName>
    <definedName name="__APW_RESTORE_DATA2555__" hidden="1">#REF!,#REF!,#REF!,#REF!,#REF!,#REF!,#REF!,#REF!,#REF!,#REF!,#REF!,#REF!,#REF!,#REF!,#REF!</definedName>
    <definedName name="__APW_RESTORE_DATA2556__" hidden="1">#REF!,#REF!,#REF!,#REF!,#REF!,#REF!,#REF!,#REF!,#REF!,#REF!,#REF!,#REF!,#REF!,#REF!,#REF!</definedName>
    <definedName name="__APW_RESTORE_DATA2557__" hidden="1">#REF!,#REF!,#REF!,#REF!,#REF!,#REF!,#REF!,#REF!,#REF!,#REF!,#REF!,#REF!,#REF!,#REF!,#REF!</definedName>
    <definedName name="__APW_RESTORE_DATA2558__" hidden="1">#REF!,#REF!,#REF!,#REF!,#REF!,#REF!,#REF!,#REF!,#REF!,#REF!,#REF!,#REF!,#REF!,#REF!,#REF!</definedName>
    <definedName name="__APW_RESTORE_DATA2559__" hidden="1">#REF!,#REF!,#REF!,#REF!,#REF!,#REF!</definedName>
    <definedName name="__APW_RESTORE_DATA256__" hidden="1">#REF!,#REF!,#REF!,#REF!,#REF!,#REF!,#REF!,#REF!,#REF!,#REF!,#REF!,#REF!,#REF!,#REF!,#REF!,#REF!</definedName>
    <definedName name="__APW_RESTORE_DATA2560__" hidden="1">#REF!,#REF!,#REF!,#REF!,#REF!,#REF!,#REF!,#REF!,#REF!,#REF!,#REF!,#REF!,#REF!,#REF!,#REF!,#REF!</definedName>
    <definedName name="__APW_RESTORE_DATA2561__" hidden="1">#REF!,#REF!,#REF!,#REF!,#REF!,#REF!,#REF!,#REF!,#REF!,#REF!,#REF!,#REF!,#REF!,#REF!,#REF!,#REF!</definedName>
    <definedName name="__APW_RESTORE_DATA2562__" hidden="1">#REF!,#REF!,#REF!,#REF!,#REF!,#REF!,#REF!,#REF!,#REF!,#REF!,#REF!,#REF!,#REF!,#REF!,#REF!,#REF!</definedName>
    <definedName name="__APW_RESTORE_DATA2563__" hidden="1">#REF!,#REF!,#REF!,#REF!,#REF!,#REF!,#REF!,#REF!,#REF!,#REF!,#REF!,#REF!,#REF!,#REF!,#REF!,#REF!</definedName>
    <definedName name="__APW_RESTORE_DATA2564__" hidden="1">#REF!,#REF!,#REF!,#REF!,#REF!,#REF!,#REF!,#REF!,#REF!,#REF!,#REF!,#REF!,#REF!,#REF!,#REF!,#REF!</definedName>
    <definedName name="__APW_RESTORE_DATA2565__" hidden="1">#REF!,#REF!,#REF!,#REF!,#REF!,#REF!,#REF!,#REF!,#REF!,#REF!,#REF!,#REF!,#REF!,#REF!,#REF!,#REF!</definedName>
    <definedName name="__APW_RESTORE_DATA2566__" hidden="1">#REF!,#REF!,#REF!,#REF!,#REF!,#REF!,#REF!,#REF!,#REF!,#REF!,#REF!,#REF!,#REF!,#REF!,#REF!</definedName>
    <definedName name="__APW_RESTORE_DATA2567__" hidden="1">#REF!,#REF!,#REF!,#REF!,#REF!,#REF!,#REF!,#REF!,#REF!,#REF!,#REF!,#REF!,#REF!,#REF!,#REF!</definedName>
    <definedName name="__APW_RESTORE_DATA2568__" hidden="1">#REF!,#REF!,#REF!,#REF!,#REF!,#REF!,#REF!,#REF!,#REF!,#REF!,#REF!,#REF!,#REF!,#REF!,#REF!</definedName>
    <definedName name="__APW_RESTORE_DATA2569__" hidden="1">#REF!,#REF!,#REF!,#REF!,#REF!,#REF!,#REF!,#REF!,#REF!,#REF!,#REF!,#REF!,#REF!,#REF!,#REF!</definedName>
    <definedName name="__APW_RESTORE_DATA257__" hidden="1">#REF!,#REF!,#REF!,#REF!,#REF!,#REF!,#REF!,#REF!,#REF!,#REF!,#REF!,#REF!,#REF!,#REF!,#REF!,#REF!</definedName>
    <definedName name="__APW_RESTORE_DATA2570__" hidden="1">#REF!,#REF!,#REF!,#REF!,#REF!,#REF!,#REF!,#REF!,#REF!,#REF!,#REF!,#REF!,#REF!,#REF!,#REF!</definedName>
    <definedName name="__APW_RESTORE_DATA2571__" hidden="1">#REF!,#REF!,#REF!,#REF!,#REF!,#REF!,#REF!,#REF!,#REF!,#REF!,#REF!,#REF!,#REF!,#REF!,#REF!</definedName>
    <definedName name="__APW_RESTORE_DATA2572__" hidden="1">#REF!,#REF!,#REF!,#REF!,#REF!,#REF!,#REF!,#REF!,#REF!,#REF!,#REF!,#REF!,#REF!,#REF!,#REF!</definedName>
    <definedName name="__APW_RESTORE_DATA2573__" hidden="1">#REF!,#REF!,#REF!,#REF!,#REF!,#REF!,#REF!,#REF!,#REF!,#REF!,#REF!,#REF!,#REF!,#REF!,#REF!</definedName>
    <definedName name="__APW_RESTORE_DATA2574__" hidden="1">#REF!,#REF!,#REF!,#REF!,#REF!,#REF!,#REF!,#REF!,#REF!,#REF!,#REF!,#REF!,#REF!,#REF!,#REF!</definedName>
    <definedName name="__APW_RESTORE_DATA2575__" hidden="1">#REF!,#REF!,#REF!,#REF!,#REF!,#REF!,#REF!,#REF!,#REF!,#REF!,#REF!,#REF!,#REF!,#REF!,#REF!</definedName>
    <definedName name="__APW_RESTORE_DATA2576__" hidden="1">#REF!,#REF!,#REF!,#REF!,#REF!,#REF!,#REF!,#REF!,#REF!,#REF!,#REF!,#REF!,#REF!,#REF!,#REF!</definedName>
    <definedName name="__APW_RESTORE_DATA2577__" hidden="1">#REF!,#REF!,#REF!,#REF!,#REF!,#REF!,#REF!,#REF!,#REF!,#REF!,#REF!,#REF!,#REF!,#REF!,#REF!</definedName>
    <definedName name="__APW_RESTORE_DATA2578__" hidden="1">#REF!,#REF!,#REF!,#REF!,#REF!,#REF!,#REF!,#REF!,#REF!,#REF!,#REF!,#REF!,#REF!,#REF!,#REF!</definedName>
    <definedName name="__APW_RESTORE_DATA2579__" hidden="1">#REF!,#REF!,#REF!,#REF!,#REF!,#REF!,#REF!,#REF!,#REF!,#REF!,#REF!,#REF!,#REF!,#REF!,#REF!</definedName>
    <definedName name="__APW_RESTORE_DATA258__" hidden="1">#REF!,#REF!,#REF!,#REF!,#REF!,#REF!,#REF!,#REF!,#REF!,#REF!,#REF!,#REF!,#REF!,#REF!,#REF!</definedName>
    <definedName name="__APW_RESTORE_DATA2580__" hidden="1">#REF!,#REF!,#REF!,#REF!,#REF!,#REF!,#REF!,#REF!,#REF!,#REF!,#REF!,#REF!,#REF!,#REF!,#REF!</definedName>
    <definedName name="__APW_RESTORE_DATA2581__" hidden="1">#REF!,#REF!,#REF!,#REF!,#REF!,#REF!,#REF!,#REF!,#REF!,#REF!,#REF!,#REF!,#REF!,#REF!,#REF!</definedName>
    <definedName name="__APW_RESTORE_DATA2582__" hidden="1">#REF!,#REF!,#REF!,#REF!,#REF!,#REF!,#REF!,#REF!,#REF!,#REF!,#REF!,#REF!,#REF!,#REF!,#REF!</definedName>
    <definedName name="__APW_RESTORE_DATA2583__" hidden="1">#REF!,#REF!,#REF!,#REF!,#REF!,#REF!,#REF!,#REF!,#REF!,#REF!,#REF!,#REF!,#REF!,#REF!,#REF!</definedName>
    <definedName name="__APW_RESTORE_DATA2584__" hidden="1">#REF!,#REF!,#REF!,#REF!,#REF!,#REF!,#REF!,#REF!,#REF!,#REF!,#REF!,#REF!,#REF!,#REF!,#REF!</definedName>
    <definedName name="__APW_RESTORE_DATA2585__" hidden="1">#REF!,#REF!,#REF!,#REF!,#REF!,#REF!,#REF!,#REF!,#REF!,#REF!,#REF!,#REF!,#REF!,#REF!,#REF!</definedName>
    <definedName name="__APW_RESTORE_DATA2586__" hidden="1">#REF!,#REF!,#REF!,#REF!,#REF!,#REF!,#REF!,#REF!,#REF!,#REF!,#REF!,#REF!,#REF!,#REF!,#REF!</definedName>
    <definedName name="__APW_RESTORE_DATA2587__" hidden="1">#REF!,#REF!,#REF!,#REF!,#REF!,#REF!,#REF!,#REF!,#REF!,#REF!,#REF!,#REF!,#REF!,#REF!,#REF!</definedName>
    <definedName name="__APW_RESTORE_DATA2588__" hidden="1">#REF!,#REF!,#REF!,#REF!,#REF!,#REF!,#REF!,#REF!,#REF!,#REF!,#REF!,#REF!,#REF!,#REF!,#REF!</definedName>
    <definedName name="__APW_RESTORE_DATA2589__" hidden="1">#REF!,#REF!,#REF!,#REF!,#REF!,#REF!,#REF!,#REF!,#REF!,#REF!,#REF!,#REF!,#REF!,#REF!,#REF!</definedName>
    <definedName name="__APW_RESTORE_DATA259__" hidden="1">#REF!,#REF!</definedName>
    <definedName name="__APW_RESTORE_DATA2590__" hidden="1">#REF!,#REF!,#REF!,#REF!,#REF!,#REF!,#REF!,#REF!,#REF!,#REF!,#REF!,#REF!,#REF!,#REF!,#REF!</definedName>
    <definedName name="__APW_RESTORE_DATA2591__" hidden="1">#REF!,#REF!,#REF!,#REF!,#REF!,#REF!,#REF!,#REF!,#REF!,#REF!,#REF!,#REF!,#REF!,#REF!,#REF!</definedName>
    <definedName name="__APW_RESTORE_DATA2592__" hidden="1">#REF!,#REF!,#REF!,#REF!,#REF!,#REF!,#REF!,#REF!,#REF!,#REF!,#REF!,#REF!,#REF!,#REF!,#REF!</definedName>
    <definedName name="__APW_RESTORE_DATA2593__" hidden="1">#REF!,#REF!,#REF!,#REF!,#REF!,#REF!,#REF!,#REF!,#REF!,#REF!,#REF!,#REF!,#REF!,#REF!,#REF!</definedName>
    <definedName name="__APW_RESTORE_DATA2594__" hidden="1">#REF!,#REF!,#REF!,#REF!,#REF!,#REF!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9__" hidden="1">#REF!</definedName>
    <definedName name="__APW_RESTORE_DATA26__" hidden="1">#REF!</definedName>
    <definedName name="__APW_RESTORE_DATA260__" hidden="1">#REF!,#REF!,#REF!,#REF!,#REF!,#REF!,#REF!,#REF!,#REF!,#REF!,#REF!,#REF!,#REF!,#REF!,#REF!</definedName>
    <definedName name="__APW_RESTORE_DATA2600__" hidden="1">#REF!,#REF!,#REF!,#REF!,#REF!,#REF!,#REF!,#REF!,#REF!,#REF!,#REF!,#REF!,#REF!,#REF!,#REF!,#REF!</definedName>
    <definedName name="__APW_RESTORE_DATA2601__" hidden="1">#REF!,#REF!,#REF!,#REF!,#REF!,#REF!,#REF!,#REF!,#REF!,#REF!,#REF!,#REF!,#REF!,#REF!,#REF!,#REF!</definedName>
    <definedName name="__APW_RESTORE_DATA2602__" hidden="1">#REF!,#REF!,#REF!,#REF!,#REF!,#REF!,#REF!,#REF!,#REF!,#REF!,#REF!,#REF!,#REF!,#REF!,#REF!,#REF!</definedName>
    <definedName name="__APW_RESTORE_DATA2603__" hidden="1">#REF!,#REF!,#REF!,#REF!,#REF!,#REF!,#REF!,#REF!,#REF!,#REF!,#REF!,#REF!,#REF!,#REF!,#REF!,#REF!</definedName>
    <definedName name="__APW_RESTORE_DATA2604__" hidden="1">#REF!,#REF!,#REF!,#REF!,#REF!,#REF!,#REF!,#REF!,#REF!,#REF!,#REF!,#REF!,#REF!,#REF!,#REF!,#REF!</definedName>
    <definedName name="__APW_RESTORE_DATA2605__" hidden="1">#REF!,#REF!,#REF!,#REF!,#REF!,#REF!,#REF!,#REF!,#REF!,#REF!,#REF!,#REF!,#REF!,#REF!,#REF!,#REF!</definedName>
    <definedName name="__APW_RESTORE_DATA2606__" hidden="1">#REF!,#REF!,#REF!,#REF!,#REF!,#REF!,#REF!,#REF!,#REF!,#REF!,#REF!,#REF!,#REF!,#REF!,#REF!</definedName>
    <definedName name="__APW_RESTORE_DATA2607__" hidden="1">#REF!,#REF!,#REF!,#REF!,#REF!,#REF!,#REF!,#REF!,#REF!,#REF!,#REF!,#REF!,#REF!,#REF!,#REF!</definedName>
    <definedName name="__APW_RESTORE_DATA2608__" hidden="1">#REF!,#REF!,#REF!,#REF!,#REF!,#REF!,#REF!,#REF!,#REF!,#REF!,#REF!,#REF!,#REF!,#REF!,#REF!</definedName>
    <definedName name="__APW_RESTORE_DATA2609__" hidden="1">#REF!,#REF!,#REF!,#REF!,#REF!,#REF!,#REF!,#REF!,#REF!,#REF!,#REF!,#REF!,#REF!,#REF!,#REF!</definedName>
    <definedName name="__APW_RESTORE_DATA261__" hidden="1">#REF!,#REF!,#REF!,#REF!,#REF!,#REF!,#REF!,#REF!,#REF!,#REF!,#REF!,#REF!,#REF!,#REF!,#REF!</definedName>
    <definedName name="__APW_RESTORE_DATA2610__" hidden="1">#REF!,#REF!,#REF!,#REF!,#REF!,#REF!,#REF!,#REF!,#REF!,#REF!,#REF!,#REF!,#REF!,#REF!,#REF!</definedName>
    <definedName name="__APW_RESTORE_DATA2611__" hidden="1">#REF!,#REF!,#REF!,#REF!,#REF!,#REF!,#REF!,#REF!,#REF!,#REF!,#REF!,#REF!,#REF!,#REF!,#REF!</definedName>
    <definedName name="__APW_RESTORE_DATA2612__" hidden="1">#REF!,#REF!,#REF!,#REF!,#REF!,#REF!,#REF!,#REF!,#REF!,#REF!,#REF!,#REF!,#REF!,#REF!,#REF!</definedName>
    <definedName name="__APW_RESTORE_DATA2613__" hidden="1">#REF!,#REF!,#REF!,#REF!,#REF!,#REF!,#REF!,#REF!,#REF!,#REF!,#REF!,#REF!,#REF!,#REF!,#REF!</definedName>
    <definedName name="__APW_RESTORE_DATA2614__" hidden="1">#REF!,#REF!,#REF!,#REF!,#REF!,#REF!,#REF!,#REF!,#REF!,#REF!,#REF!,#REF!,#REF!,#REF!,#REF!</definedName>
    <definedName name="__APW_RESTORE_DATA2615__" hidden="1">#REF!,#REF!,#REF!,#REF!,#REF!,#REF!,#REF!,#REF!,#REF!,#REF!,#REF!,#REF!,#REF!,#REF!,#REF!</definedName>
    <definedName name="__APW_RESTORE_DATA2616__" hidden="1">#REF!,#REF!,#REF!,#REF!,#REF!,#REF!,#REF!,#REF!,#REF!,#REF!,#REF!,#REF!,#REF!,#REF!,#REF!</definedName>
    <definedName name="__APW_RESTORE_DATA2617__" hidden="1">#REF!,#REF!,#REF!,#REF!,#REF!,#REF!,#REF!,#REF!,#REF!,#REF!,#REF!,#REF!,#REF!,#REF!,#REF!</definedName>
    <definedName name="__APW_RESTORE_DATA2618__" hidden="1">#REF!,#REF!,#REF!,#REF!,#REF!,#REF!,#REF!,#REF!,#REF!,#REF!,#REF!,#REF!,#REF!,#REF!,#REF!</definedName>
    <definedName name="__APW_RESTORE_DATA2619__" hidden="1">#REF!,#REF!,#REF!,#REF!,#REF!,#REF!,#REF!,#REF!,#REF!,#REF!,#REF!,#REF!,#REF!,#REF!,#REF!</definedName>
    <definedName name="__APW_RESTORE_DATA262__" hidden="1">#REF!,#REF!,#REF!,#REF!,#REF!,#REF!,#REF!,#REF!,#REF!,#REF!,#REF!,#REF!,#REF!,#REF!,#REF!</definedName>
    <definedName name="__APW_RESTORE_DATA2620__" hidden="1">#REF!,#REF!,#REF!,#REF!,#REF!,#REF!,#REF!,#REF!,#REF!,#REF!,#REF!,#REF!,#REF!,#REF!,#REF!</definedName>
    <definedName name="__APW_RESTORE_DATA2621__" hidden="1">#REF!,#REF!,#REF!,#REF!,#REF!,#REF!,#REF!,#REF!,#REF!,#REF!,#REF!,#REF!,#REF!,#REF!,#REF!</definedName>
    <definedName name="__APW_RESTORE_DATA2622__" hidden="1">#REF!,#REF!,#REF!,#REF!,#REF!,#REF!,#REF!,#REF!,#REF!,#REF!,#REF!,#REF!,#REF!,#REF!,#REF!</definedName>
    <definedName name="__APW_RESTORE_DATA2623__" hidden="1">#REF!,#REF!,#REF!,#REF!,#REF!,#REF!,#REF!,#REF!,#REF!,#REF!,#REF!,#REF!,#REF!,#REF!,#REF!</definedName>
    <definedName name="__APW_RESTORE_DATA2624__" hidden="1">#REF!,#REF!,#REF!,#REF!,#REF!,#REF!,#REF!,#REF!,#REF!,#REF!,#REF!,#REF!,#REF!,#REF!,#REF!</definedName>
    <definedName name="__APW_RESTORE_DATA2625__" hidden="1">#REF!,#REF!,#REF!,#REF!,#REF!,#REF!,#REF!,#REF!,#REF!,#REF!,#REF!,#REF!,#REF!,#REF!,#REF!</definedName>
    <definedName name="__APW_RESTORE_DATA2626__" hidden="1">#REF!,#REF!,#REF!,#REF!,#REF!,#REF!,#REF!,#REF!,#REF!,#REF!,#REF!,#REF!,#REF!,#REF!,#REF!</definedName>
    <definedName name="__APW_RESTORE_DATA2627__" hidden="1">#REF!,#REF!,#REF!,#REF!,#REF!,#REF!,#REF!,#REF!,#REF!,#REF!,#REF!,#REF!,#REF!,#REF!,#REF!</definedName>
    <definedName name="__APW_RESTORE_DATA2628__" hidden="1">#REF!,#REF!,#REF!,#REF!,#REF!,#REF!,#REF!,#REF!,#REF!,#REF!,#REF!,#REF!,#REF!,#REF!,#REF!</definedName>
    <definedName name="__APW_RESTORE_DATA2629__" hidden="1">#REF!,#REF!,#REF!,#REF!,#REF!,#REF!,#REF!,#REF!,#REF!,#REF!,#REF!,#REF!,#REF!,#REF!,#REF!</definedName>
    <definedName name="__APW_RESTORE_DATA263__" hidden="1">#REF!,#REF!,#REF!,#REF!,#REF!,#REF!,#REF!,#REF!,#REF!,#REF!,#REF!,#REF!,#REF!,#REF!,#REF!</definedName>
    <definedName name="__APW_RESTORE_DATA2630__" hidden="1">#REF!,#REF!,#REF!,#REF!,#REF!,#REF!,#REF!,#REF!,#REF!,#REF!,#REF!,#REF!,#REF!,#REF!,#REF!</definedName>
    <definedName name="__APW_RESTORE_DATA2631__" hidden="1">#REF!,#REF!,#REF!,#REF!,#REF!,#REF!,#REF!,#REF!,#REF!,#REF!,#REF!,#REF!,#REF!,#REF!,#REF!</definedName>
    <definedName name="__APW_RESTORE_DATA2632__" hidden="1">#REF!,#REF!,#REF!,#REF!,#REF!,#REF!,#REF!,#REF!,#REF!,#REF!,#REF!,#REF!,#REF!,#REF!,#REF!</definedName>
    <definedName name="__APW_RESTORE_DATA2633__" hidden="1">#REF!,#REF!,#REF!,#REF!,#REF!,#REF!,#REF!,#REF!,#REF!,#REF!,#REF!,#REF!,#REF!,#REF!,#REF!</definedName>
    <definedName name="__APW_RESTORE_DATA2634__" hidden="1">#REF!,#REF!,#REF!,#REF!,#REF!,#REF!</definedName>
    <definedName name="__APW_RESTORE_DATA2635__" hidden="1">#REF!,#REF!,#REF!,#REF!,#REF!,#REF!,#REF!,#REF!,#REF!,#REF!,#REF!,#REF!,#REF!,#REF!,#REF!,#REF!</definedName>
    <definedName name="__APW_RESTORE_DATA2636__" hidden="1">#REF!,#REF!,#REF!,#REF!,#REF!,#REF!,#REF!,#REF!,#REF!,#REF!,#REF!,#REF!,#REF!,#REF!,#REF!,#REF!</definedName>
    <definedName name="__APW_RESTORE_DATA2637__" hidden="1">#REF!,#REF!,#REF!,#REF!,#REF!,#REF!,#REF!,#REF!,#REF!,#REF!,#REF!,#REF!,#REF!,#REF!,#REF!,#REF!</definedName>
    <definedName name="__APW_RESTORE_DATA2638__" hidden="1">#REF!,#REF!,#REF!,#REF!,#REF!,#REF!,#REF!,#REF!,#REF!,#REF!,#REF!,#REF!,#REF!,#REF!,#REF!,#REF!</definedName>
    <definedName name="__APW_RESTORE_DATA2639__" hidden="1">#REF!,#REF!,#REF!,#REF!,#REF!,#REF!,#REF!,#REF!,#REF!,#REF!,#REF!,#REF!,#REF!,#REF!,#REF!,#REF!</definedName>
    <definedName name="__APW_RESTORE_DATA264__" hidden="1">#REF!,#REF!,#REF!,#REF!,#REF!,#REF!,#REF!,#REF!,#REF!,#REF!,#REF!,#REF!,#REF!,#REF!,#REF!</definedName>
    <definedName name="__APW_RESTORE_DATA2640__" hidden="1">#REF!,#REF!,#REF!,#REF!,#REF!,#REF!,#REF!,#REF!,#REF!,#REF!,#REF!,#REF!,#REF!,#REF!,#REF!,#REF!</definedName>
    <definedName name="__APW_RESTORE_DATA2641__" hidden="1">#REF!,#REF!,#REF!,#REF!,#REF!,#REF!,#REF!,#REF!,#REF!,#REF!,#REF!,#REF!,#REF!,#REF!,#REF!</definedName>
    <definedName name="__APW_RESTORE_DATA2642__" hidden="1">#REF!,#REF!,#REF!,#REF!,#REF!,#REF!,#REF!,#REF!,#REF!,#REF!,#REF!,#REF!,#REF!,#REF!,#REF!</definedName>
    <definedName name="__APW_RESTORE_DATA2643__" hidden="1">#REF!,#REF!,#REF!,#REF!,#REF!,#REF!,#REF!,#REF!,#REF!,#REF!,#REF!,#REF!,#REF!,#REF!,#REF!</definedName>
    <definedName name="__APW_RESTORE_DATA2644__" hidden="1">#REF!,#REF!,#REF!,#REF!,#REF!,#REF!,#REF!,#REF!,#REF!,#REF!,#REF!,#REF!,#REF!,#REF!,#REF!</definedName>
    <definedName name="__APW_RESTORE_DATA2645__" hidden="1">#REF!,#REF!,#REF!,#REF!,#REF!,#REF!,#REF!,#REF!,#REF!,#REF!,#REF!,#REF!,#REF!,#REF!,#REF!</definedName>
    <definedName name="__APW_RESTORE_DATA2646__" hidden="1">#REF!,#REF!,#REF!,#REF!,#REF!,#REF!,#REF!,#REF!,#REF!,#REF!,#REF!,#REF!,#REF!,#REF!,#REF!</definedName>
    <definedName name="__APW_RESTORE_DATA2647__" hidden="1">#REF!,#REF!,#REF!,#REF!,#REF!,#REF!,#REF!,#REF!,#REF!,#REF!,#REF!,#REF!,#REF!,#REF!,#REF!</definedName>
    <definedName name="__APW_RESTORE_DATA2648__" hidden="1">#REF!,#REF!,#REF!,#REF!,#REF!,#REF!,#REF!,#REF!,#REF!,#REF!,#REF!,#REF!,#REF!,#REF!,#REF!</definedName>
    <definedName name="__APW_RESTORE_DATA2649__" hidden="1">#REF!,#REF!,#REF!,#REF!,#REF!,#REF!,#REF!,#REF!,#REF!,#REF!,#REF!,#REF!,#REF!,#REF!,#REF!</definedName>
    <definedName name="__APW_RESTORE_DATA265__" hidden="1">#REF!,#REF!,#REF!,#REF!,#REF!,#REF!,#REF!,#REF!,#REF!,#REF!,#REF!,#REF!,#REF!,#REF!,#REF!</definedName>
    <definedName name="__APW_RESTORE_DATA2650__" hidden="1">#REF!,#REF!,#REF!,#REF!,#REF!,#REF!,#REF!,#REF!,#REF!,#REF!,#REF!,#REF!,#REF!,#REF!,#REF!</definedName>
    <definedName name="__APW_RESTORE_DATA2651__" hidden="1">#REF!,#REF!,#REF!,#REF!,#REF!,#REF!,#REF!,#REF!,#REF!,#REF!,#REF!,#REF!,#REF!,#REF!,#REF!</definedName>
    <definedName name="__APW_RESTORE_DATA2652__" hidden="1">#REF!,#REF!,#REF!,#REF!,#REF!,#REF!,#REF!,#REF!,#REF!,#REF!,#REF!,#REF!,#REF!,#REF!,#REF!</definedName>
    <definedName name="__APW_RESTORE_DATA2653__" hidden="1">#REF!,#REF!,#REF!,#REF!,#REF!,#REF!,#REF!,#REF!,#REF!,#REF!,#REF!,#REF!,#REF!,#REF!,#REF!</definedName>
    <definedName name="__APW_RESTORE_DATA2654__" hidden="1">#REF!,#REF!,#REF!,#REF!,#REF!,#REF!,#REF!,#REF!,#REF!,#REF!,#REF!,#REF!,#REF!,#REF!,#REF!</definedName>
    <definedName name="__APW_RESTORE_DATA2655__" hidden="1">#REF!,#REF!,#REF!,#REF!,#REF!,#REF!,#REF!,#REF!,#REF!,#REF!,#REF!,#REF!,#REF!,#REF!,#REF!</definedName>
    <definedName name="__APW_RESTORE_DATA2656__" hidden="1">#REF!,#REF!,#REF!,#REF!,#REF!,#REF!,#REF!,#REF!,#REF!,#REF!,#REF!,#REF!,#REF!,#REF!,#REF!</definedName>
    <definedName name="__APW_RESTORE_DATA2657__" hidden="1">#REF!,#REF!,#REF!,#REF!,#REF!,#REF!,#REF!,#REF!,#REF!,#REF!,#REF!,#REF!,#REF!,#REF!,#REF!</definedName>
    <definedName name="__APW_RESTORE_DATA2658__" hidden="1">#REF!,#REF!,#REF!,#REF!,#REF!,#REF!,#REF!,#REF!,#REF!,#REF!,#REF!,#REF!,#REF!,#REF!,#REF!</definedName>
    <definedName name="__APW_RESTORE_DATA2659__" hidden="1">#REF!,#REF!,#REF!,#REF!,#REF!,#REF!,#REF!,#REF!,#REF!,#REF!,#REF!,#REF!,#REF!,#REF!,#REF!</definedName>
    <definedName name="__APW_RESTORE_DATA266__" hidden="1">#REF!,#REF!,#REF!,#REF!,#REF!,#REF!,#REF!,#REF!,#REF!,#REF!,#REF!,#REF!,#REF!,#REF!,#REF!</definedName>
    <definedName name="__APW_RESTORE_DATA2660__" hidden="1">#REF!,#REF!,#REF!,#REF!,#REF!,#REF!,#REF!,#REF!,#REF!,#REF!,#REF!,#REF!,#REF!,#REF!,#REF!</definedName>
    <definedName name="__APW_RESTORE_DATA2661__" hidden="1">#REF!,#REF!,#REF!,#REF!,#REF!,#REF!,#REF!,#REF!,#REF!,#REF!,#REF!,#REF!,#REF!,#REF!,#REF!</definedName>
    <definedName name="__APW_RESTORE_DATA2662__" hidden="1">#REF!,#REF!,#REF!,#REF!,#REF!,#REF!,#REF!,#REF!,#REF!,#REF!,#REF!,#REF!,#REF!,#REF!,#REF!</definedName>
    <definedName name="__APW_RESTORE_DATA2663__" hidden="1">#REF!,#REF!,#REF!,#REF!,#REF!,#REF!,#REF!,#REF!,#REF!,#REF!,#REF!,#REF!,#REF!,#REF!,#REF!</definedName>
    <definedName name="__APW_RESTORE_DATA2664__" hidden="1">#REF!,#REF!,#REF!,#REF!,#REF!,#REF!,#REF!,#REF!,#REF!,#REF!,#REF!,#REF!,#REF!,#REF!,#REF!</definedName>
    <definedName name="__APW_RESTORE_DATA2665__" hidden="1">#REF!,#REF!,#REF!,#REF!,#REF!,#REF!,#REF!,#REF!,#REF!,#REF!,#REF!,#REF!,#REF!,#REF!,#REF!</definedName>
    <definedName name="__APW_RESTORE_DATA2666__" hidden="1">#REF!,#REF!,#REF!,#REF!,#REF!,#REF!,#REF!,#REF!,#REF!,#REF!,#REF!,#REF!,#REF!,#REF!,#REF!</definedName>
    <definedName name="__APW_RESTORE_DATA2667__" hidden="1">#REF!,#REF!,#REF!,#REF!,#REF!,#REF!,#REF!,#REF!,#REF!,#REF!,#REF!,#REF!,#REF!,#REF!,#REF!</definedName>
    <definedName name="__APW_RESTORE_DATA2668__" hidden="1">#REF!,#REF!,#REF!,#REF!,#REF!,#REF!,#REF!,#REF!,#REF!,#REF!,#REF!,#REF!,#REF!,#REF!,#REF!</definedName>
    <definedName name="__APW_RESTORE_DATA2669__" hidden="1">#REF!,#REF!,#REF!,#REF!,#REF!,#REF!</definedName>
    <definedName name="__APW_RESTORE_DATA267__" hidden="1">#REF!,#REF!,#REF!,#REF!,#REF!,#REF!,#REF!,#REF!,#REF!,#REF!,#REF!,#REF!,#REF!,#REF!,#REF!</definedName>
    <definedName name="__APW_RESTORE_DATA2670__" hidden="1">#REF!,#REF!,#REF!,#REF!,#REF!,#REF!,#REF!,#REF!,#REF!,#REF!,#REF!,#REF!,#REF!,#REF!,#REF!,#REF!</definedName>
    <definedName name="__APW_RESTORE_DATA2671__" hidden="1">#REF!,#REF!,#REF!,#REF!,#REF!,#REF!,#REF!,#REF!,#REF!,#REF!,#REF!,#REF!,#REF!,#REF!,#REF!,#REF!</definedName>
    <definedName name="__APW_RESTORE_DATA2672__" hidden="1">#REF!,#REF!,#REF!,#REF!,#REF!,#REF!,#REF!,#REF!,#REF!,#REF!,#REF!,#REF!,#REF!,#REF!,#REF!,#REF!</definedName>
    <definedName name="__APW_RESTORE_DATA2673__" hidden="1">#REF!,#REF!,#REF!,#REF!,#REF!,#REF!,#REF!,#REF!,#REF!,#REF!,#REF!,#REF!,#REF!,#REF!,#REF!,#REF!</definedName>
    <definedName name="__APW_RESTORE_DATA2674__" hidden="1">#REF!,#REF!,#REF!,#REF!,#REF!,#REF!,#REF!,#REF!,#REF!,#REF!,#REF!,#REF!,#REF!,#REF!,#REF!,#REF!</definedName>
    <definedName name="__APW_RESTORE_DATA2675__" hidden="1">#REF!,#REF!,#REF!,#REF!,#REF!,#REF!,#REF!,#REF!,#REF!,#REF!,#REF!,#REF!,#REF!,#REF!,#REF!,#REF!</definedName>
    <definedName name="__APW_RESTORE_DATA2676__" hidden="1">#REF!,#REF!,#REF!,#REF!,#REF!,#REF!,#REF!,#REF!,#REF!,#REF!,#REF!,#REF!,#REF!,#REF!,#REF!</definedName>
    <definedName name="__APW_RESTORE_DATA2677__" hidden="1">#REF!,#REF!,#REF!,#REF!,#REF!,#REF!,#REF!,#REF!,#REF!,#REF!,#REF!,#REF!,#REF!,#REF!,#REF!</definedName>
    <definedName name="__APW_RESTORE_DATA2678__" hidden="1">#REF!,#REF!,#REF!,#REF!,#REF!,#REF!,#REF!,#REF!,#REF!,#REF!,#REF!,#REF!,#REF!,#REF!,#REF!</definedName>
    <definedName name="__APW_RESTORE_DATA2679__" hidden="1">#REF!,#REF!,#REF!,#REF!,#REF!,#REF!,#REF!,#REF!,#REF!,#REF!,#REF!,#REF!,#REF!,#REF!,#REF!</definedName>
    <definedName name="__APW_RESTORE_DATA268__" hidden="1">#REF!,#REF!,#REF!,#REF!,#REF!,#REF!,#REF!,#REF!,#REF!,#REF!,#REF!,#REF!,#REF!,#REF!,#REF!</definedName>
    <definedName name="__APW_RESTORE_DATA2680__" hidden="1">#REF!,#REF!,#REF!,#REF!,#REF!,#REF!,#REF!,#REF!,#REF!,#REF!,#REF!,#REF!,#REF!,#REF!,#REF!</definedName>
    <definedName name="__APW_RESTORE_DATA2681__" hidden="1">#REF!,#REF!,#REF!,#REF!,#REF!,#REF!,#REF!,#REF!,#REF!,#REF!,#REF!,#REF!,#REF!,#REF!,#REF!</definedName>
    <definedName name="__APW_RESTORE_DATA2682__" hidden="1">#REF!,#REF!,#REF!,#REF!,#REF!,#REF!,#REF!,#REF!,#REF!,#REF!,#REF!,#REF!,#REF!,#REF!,#REF!</definedName>
    <definedName name="__APW_RESTORE_DATA2683__" hidden="1">#REF!,#REF!,#REF!,#REF!,#REF!,#REF!,#REF!,#REF!,#REF!,#REF!,#REF!,#REF!,#REF!,#REF!,#REF!</definedName>
    <definedName name="__APW_RESTORE_DATA2684__" hidden="1">#REF!,#REF!,#REF!,#REF!,#REF!,#REF!,#REF!,#REF!,#REF!,#REF!,#REF!,#REF!,#REF!,#REF!,#REF!</definedName>
    <definedName name="__APW_RESTORE_DATA2685__" hidden="1">#REF!,#REF!,#REF!,#REF!,#REF!,#REF!,#REF!,#REF!,#REF!,#REF!,#REF!,#REF!,#REF!,#REF!,#REF!</definedName>
    <definedName name="__APW_RESTORE_DATA2686__" hidden="1">#REF!,#REF!,#REF!,#REF!,#REF!,#REF!,#REF!,#REF!,#REF!,#REF!,#REF!,#REF!,#REF!,#REF!,#REF!</definedName>
    <definedName name="__APW_RESTORE_DATA2687__" hidden="1">#REF!,#REF!,#REF!,#REF!,#REF!,#REF!,#REF!,#REF!,#REF!,#REF!,#REF!,#REF!,#REF!,#REF!,#REF!</definedName>
    <definedName name="__APW_RESTORE_DATA2688__" hidden="1">#REF!,#REF!,#REF!,#REF!,#REF!,#REF!,#REF!,#REF!,#REF!,#REF!,#REF!,#REF!,#REF!,#REF!,#REF!</definedName>
    <definedName name="__APW_RESTORE_DATA2689__" hidden="1">#REF!,#REF!,#REF!,#REF!,#REF!,#REF!,#REF!,#REF!,#REF!,#REF!,#REF!,#REF!,#REF!,#REF!,#REF!</definedName>
    <definedName name="__APW_RESTORE_DATA269__" hidden="1">#REF!,#REF!,#REF!,#REF!,#REF!,#REF!,#REF!,#REF!,#REF!,#REF!,#REF!,#REF!,#REF!,#REF!,#REF!</definedName>
    <definedName name="__APW_RESTORE_DATA2690__" hidden="1">#REF!,#REF!,#REF!,#REF!,#REF!,#REF!,#REF!,#REF!,#REF!,#REF!,#REF!,#REF!,#REF!,#REF!,#REF!</definedName>
    <definedName name="__APW_RESTORE_DATA2691__" hidden="1">#REF!,#REF!,#REF!,#REF!,#REF!,#REF!,#REF!,#REF!,#REF!,#REF!,#REF!,#REF!,#REF!,#REF!,#REF!</definedName>
    <definedName name="__APW_RESTORE_DATA2692__" hidden="1">#REF!,#REF!,#REF!,#REF!,#REF!,#REF!,#REF!,#REF!,#REF!,#REF!,#REF!,#REF!,#REF!,#REF!,#REF!</definedName>
    <definedName name="__APW_RESTORE_DATA2693__" hidden="1">#REF!,#REF!,#REF!,#REF!,#REF!,#REF!,#REF!,#REF!,#REF!,#REF!,#REF!,#REF!,#REF!,#REF!,#REF!</definedName>
    <definedName name="__APW_RESTORE_DATA2694__" hidden="1">#REF!,#REF!,#REF!,#REF!,#REF!,#REF!,#REF!,#REF!,#REF!,#REF!,#REF!,#REF!,#REF!,#REF!,#REF!</definedName>
    <definedName name="__APW_RESTORE_DATA2695__" hidden="1">#REF!,#REF!,#REF!,#REF!,#REF!,#REF!,#REF!,#REF!,#REF!,#REF!,#REF!,#REF!,#REF!,#REF!,#REF!</definedName>
    <definedName name="__APW_RESTORE_DATA2696__" hidden="1">#REF!,#REF!,#REF!,#REF!,#REF!,#REF!,#REF!,#REF!,#REF!,#REF!,#REF!,#REF!,#REF!,#REF!,#REF!</definedName>
    <definedName name="__APW_RESTORE_DATA2697__" hidden="1">#REF!,#REF!,#REF!,#REF!,#REF!,#REF!,#REF!,#REF!,#REF!,#REF!,#REF!,#REF!,#REF!,#REF!,#REF!</definedName>
    <definedName name="__APW_RESTORE_DATA2698__" hidden="1">#REF!,#REF!,#REF!,#REF!,#REF!,#REF!,#REF!,#REF!,#REF!,#REF!,#REF!,#REF!,#REF!,#REF!,#REF!</definedName>
    <definedName name="__APW_RESTORE_DATA2699__" hidden="1">#REF!,#REF!,#REF!,#REF!,#REF!,#REF!,#REF!,#REF!,#REF!,#REF!,#REF!,#REF!,#REF!,#REF!,#REF!</definedName>
    <definedName name="__APW_RESTORE_DATA27__" hidden="1">#REF!</definedName>
    <definedName name="__APW_RESTORE_DATA270__" hidden="1">#REF!,#REF!,#REF!,#REF!,#REF!,#REF!,#REF!,#REF!,#REF!,#REF!,#REF!,#REF!,#REF!,#REF!,#REF!</definedName>
    <definedName name="__APW_RESTORE_DATA2700__" hidden="1">#REF!,#REF!,#REF!,#REF!,#REF!,#REF!,#REF!,#REF!,#REF!,#REF!,#REF!,#REF!,#REF!,#REF!,#REF!</definedName>
    <definedName name="__APW_RESTORE_DATA2701__" hidden="1">#REF!,#REF!,#REF!,#REF!,#REF!,#REF!,#REF!,#REF!,#REF!,#REF!,#REF!,#REF!,#REF!,#REF!,#REF!</definedName>
    <definedName name="__APW_RESTORE_DATA2702__" hidden="1">#REF!,#REF!,#REF!,#REF!,#REF!,#REF!,#REF!,#REF!,#REF!,#REF!,#REF!,#REF!,#REF!,#REF!,#REF!</definedName>
    <definedName name="__APW_RESTORE_DATA2703__" hidden="1">#REF!,#REF!,#REF!,#REF!,#REF!,#REF!,#REF!,#REF!,#REF!,#REF!,#REF!,#REF!,#REF!,#REF!,#REF!</definedName>
    <definedName name="__APW_RESTORE_DATA2704__" hidden="1">#REF!,#REF!,#REF!,#REF!,#REF!,#REF!</definedName>
    <definedName name="__APW_RESTORE_DATA2705__" hidden="1">#REF!,#REF!,#REF!,#REF!,#REF!,#REF!,#REF!,#REF!,#REF!,#REF!,#REF!,#REF!,#REF!,#REF!,#REF!,#REF!</definedName>
    <definedName name="__APW_RESTORE_DATA2706__" hidden="1">#REF!,#REF!,#REF!,#REF!,#REF!,#REF!,#REF!,#REF!,#REF!,#REF!,#REF!,#REF!,#REF!,#REF!,#REF!,#REF!</definedName>
    <definedName name="__APW_RESTORE_DATA2707__" hidden="1">#REF!,#REF!,#REF!,#REF!,#REF!,#REF!,#REF!,#REF!,#REF!,#REF!,#REF!,#REF!,#REF!,#REF!,#REF!,#REF!</definedName>
    <definedName name="__APW_RESTORE_DATA2708__" hidden="1">#REF!,#REF!,#REF!,#REF!,#REF!,#REF!,#REF!,#REF!,#REF!,#REF!,#REF!,#REF!,#REF!,#REF!,#REF!,#REF!</definedName>
    <definedName name="__APW_RESTORE_DATA2709__" hidden="1">#REF!,#REF!,#REF!,#REF!,#REF!,#REF!,#REF!,#REF!,#REF!,#REF!,#REF!,#REF!,#REF!,#REF!,#REF!,#REF!</definedName>
    <definedName name="__APW_RESTORE_DATA271__" hidden="1">#REF!,#REF!,#REF!,#REF!,#REF!,#REF!,#REF!,#REF!,#REF!,#REF!,#REF!,#REF!,#REF!,#REF!,#REF!</definedName>
    <definedName name="__APW_RESTORE_DATA2710__" hidden="1">#REF!,#REF!,#REF!,#REF!,#REF!,#REF!,#REF!,#REF!,#REF!,#REF!,#REF!,#REF!,#REF!,#REF!,#REF!,#REF!</definedName>
    <definedName name="__APW_RESTORE_DATA2711__" hidden="1">#REF!,#REF!,#REF!,#REF!,#REF!,#REF!,#REF!,#REF!,#REF!,#REF!,#REF!,#REF!,#REF!,#REF!,#REF!</definedName>
    <definedName name="__APW_RESTORE_DATA2712__" hidden="1">#REF!,#REF!,#REF!,#REF!,#REF!,#REF!,#REF!,#REF!,#REF!,#REF!,#REF!,#REF!,#REF!,#REF!,#REF!</definedName>
    <definedName name="__APW_RESTORE_DATA2713__" hidden="1">#REF!,#REF!,#REF!,#REF!,#REF!,#REF!,#REF!,#REF!,#REF!,#REF!,#REF!,#REF!,#REF!,#REF!,#REF!</definedName>
    <definedName name="__APW_RESTORE_DATA2714__" hidden="1">#REF!,#REF!,#REF!,#REF!,#REF!,#REF!,#REF!,#REF!,#REF!,#REF!,#REF!,#REF!,#REF!,#REF!,#REF!</definedName>
    <definedName name="__APW_RESTORE_DATA2715__" hidden="1">#REF!,#REF!,#REF!,#REF!,#REF!,#REF!,#REF!,#REF!,#REF!,#REF!,#REF!,#REF!,#REF!,#REF!,#REF!</definedName>
    <definedName name="__APW_RESTORE_DATA2716__" hidden="1">#REF!,#REF!,#REF!,#REF!,#REF!,#REF!,#REF!,#REF!,#REF!,#REF!,#REF!,#REF!,#REF!,#REF!,#REF!</definedName>
    <definedName name="__APW_RESTORE_DATA2717__" hidden="1">#REF!,#REF!,#REF!,#REF!,#REF!,#REF!,#REF!,#REF!,#REF!,#REF!,#REF!,#REF!,#REF!,#REF!,#REF!</definedName>
    <definedName name="__APW_RESTORE_DATA2718__" hidden="1">#REF!,#REF!,#REF!,#REF!,#REF!,#REF!,#REF!,#REF!,#REF!,#REF!,#REF!,#REF!,#REF!,#REF!,#REF!</definedName>
    <definedName name="__APW_RESTORE_DATA2719__" hidden="1">#REF!,#REF!,#REF!,#REF!,#REF!,#REF!,#REF!,#REF!,#REF!,#REF!,#REF!,#REF!,#REF!,#REF!,#REF!</definedName>
    <definedName name="__APW_RESTORE_DATA272__" hidden="1">#REF!,#REF!,#REF!,#REF!,#REF!,#REF!,#REF!,#REF!,#REF!,#REF!,#REF!,#REF!,#REF!,#REF!,#REF!</definedName>
    <definedName name="__APW_RESTORE_DATA2720__" hidden="1">#REF!,#REF!,#REF!,#REF!,#REF!,#REF!,#REF!,#REF!,#REF!,#REF!,#REF!,#REF!,#REF!,#REF!,#REF!</definedName>
    <definedName name="__APW_RESTORE_DATA2721__" hidden="1">#REF!,#REF!,#REF!,#REF!,#REF!,#REF!,#REF!,#REF!,#REF!,#REF!,#REF!,#REF!,#REF!,#REF!,#REF!</definedName>
    <definedName name="__APW_RESTORE_DATA2722__" hidden="1">#REF!,#REF!,#REF!,#REF!,#REF!,#REF!,#REF!,#REF!,#REF!,#REF!,#REF!,#REF!,#REF!,#REF!,#REF!</definedName>
    <definedName name="__APW_RESTORE_DATA2723__" hidden="1">#REF!,#REF!,#REF!,#REF!,#REF!,#REF!,#REF!,#REF!,#REF!,#REF!,#REF!,#REF!,#REF!,#REF!,#REF!</definedName>
    <definedName name="__APW_RESTORE_DATA2724__" hidden="1">#REF!,#REF!,#REF!,#REF!,#REF!,#REF!,#REF!,#REF!,#REF!,#REF!,#REF!,#REF!,#REF!,#REF!,#REF!</definedName>
    <definedName name="__APW_RESTORE_DATA2725__" hidden="1">#REF!,#REF!,#REF!,#REF!,#REF!,#REF!,#REF!,#REF!,#REF!,#REF!,#REF!,#REF!,#REF!,#REF!,#REF!</definedName>
    <definedName name="__APW_RESTORE_DATA2726__" hidden="1">#REF!,#REF!,#REF!,#REF!,#REF!,#REF!,#REF!,#REF!,#REF!,#REF!,#REF!,#REF!,#REF!,#REF!,#REF!</definedName>
    <definedName name="__APW_RESTORE_DATA2727__" hidden="1">#REF!,#REF!,#REF!,#REF!,#REF!,#REF!,#REF!,#REF!,#REF!,#REF!,#REF!,#REF!,#REF!,#REF!,#REF!</definedName>
    <definedName name="__APW_RESTORE_DATA2728__" hidden="1">#REF!,#REF!,#REF!,#REF!,#REF!,#REF!,#REF!,#REF!,#REF!,#REF!,#REF!,#REF!,#REF!,#REF!,#REF!</definedName>
    <definedName name="__APW_RESTORE_DATA2729__" hidden="1">#REF!,#REF!,#REF!,#REF!,#REF!,#REF!,#REF!,#REF!,#REF!,#REF!,#REF!,#REF!,#REF!,#REF!,#REF!</definedName>
    <definedName name="__APW_RESTORE_DATA273__" hidden="1">#REF!,#REF!,#REF!,#REF!,#REF!,#REF!,#REF!,#REF!,#REF!,#REF!,#REF!,#REF!,#REF!,#REF!,#REF!</definedName>
    <definedName name="__APW_RESTORE_DATA2730__" hidden="1">#REF!,#REF!,#REF!,#REF!,#REF!,#REF!,#REF!,#REF!,#REF!,#REF!,#REF!,#REF!,#REF!,#REF!,#REF!</definedName>
    <definedName name="__APW_RESTORE_DATA2731__" hidden="1">#REF!,#REF!,#REF!,#REF!,#REF!,#REF!,#REF!,#REF!,#REF!,#REF!,#REF!,#REF!,#REF!,#REF!,#REF!</definedName>
    <definedName name="__APW_RESTORE_DATA2732__" hidden="1">#REF!,#REF!,#REF!,#REF!,#REF!,#REF!,#REF!,#REF!,#REF!,#REF!,#REF!,#REF!,#REF!,#REF!,#REF!</definedName>
    <definedName name="__APW_RESTORE_DATA2733__" hidden="1">#REF!,#REF!,#REF!,#REF!,#REF!,#REF!,#REF!,#REF!,#REF!,#REF!,#REF!,#REF!,#REF!,#REF!,#REF!</definedName>
    <definedName name="__APW_RESTORE_DATA2734__" hidden="1">#REF!,#REF!,#REF!,#REF!,#REF!,#REF!,#REF!,#REF!,#REF!,#REF!,#REF!,#REF!,#REF!,#REF!,#REF!</definedName>
    <definedName name="__APW_RESTORE_DATA2735__" hidden="1">#REF!,#REF!,#REF!,#REF!,#REF!,#REF!,#REF!,#REF!,#REF!,#REF!,#REF!,#REF!,#REF!,#REF!,#REF!</definedName>
    <definedName name="__APW_RESTORE_DATA2736__" hidden="1">#REF!,#REF!,#REF!,#REF!,#REF!,#REF!,#REF!,#REF!,#REF!,#REF!,#REF!,#REF!,#REF!,#REF!,#REF!</definedName>
    <definedName name="__APW_RESTORE_DATA2737__" hidden="1">#REF!,#REF!,#REF!,#REF!,#REF!,#REF!,#REF!,#REF!,#REF!,#REF!,#REF!,#REF!,#REF!,#REF!,#REF!</definedName>
    <definedName name="__APW_RESTORE_DATA2738__" hidden="1">#REF!,#REF!,#REF!,#REF!,#REF!,#REF!,#REF!,#REF!,#REF!,#REF!,#REF!,#REF!,#REF!,#REF!,#REF!</definedName>
    <definedName name="__APW_RESTORE_DATA2739__" hidden="1">#REF!,#REF!,#REF!,#REF!,#REF!,#REF!</definedName>
    <definedName name="__APW_RESTORE_DATA274__" hidden="1">#REF!,#REF!</definedName>
    <definedName name="__APW_RESTORE_DATA2740__" hidden="1">#REF!</definedName>
    <definedName name="__APW_RESTORE_DATA2741__" hidden="1">#REF!</definedName>
    <definedName name="__APW_RESTORE_DATA2742__" hidden="1">#REF!</definedName>
    <definedName name="__APW_RESTORE_DATA2744__" hidden="1">#REF!</definedName>
    <definedName name="__APW_RESTORE_DATA2745__" hidden="1">#REF!,#REF!,#REF!,#REF!,#REF!,#REF!,#REF!,#REF!,#REF!,#REF!,#REF!,#REF!,#REF!,#REF!,#REF!,#REF!</definedName>
    <definedName name="__APW_RESTORE_DATA2746__" hidden="1">#REF!,#REF!,#REF!,#REF!,#REF!,#REF!,#REF!,#REF!,#REF!,#REF!,#REF!,#REF!,#REF!,#REF!,#REF!,#REF!</definedName>
    <definedName name="__APW_RESTORE_DATA2747__" hidden="1">#REF!,#REF!,#REF!,#REF!,#REF!,#REF!,#REF!,#REF!,#REF!,#REF!,#REF!,#REF!,#REF!,#REF!,#REF!,#REF!</definedName>
    <definedName name="__APW_RESTORE_DATA2748__" hidden="1">#REF!,#REF!,#REF!,#REF!,#REF!,#REF!,#REF!,#REF!,#REF!,#REF!,#REF!,#REF!,#REF!,#REF!,#REF!,#REF!</definedName>
    <definedName name="__APW_RESTORE_DATA2749__" hidden="1">#REF!,#REF!,#REF!,#REF!,#REF!,#REF!,#REF!,#REF!,#REF!,#REF!,#REF!,#REF!,#REF!,#REF!,#REF!,#REF!</definedName>
    <definedName name="__APW_RESTORE_DATA275__" hidden="1">#REF!,#REF!</definedName>
    <definedName name="__APW_RESTORE_DATA2750__" hidden="1">#REF!,#REF!,#REF!,#REF!,#REF!,#REF!,#REF!,#REF!,#REF!,#REF!,#REF!,#REF!,#REF!,#REF!,#REF!,#REF!</definedName>
    <definedName name="__APW_RESTORE_DATA2751__" hidden="1">#REF!,#REF!,#REF!,#REF!,#REF!,#REF!,#REF!,#REF!,#REF!,#REF!,#REF!,#REF!,#REF!,#REF!,#REF!</definedName>
    <definedName name="__APW_RESTORE_DATA2752__" hidden="1">#REF!,#REF!,#REF!,#REF!,#REF!,#REF!,#REF!,#REF!,#REF!,#REF!,#REF!,#REF!,#REF!,#REF!,#REF!</definedName>
    <definedName name="__APW_RESTORE_DATA2753__" hidden="1">#REF!,#REF!,#REF!,#REF!,#REF!,#REF!,#REF!,#REF!,#REF!,#REF!,#REF!,#REF!,#REF!,#REF!,#REF!</definedName>
    <definedName name="__APW_RESTORE_DATA2754__" hidden="1">#REF!,#REF!,#REF!,#REF!,#REF!,#REF!,#REF!,#REF!,#REF!,#REF!,#REF!,#REF!,#REF!,#REF!,#REF!</definedName>
    <definedName name="__APW_RESTORE_DATA2755__" hidden="1">#REF!,#REF!,#REF!,#REF!,#REF!,#REF!,#REF!,#REF!,#REF!,#REF!,#REF!,#REF!,#REF!,#REF!,#REF!</definedName>
    <definedName name="__APW_RESTORE_DATA2756__" hidden="1">#REF!,#REF!,#REF!,#REF!,#REF!,#REF!,#REF!,#REF!,#REF!,#REF!,#REF!,#REF!,#REF!,#REF!,#REF!</definedName>
    <definedName name="__APW_RESTORE_DATA2757__" hidden="1">#REF!,#REF!,#REF!,#REF!,#REF!,#REF!,#REF!,#REF!,#REF!,#REF!,#REF!,#REF!,#REF!,#REF!,#REF!</definedName>
    <definedName name="__APW_RESTORE_DATA2758__" hidden="1">#REF!,#REF!,#REF!,#REF!,#REF!,#REF!,#REF!,#REF!,#REF!,#REF!,#REF!,#REF!,#REF!,#REF!,#REF!</definedName>
    <definedName name="__APW_RESTORE_DATA2759__" hidden="1">#REF!,#REF!,#REF!,#REF!,#REF!,#REF!,#REF!,#REF!,#REF!,#REF!,#REF!,#REF!,#REF!,#REF!,#REF!</definedName>
    <definedName name="__APW_RESTORE_DATA276__" hidden="1">#REF!,#REF!,#REF!,#REF!,#REF!,#REF!,#REF!,#REF!,#REF!,#REF!,#REF!,#REF!,#REF!,#REF!,#REF!</definedName>
    <definedName name="__APW_RESTORE_DATA2760__" hidden="1">#REF!,#REF!,#REF!,#REF!,#REF!,#REF!,#REF!,#REF!,#REF!,#REF!,#REF!,#REF!,#REF!,#REF!,#REF!</definedName>
    <definedName name="__APW_RESTORE_DATA2761__" hidden="1">#REF!,#REF!,#REF!,#REF!,#REF!,#REF!,#REF!,#REF!,#REF!,#REF!,#REF!,#REF!,#REF!,#REF!,#REF!</definedName>
    <definedName name="__APW_RESTORE_DATA2762__" hidden="1">#REF!,#REF!,#REF!,#REF!,#REF!,#REF!,#REF!,#REF!,#REF!,#REF!,#REF!,#REF!,#REF!,#REF!,#REF!</definedName>
    <definedName name="__APW_RESTORE_DATA2763__" hidden="1">#REF!,#REF!,#REF!,#REF!,#REF!,#REF!,#REF!,#REF!,#REF!,#REF!,#REF!,#REF!,#REF!,#REF!,#REF!</definedName>
    <definedName name="__APW_RESTORE_DATA2764__" hidden="1">#REF!,#REF!,#REF!,#REF!,#REF!,#REF!,#REF!,#REF!,#REF!,#REF!,#REF!,#REF!,#REF!,#REF!,#REF!</definedName>
    <definedName name="__APW_RESTORE_DATA2765__" hidden="1">#REF!,#REF!,#REF!,#REF!,#REF!,#REF!,#REF!,#REF!,#REF!,#REF!,#REF!,#REF!,#REF!,#REF!,#REF!</definedName>
    <definedName name="__APW_RESTORE_DATA2766__" hidden="1">#REF!,#REF!,#REF!,#REF!,#REF!,#REF!,#REF!,#REF!,#REF!,#REF!,#REF!,#REF!,#REF!,#REF!,#REF!</definedName>
    <definedName name="__APW_RESTORE_DATA2767__" hidden="1">#REF!,#REF!,#REF!,#REF!,#REF!,#REF!,#REF!,#REF!,#REF!,#REF!,#REF!,#REF!,#REF!,#REF!,#REF!</definedName>
    <definedName name="__APW_RESTORE_DATA2768__" hidden="1">#REF!,#REF!,#REF!,#REF!,#REF!,#REF!,#REF!,#REF!,#REF!,#REF!,#REF!,#REF!,#REF!,#REF!,#REF!</definedName>
    <definedName name="__APW_RESTORE_DATA2769__" hidden="1">#REF!,#REF!,#REF!,#REF!,#REF!,#REF!,#REF!,#REF!,#REF!,#REF!,#REF!,#REF!,#REF!,#REF!,#REF!</definedName>
    <definedName name="__APW_RESTORE_DATA277__" hidden="1">#REF!,#REF!,#REF!,#REF!,#REF!,#REF!,#REF!,#REF!,#REF!,#REF!,#REF!,#REF!,#REF!,#REF!,#REF!</definedName>
    <definedName name="__APW_RESTORE_DATA2770__" hidden="1">#REF!,#REF!,#REF!,#REF!,#REF!,#REF!,#REF!,#REF!,#REF!,#REF!,#REF!,#REF!,#REF!,#REF!,#REF!</definedName>
    <definedName name="__APW_RESTORE_DATA2771__" hidden="1">#REF!,#REF!,#REF!,#REF!,#REF!,#REF!,#REF!,#REF!,#REF!,#REF!,#REF!,#REF!,#REF!,#REF!,#REF!</definedName>
    <definedName name="__APW_RESTORE_DATA2772__" hidden="1">#REF!,#REF!,#REF!,#REF!,#REF!,#REF!,#REF!,#REF!,#REF!,#REF!,#REF!,#REF!,#REF!,#REF!,#REF!</definedName>
    <definedName name="__APW_RESTORE_DATA2773__" hidden="1">#REF!,#REF!,#REF!,#REF!,#REF!,#REF!,#REF!,#REF!,#REF!,#REF!,#REF!,#REF!,#REF!,#REF!,#REF!</definedName>
    <definedName name="__APW_RESTORE_DATA2774__" hidden="1">#REF!,#REF!,#REF!,#REF!,#REF!,#REF!,#REF!,#REF!,#REF!,#REF!,#REF!,#REF!,#REF!,#REF!,#REF!</definedName>
    <definedName name="__APW_RESTORE_DATA2775__" hidden="1">#REF!,#REF!,#REF!,#REF!,#REF!,#REF!,#REF!,#REF!,#REF!,#REF!,#REF!,#REF!,#REF!,#REF!,#REF!</definedName>
    <definedName name="__APW_RESTORE_DATA2776__" hidden="1">#REF!,#REF!,#REF!,#REF!,#REF!,#REF!,#REF!,#REF!,#REF!,#REF!,#REF!,#REF!,#REF!,#REF!,#REF!</definedName>
    <definedName name="__APW_RESTORE_DATA2777__" hidden="1">#REF!,#REF!,#REF!,#REF!,#REF!,#REF!,#REF!,#REF!,#REF!,#REF!,#REF!,#REF!,#REF!,#REF!,#REF!</definedName>
    <definedName name="__APW_RESTORE_DATA2778__" hidden="1">#REF!,#REF!,#REF!,#REF!,#REF!,#REF!,#REF!,#REF!,#REF!,#REF!,#REF!,#REF!,#REF!,#REF!,#REF!</definedName>
    <definedName name="__APW_RESTORE_DATA2779__" hidden="1">#REF!,#REF!,#REF!,#REF!,#REF!,#REF!</definedName>
    <definedName name="__APW_RESTORE_DATA278__" hidden="1">#REF!,#REF!,#REF!,#REF!,#REF!,#REF!,#REF!,#REF!,#REF!,#REF!,#REF!,#REF!,#REF!,#REF!,#REF!</definedName>
    <definedName name="__APW_RESTORE_DATA2780__" hidden="1">#REF!,#REF!,#REF!,#REF!,#REF!,#REF!,#REF!,#REF!,#REF!,#REF!,#REF!,#REF!,#REF!,#REF!,#REF!,#REF!</definedName>
    <definedName name="__APW_RESTORE_DATA2781__" hidden="1">#REF!,#REF!,#REF!,#REF!,#REF!,#REF!,#REF!,#REF!,#REF!,#REF!,#REF!,#REF!,#REF!,#REF!,#REF!,#REF!</definedName>
    <definedName name="__APW_RESTORE_DATA2782__" hidden="1">#REF!,#REF!,#REF!,#REF!,#REF!,#REF!,#REF!,#REF!,#REF!,#REF!,#REF!,#REF!,#REF!,#REF!,#REF!,#REF!</definedName>
    <definedName name="__APW_RESTORE_DATA2783__" hidden="1">#REF!,#REF!,#REF!,#REF!,#REF!,#REF!,#REF!,#REF!,#REF!,#REF!,#REF!,#REF!,#REF!,#REF!,#REF!,#REF!</definedName>
    <definedName name="__APW_RESTORE_DATA2784__" hidden="1">#REF!,#REF!,#REF!,#REF!,#REF!,#REF!,#REF!,#REF!,#REF!,#REF!,#REF!,#REF!,#REF!,#REF!,#REF!,#REF!</definedName>
    <definedName name="__APW_RESTORE_DATA2785__" hidden="1">#REF!,#REF!,#REF!,#REF!,#REF!,#REF!,#REF!,#REF!,#REF!,#REF!,#REF!,#REF!,#REF!,#REF!,#REF!,#REF!</definedName>
    <definedName name="__APW_RESTORE_DATA2786__" hidden="1">#REF!,#REF!,#REF!,#REF!,#REF!,#REF!,#REF!,#REF!,#REF!,#REF!,#REF!,#REF!,#REF!,#REF!,#REF!</definedName>
    <definedName name="__APW_RESTORE_DATA2787__" hidden="1">#REF!,#REF!,#REF!,#REF!,#REF!,#REF!,#REF!,#REF!,#REF!,#REF!,#REF!,#REF!,#REF!,#REF!,#REF!</definedName>
    <definedName name="__APW_RESTORE_DATA2788__" hidden="1">#REF!,#REF!,#REF!,#REF!,#REF!,#REF!,#REF!,#REF!,#REF!,#REF!,#REF!,#REF!,#REF!,#REF!,#REF!</definedName>
    <definedName name="__APW_RESTORE_DATA2789__" hidden="1">#REF!,#REF!,#REF!,#REF!,#REF!,#REF!,#REF!,#REF!,#REF!,#REF!,#REF!,#REF!,#REF!,#REF!,#REF!</definedName>
    <definedName name="__APW_RESTORE_DATA279__" hidden="1">#REF!,#REF!,#REF!,#REF!,#REF!,#REF!,#REF!,#REF!,#REF!,#REF!,#REF!,#REF!,#REF!,#REF!,#REF!</definedName>
    <definedName name="__APW_RESTORE_DATA2790__" hidden="1">#REF!,#REF!,#REF!,#REF!,#REF!,#REF!,#REF!,#REF!,#REF!,#REF!,#REF!,#REF!,#REF!,#REF!,#REF!</definedName>
    <definedName name="__APW_RESTORE_DATA2791__" hidden="1">#REF!,#REF!,#REF!,#REF!,#REF!,#REF!,#REF!,#REF!,#REF!,#REF!,#REF!,#REF!,#REF!,#REF!,#REF!</definedName>
    <definedName name="__APW_RESTORE_DATA2792__" hidden="1">#REF!,#REF!,#REF!,#REF!,#REF!,#REF!,#REF!,#REF!,#REF!,#REF!,#REF!,#REF!,#REF!,#REF!,#REF!</definedName>
    <definedName name="__APW_RESTORE_DATA2793__" hidden="1">#REF!,#REF!,#REF!,#REF!,#REF!,#REF!,#REF!,#REF!,#REF!,#REF!,#REF!,#REF!,#REF!,#REF!,#REF!</definedName>
    <definedName name="__APW_RESTORE_DATA2794__" hidden="1">#REF!,#REF!,#REF!,#REF!,#REF!,#REF!,#REF!,#REF!,#REF!,#REF!,#REF!,#REF!,#REF!,#REF!,#REF!</definedName>
    <definedName name="__APW_RESTORE_DATA2795__" hidden="1">#REF!,#REF!,#REF!,#REF!,#REF!,#REF!,#REF!,#REF!,#REF!,#REF!,#REF!,#REF!,#REF!,#REF!,#REF!</definedName>
    <definedName name="__APW_RESTORE_DATA2796__" hidden="1">#REF!,#REF!,#REF!,#REF!,#REF!,#REF!,#REF!,#REF!,#REF!,#REF!,#REF!,#REF!,#REF!,#REF!,#REF!</definedName>
    <definedName name="__APW_RESTORE_DATA2797__" hidden="1">#REF!,#REF!,#REF!,#REF!,#REF!,#REF!,#REF!,#REF!,#REF!,#REF!,#REF!,#REF!,#REF!,#REF!,#REF!</definedName>
    <definedName name="__APW_RESTORE_DATA2798__" hidden="1">#REF!,#REF!,#REF!,#REF!,#REF!,#REF!,#REF!,#REF!,#REF!,#REF!,#REF!,#REF!,#REF!,#REF!,#REF!</definedName>
    <definedName name="__APW_RESTORE_DATA2799__" hidden="1">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80__" hidden="1">#REF!,#REF!,#REF!,#REF!,#REF!,#REF!,#REF!,#REF!,#REF!,#REF!,#REF!,#REF!,#REF!,#REF!,#REF!</definedName>
    <definedName name="__APW_RESTORE_DATA2800__" hidden="1">#REF!,#REF!,#REF!,#REF!,#REF!,#REF!,#REF!,#REF!,#REF!,#REF!,#REF!,#REF!,#REF!,#REF!,#REF!</definedName>
    <definedName name="__APW_RESTORE_DATA2801__" hidden="1">#REF!,#REF!,#REF!,#REF!,#REF!,#REF!,#REF!,#REF!,#REF!,#REF!,#REF!,#REF!,#REF!,#REF!,#REF!</definedName>
    <definedName name="__APW_RESTORE_DATA2802__" hidden="1">#REF!,#REF!,#REF!,#REF!,#REF!,#REF!,#REF!,#REF!,#REF!,#REF!,#REF!,#REF!,#REF!,#REF!,#REF!</definedName>
    <definedName name="__APW_RESTORE_DATA2803__" hidden="1">#REF!,#REF!,#REF!,#REF!,#REF!,#REF!,#REF!,#REF!,#REF!,#REF!,#REF!,#REF!,#REF!,#REF!,#REF!</definedName>
    <definedName name="__APW_RESTORE_DATA2804__" hidden="1">#REF!,#REF!,#REF!,#REF!,#REF!,#REF!,#REF!,#REF!,#REF!,#REF!,#REF!,#REF!,#REF!,#REF!,#REF!</definedName>
    <definedName name="__APW_RESTORE_DATA2805__" hidden="1">#REF!,#REF!,#REF!,#REF!,#REF!,#REF!,#REF!,#REF!,#REF!,#REF!,#REF!,#REF!,#REF!,#REF!,#REF!</definedName>
    <definedName name="__APW_RESTORE_DATA2806__" hidden="1">#REF!,#REF!,#REF!,#REF!,#REF!,#REF!,#REF!,#REF!,#REF!,#REF!,#REF!,#REF!,#REF!,#REF!,#REF!</definedName>
    <definedName name="__APW_RESTORE_DATA2807__" hidden="1">#REF!,#REF!,#REF!,#REF!,#REF!,#REF!,#REF!,#REF!,#REF!,#REF!,#REF!,#REF!,#REF!,#REF!,#REF!</definedName>
    <definedName name="__APW_RESTORE_DATA2808__" hidden="1">#REF!,#REF!,#REF!,#REF!,#REF!,#REF!,#REF!,#REF!,#REF!,#REF!,#REF!,#REF!,#REF!,#REF!,#REF!</definedName>
    <definedName name="__APW_RESTORE_DATA2809__" hidden="1">#REF!,#REF!,#REF!,#REF!,#REF!,#REF!,#REF!,#REF!,#REF!,#REF!,#REF!,#REF!,#REF!,#REF!,#REF!</definedName>
    <definedName name="__APW_RESTORE_DATA281__" hidden="1">#REF!,#REF!,#REF!,#REF!,#REF!,#REF!,#REF!,#REF!,#REF!,#REF!,#REF!,#REF!,#REF!,#REF!,#REF!</definedName>
    <definedName name="__APW_RESTORE_DATA2810__" hidden="1">#REF!,#REF!,#REF!,#REF!,#REF!,#REF!,#REF!,#REF!,#REF!,#REF!,#REF!,#REF!,#REF!,#REF!,#REF!</definedName>
    <definedName name="__APW_RESTORE_DATA2811__" hidden="1">#REF!,#REF!,#REF!,#REF!,#REF!,#REF!,#REF!,#REF!,#REF!,#REF!,#REF!,#REF!,#REF!,#REF!,#REF!</definedName>
    <definedName name="__APW_RESTORE_DATA2812__" hidden="1">#REF!,#REF!,#REF!,#REF!,#REF!,#REF!,#REF!,#REF!,#REF!,#REF!,#REF!,#REF!,#REF!,#REF!,#REF!</definedName>
    <definedName name="__APW_RESTORE_DATA2813__" hidden="1">#REF!,#REF!,#REF!,#REF!,#REF!,#REF!,#REF!,#REF!,#REF!,#REF!,#REF!,#REF!,#REF!,#REF!,#REF!</definedName>
    <definedName name="__APW_RESTORE_DATA2814__" hidden="1">#REF!,#REF!,#REF!,#REF!,#REF!,#REF!</definedName>
    <definedName name="__APW_RESTORE_DATA2815__" hidden="1">#REF!,#REF!,#REF!,#REF!,#REF!,#REF!,#REF!,#REF!,#REF!,#REF!,#REF!,#REF!,#REF!,#REF!,#REF!,#REF!</definedName>
    <definedName name="__APW_RESTORE_DATA2816__" hidden="1">#REF!,#REF!,#REF!,#REF!,#REF!,#REF!,#REF!,#REF!,#REF!,#REF!,#REF!,#REF!,#REF!,#REF!,#REF!,#REF!</definedName>
    <definedName name="__APW_RESTORE_DATA2817__" hidden="1">#REF!,#REF!,#REF!,#REF!,#REF!,#REF!,#REF!,#REF!,#REF!,#REF!,#REF!,#REF!,#REF!,#REF!,#REF!,#REF!</definedName>
    <definedName name="__APW_RESTORE_DATA2818__" hidden="1">#REF!,#REF!,#REF!,#REF!,#REF!,#REF!,#REF!,#REF!,#REF!,#REF!,#REF!,#REF!,#REF!,#REF!,#REF!,#REF!</definedName>
    <definedName name="__APW_RESTORE_DATA2819__" hidden="1">#REF!,#REF!,#REF!,#REF!,#REF!,#REF!,#REF!,#REF!,#REF!,#REF!,#REF!,#REF!,#REF!,#REF!,#REF!,#REF!</definedName>
    <definedName name="__APW_RESTORE_DATA282__" hidden="1">#REF!,#REF!,#REF!,#REF!,#REF!,#REF!,#REF!,#REF!,#REF!,#REF!,#REF!,#REF!,#REF!,#REF!,#REF!</definedName>
    <definedName name="__APW_RESTORE_DATA2820__" hidden="1">#REF!,#REF!,#REF!,#REF!,#REF!,#REF!,#REF!,#REF!,#REF!,#REF!,#REF!,#REF!,#REF!,#REF!,#REF!,#REF!</definedName>
    <definedName name="__APW_RESTORE_DATA2821__" hidden="1">#REF!,#REF!,#REF!,#REF!,#REF!,#REF!,#REF!,#REF!,#REF!,#REF!,#REF!,#REF!,#REF!,#REF!,#REF!</definedName>
    <definedName name="__APW_RESTORE_DATA2822__" hidden="1">#REF!,#REF!,#REF!,#REF!,#REF!,#REF!,#REF!,#REF!,#REF!,#REF!,#REF!,#REF!,#REF!,#REF!,#REF!</definedName>
    <definedName name="__APW_RESTORE_DATA2823__" hidden="1">#REF!,#REF!,#REF!,#REF!,#REF!,#REF!,#REF!,#REF!,#REF!,#REF!,#REF!,#REF!,#REF!,#REF!,#REF!</definedName>
    <definedName name="__APW_RESTORE_DATA2824__" hidden="1">#REF!,#REF!,#REF!,#REF!,#REF!,#REF!,#REF!,#REF!,#REF!,#REF!,#REF!,#REF!,#REF!,#REF!,#REF!</definedName>
    <definedName name="__APW_RESTORE_DATA2825__" hidden="1">#REF!,#REF!,#REF!,#REF!,#REF!,#REF!,#REF!,#REF!,#REF!,#REF!,#REF!,#REF!,#REF!,#REF!,#REF!</definedName>
    <definedName name="__APW_RESTORE_DATA2826__" hidden="1">#REF!,#REF!,#REF!,#REF!,#REF!,#REF!,#REF!,#REF!,#REF!,#REF!,#REF!,#REF!,#REF!,#REF!,#REF!</definedName>
    <definedName name="__APW_RESTORE_DATA2827__" hidden="1">#REF!,#REF!,#REF!,#REF!,#REF!,#REF!,#REF!,#REF!,#REF!,#REF!,#REF!,#REF!,#REF!,#REF!,#REF!</definedName>
    <definedName name="__APW_RESTORE_DATA2828__" hidden="1">#REF!,#REF!,#REF!,#REF!,#REF!,#REF!,#REF!,#REF!,#REF!,#REF!,#REF!,#REF!,#REF!,#REF!,#REF!</definedName>
    <definedName name="__APW_RESTORE_DATA2829__" hidden="1">#REF!,#REF!,#REF!,#REF!,#REF!,#REF!,#REF!,#REF!,#REF!,#REF!,#REF!,#REF!,#REF!,#REF!,#REF!</definedName>
    <definedName name="__APW_RESTORE_DATA283__" hidden="1">#REF!,#REF!,#REF!,#REF!,#REF!,#REF!,#REF!,#REF!,#REF!,#REF!,#REF!,#REF!,#REF!,#REF!,#REF!</definedName>
    <definedName name="__APW_RESTORE_DATA2830__" hidden="1">#REF!,#REF!,#REF!,#REF!,#REF!,#REF!,#REF!,#REF!,#REF!,#REF!,#REF!,#REF!,#REF!,#REF!,#REF!</definedName>
    <definedName name="__APW_RESTORE_DATA2831__" hidden="1">#REF!,#REF!,#REF!,#REF!,#REF!,#REF!,#REF!,#REF!,#REF!,#REF!,#REF!,#REF!,#REF!,#REF!,#REF!</definedName>
    <definedName name="__APW_RESTORE_DATA2832__" hidden="1">#REF!,#REF!,#REF!,#REF!,#REF!,#REF!,#REF!,#REF!,#REF!,#REF!,#REF!,#REF!,#REF!,#REF!,#REF!</definedName>
    <definedName name="__APW_RESTORE_DATA2833__" hidden="1">#REF!,#REF!,#REF!,#REF!,#REF!,#REF!,#REF!,#REF!,#REF!,#REF!,#REF!,#REF!,#REF!,#REF!,#REF!</definedName>
    <definedName name="__APW_RESTORE_DATA2834__" hidden="1">#REF!,#REF!,#REF!,#REF!,#REF!,#REF!,#REF!,#REF!,#REF!,#REF!,#REF!,#REF!,#REF!,#REF!,#REF!</definedName>
    <definedName name="__APW_RESTORE_DATA2835__" hidden="1">#REF!,#REF!,#REF!,#REF!,#REF!,#REF!,#REF!,#REF!,#REF!,#REF!,#REF!,#REF!,#REF!,#REF!,#REF!</definedName>
    <definedName name="__APW_RESTORE_DATA2836__" hidden="1">#REF!,#REF!,#REF!,#REF!,#REF!,#REF!,#REF!,#REF!,#REF!,#REF!,#REF!,#REF!,#REF!,#REF!,#REF!</definedName>
    <definedName name="__APW_RESTORE_DATA2837__" hidden="1">#REF!,#REF!,#REF!,#REF!,#REF!,#REF!,#REF!,#REF!,#REF!,#REF!,#REF!,#REF!,#REF!,#REF!,#REF!</definedName>
    <definedName name="__APW_RESTORE_DATA2838__" hidden="1">#REF!,#REF!,#REF!,#REF!,#REF!,#REF!,#REF!,#REF!,#REF!,#REF!,#REF!,#REF!,#REF!,#REF!,#REF!</definedName>
    <definedName name="__APW_RESTORE_DATA2839__" hidden="1">#REF!,#REF!,#REF!,#REF!,#REF!,#REF!,#REF!,#REF!,#REF!,#REF!,#REF!,#REF!,#REF!,#REF!,#REF!</definedName>
    <definedName name="__APW_RESTORE_DATA284__" hidden="1">#REF!,#REF!,#REF!,#REF!,#REF!,#REF!,#REF!,#REF!,#REF!,#REF!,#REF!,#REF!,#REF!,#REF!,#REF!</definedName>
    <definedName name="__APW_RESTORE_DATA2840__" hidden="1">#REF!,#REF!,#REF!,#REF!,#REF!,#REF!,#REF!,#REF!,#REF!,#REF!,#REF!,#REF!,#REF!,#REF!,#REF!</definedName>
    <definedName name="__APW_RESTORE_DATA2841__" hidden="1">#REF!,#REF!,#REF!,#REF!,#REF!,#REF!,#REF!,#REF!,#REF!,#REF!,#REF!,#REF!,#REF!,#REF!,#REF!</definedName>
    <definedName name="__APW_RESTORE_DATA2842__" hidden="1">#REF!,#REF!,#REF!,#REF!,#REF!,#REF!,#REF!,#REF!,#REF!,#REF!,#REF!,#REF!,#REF!,#REF!,#REF!</definedName>
    <definedName name="__APW_RESTORE_DATA2843__" hidden="1">#REF!,#REF!,#REF!,#REF!,#REF!,#REF!,#REF!,#REF!,#REF!,#REF!,#REF!,#REF!,#REF!,#REF!,#REF!</definedName>
    <definedName name="__APW_RESTORE_DATA2844__" hidden="1">#REF!,#REF!,#REF!,#REF!,#REF!,#REF!,#REF!,#REF!,#REF!,#REF!,#REF!,#REF!,#REF!,#REF!,#REF!</definedName>
    <definedName name="__APW_RESTORE_DATA2845__" hidden="1">#REF!,#REF!,#REF!,#REF!,#REF!,#REF!,#REF!,#REF!,#REF!,#REF!,#REF!,#REF!,#REF!,#REF!,#REF!</definedName>
    <definedName name="__APW_RESTORE_DATA2846__" hidden="1">#REF!,#REF!,#REF!,#REF!,#REF!,#REF!,#REF!,#REF!,#REF!,#REF!,#REF!,#REF!,#REF!,#REF!,#REF!</definedName>
    <definedName name="__APW_RESTORE_DATA2847__" hidden="1">#REF!,#REF!,#REF!,#REF!,#REF!,#REF!,#REF!,#REF!,#REF!,#REF!,#REF!,#REF!,#REF!,#REF!,#REF!</definedName>
    <definedName name="__APW_RESTORE_DATA2848__" hidden="1">#REF!,#REF!,#REF!,#REF!,#REF!,#REF!,#REF!,#REF!,#REF!,#REF!,#REF!,#REF!,#REF!,#REF!,#REF!</definedName>
    <definedName name="__APW_RESTORE_DATA2849__" hidden="1">#REF!,#REF!,#REF!,#REF!,#REF!,#REF!</definedName>
    <definedName name="__APW_RESTORE_DATA285__" hidden="1">#REF!,#REF!,#REF!,#REF!,#REF!,#REF!,#REF!,#REF!,#REF!,#REF!,#REF!,#REF!,#REF!,#REF!,#REF!</definedName>
    <definedName name="__APW_RESTORE_DATA2850__" hidden="1">#REF!,#REF!,#REF!,#REF!,#REF!,#REF!,#REF!,#REF!,#REF!,#REF!,#REF!,#REF!,#REF!,#REF!,#REF!,#REF!</definedName>
    <definedName name="__APW_RESTORE_DATA2851__" hidden="1">#REF!,#REF!,#REF!,#REF!,#REF!,#REF!,#REF!,#REF!,#REF!,#REF!,#REF!,#REF!,#REF!,#REF!,#REF!,#REF!</definedName>
    <definedName name="__APW_RESTORE_DATA2852__" hidden="1">#REF!,#REF!,#REF!,#REF!,#REF!,#REF!,#REF!,#REF!,#REF!,#REF!,#REF!,#REF!,#REF!,#REF!,#REF!,#REF!</definedName>
    <definedName name="__APW_RESTORE_DATA2853__" hidden="1">#REF!,#REF!,#REF!,#REF!,#REF!,#REF!,#REF!,#REF!,#REF!,#REF!,#REF!,#REF!,#REF!,#REF!,#REF!,#REF!</definedName>
    <definedName name="__APW_RESTORE_DATA2854__" hidden="1">#REF!,#REF!,#REF!,#REF!,#REF!,#REF!,#REF!,#REF!,#REF!,#REF!,#REF!,#REF!,#REF!,#REF!,#REF!,#REF!</definedName>
    <definedName name="__APW_RESTORE_DATA2855__" hidden="1">#REF!,#REF!,#REF!,#REF!,#REF!,#REF!,#REF!,#REF!,#REF!,#REF!,#REF!,#REF!,#REF!,#REF!,#REF!,#REF!</definedName>
    <definedName name="__APW_RESTORE_DATA2856__" hidden="1">#REF!,#REF!,#REF!,#REF!,#REF!,#REF!,#REF!,#REF!,#REF!,#REF!,#REF!,#REF!,#REF!,#REF!,#REF!</definedName>
    <definedName name="__APW_RESTORE_DATA2857__" hidden="1">#REF!,#REF!,#REF!,#REF!,#REF!,#REF!,#REF!,#REF!,#REF!,#REF!,#REF!,#REF!,#REF!,#REF!,#REF!</definedName>
    <definedName name="__APW_RESTORE_DATA2858__" hidden="1">#REF!,#REF!,#REF!,#REF!,#REF!,#REF!,#REF!,#REF!,#REF!,#REF!,#REF!,#REF!,#REF!,#REF!,#REF!</definedName>
    <definedName name="__APW_RESTORE_DATA2859__" hidden="1">#REF!,#REF!,#REF!,#REF!,#REF!,#REF!,#REF!,#REF!,#REF!,#REF!,#REF!,#REF!,#REF!,#REF!,#REF!</definedName>
    <definedName name="__APW_RESTORE_DATA286__" hidden="1">#REF!,#REF!,#REF!,#REF!,#REF!,#REF!,#REF!,#REF!</definedName>
    <definedName name="__APW_RESTORE_DATA2860__" hidden="1">#REF!,#REF!,#REF!,#REF!,#REF!,#REF!,#REF!,#REF!,#REF!,#REF!,#REF!,#REF!,#REF!,#REF!,#REF!</definedName>
    <definedName name="__APW_RESTORE_DATA2861__" hidden="1">#REF!,#REF!,#REF!,#REF!,#REF!,#REF!,#REF!,#REF!,#REF!,#REF!,#REF!,#REF!,#REF!,#REF!,#REF!</definedName>
    <definedName name="__APW_RESTORE_DATA2862__" hidden="1">#REF!,#REF!,#REF!,#REF!,#REF!,#REF!,#REF!,#REF!,#REF!,#REF!,#REF!,#REF!,#REF!,#REF!,#REF!</definedName>
    <definedName name="__APW_RESTORE_DATA2863__" hidden="1">#REF!,#REF!,#REF!,#REF!,#REF!,#REF!,#REF!,#REF!,#REF!,#REF!,#REF!,#REF!,#REF!,#REF!,#REF!</definedName>
    <definedName name="__APW_RESTORE_DATA2864__" hidden="1">#REF!,#REF!,#REF!,#REF!,#REF!,#REF!,#REF!,#REF!,#REF!,#REF!,#REF!,#REF!,#REF!,#REF!,#REF!</definedName>
    <definedName name="__APW_RESTORE_DATA2865__" hidden="1">#REF!,#REF!,#REF!,#REF!,#REF!,#REF!,#REF!,#REF!,#REF!,#REF!,#REF!,#REF!,#REF!,#REF!,#REF!</definedName>
    <definedName name="__APW_RESTORE_DATA2866__" hidden="1">#REF!,#REF!,#REF!,#REF!,#REF!,#REF!,#REF!,#REF!,#REF!,#REF!,#REF!,#REF!,#REF!,#REF!,#REF!</definedName>
    <definedName name="__APW_RESTORE_DATA2867__" hidden="1">#REF!,#REF!,#REF!,#REF!,#REF!,#REF!,#REF!,#REF!,#REF!,#REF!,#REF!,#REF!,#REF!,#REF!,#REF!</definedName>
    <definedName name="__APW_RESTORE_DATA2868__" hidden="1">#REF!,#REF!,#REF!,#REF!,#REF!,#REF!,#REF!,#REF!,#REF!,#REF!,#REF!,#REF!,#REF!,#REF!,#REF!</definedName>
    <definedName name="__APW_RESTORE_DATA2869__" hidden="1">#REF!,#REF!,#REF!,#REF!,#REF!,#REF!,#REF!,#REF!,#REF!,#REF!,#REF!,#REF!,#REF!,#REF!,#REF!</definedName>
    <definedName name="__APW_RESTORE_DATA287__" hidden="1">#REF!</definedName>
    <definedName name="__APW_RESTORE_DATA2870__" hidden="1">#REF!,#REF!,#REF!,#REF!,#REF!,#REF!,#REF!,#REF!,#REF!,#REF!,#REF!,#REF!,#REF!,#REF!,#REF!</definedName>
    <definedName name="__APW_RESTORE_DATA2871__" hidden="1">#REF!,#REF!,#REF!,#REF!,#REF!,#REF!,#REF!,#REF!,#REF!,#REF!,#REF!,#REF!,#REF!,#REF!,#REF!</definedName>
    <definedName name="__APW_RESTORE_DATA2872__" hidden="1">#REF!,#REF!,#REF!,#REF!,#REF!,#REF!,#REF!,#REF!,#REF!,#REF!,#REF!,#REF!,#REF!,#REF!,#REF!</definedName>
    <definedName name="__APW_RESTORE_DATA2873__" hidden="1">#REF!,#REF!,#REF!,#REF!,#REF!,#REF!,#REF!,#REF!,#REF!,#REF!,#REF!,#REF!,#REF!,#REF!,#REF!</definedName>
    <definedName name="__APW_RESTORE_DATA2874__" hidden="1">#REF!,#REF!,#REF!,#REF!,#REF!,#REF!,#REF!,#REF!,#REF!,#REF!,#REF!,#REF!,#REF!,#REF!,#REF!</definedName>
    <definedName name="__APW_RESTORE_DATA2875__" hidden="1">#REF!,#REF!,#REF!,#REF!,#REF!,#REF!,#REF!,#REF!,#REF!,#REF!,#REF!,#REF!,#REF!,#REF!,#REF!</definedName>
    <definedName name="__APW_RESTORE_DATA2876__" hidden="1">#REF!,#REF!,#REF!,#REF!,#REF!,#REF!,#REF!,#REF!,#REF!,#REF!,#REF!,#REF!,#REF!,#REF!,#REF!</definedName>
    <definedName name="__APW_RESTORE_DATA2877__" hidden="1">#REF!,#REF!,#REF!,#REF!,#REF!,#REF!,#REF!,#REF!,#REF!,#REF!,#REF!,#REF!,#REF!,#REF!,#REF!</definedName>
    <definedName name="__APW_RESTORE_DATA2878__" hidden="1">#REF!,#REF!,#REF!,#REF!,#REF!,#REF!,#REF!,#REF!,#REF!,#REF!,#REF!,#REF!,#REF!,#REF!,#REF!</definedName>
    <definedName name="__APW_RESTORE_DATA2879__" hidden="1">#REF!,#REF!,#REF!,#REF!,#REF!,#REF!,#REF!,#REF!,#REF!,#REF!,#REF!,#REF!,#REF!,#REF!,#REF!</definedName>
    <definedName name="__APW_RESTORE_DATA288__" hidden="1">#REF!,#REF!</definedName>
    <definedName name="__APW_RESTORE_DATA2880__" hidden="1">#REF!,#REF!,#REF!,#REF!,#REF!,#REF!,#REF!,#REF!,#REF!,#REF!,#REF!,#REF!,#REF!,#REF!,#REF!</definedName>
    <definedName name="__APW_RESTORE_DATA2881__" hidden="1">#REF!,#REF!,#REF!,#REF!,#REF!,#REF!,#REF!,#REF!,#REF!,#REF!,#REF!,#REF!,#REF!,#REF!,#REF!</definedName>
    <definedName name="__APW_RESTORE_DATA2882__" hidden="1">#REF!,#REF!,#REF!,#REF!,#REF!,#REF!,#REF!,#REF!,#REF!,#REF!,#REF!,#REF!,#REF!,#REF!,#REF!</definedName>
    <definedName name="__APW_RESTORE_DATA2883__" hidden="1">#REF!,#REF!,#REF!,#REF!,#REF!,#REF!,#REF!,#REF!,#REF!,#REF!,#REF!,#REF!,#REF!,#REF!,#REF!</definedName>
    <definedName name="__APW_RESTORE_DATA2884__" hidden="1">#REF!,#REF!,#REF!,#REF!,#REF!,#REF!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9__" hidden="1">#REF!</definedName>
    <definedName name="__APW_RESTORE_DATA289__" hidden="1">#REF!</definedName>
    <definedName name="__APW_RESTORE_DATA2890__" hidden="1">#REF!,#REF!,#REF!,#REF!,#REF!,#REF!,#REF!,#REF!,#REF!,#REF!,#REF!,#REF!,#REF!,#REF!,#REF!,#REF!</definedName>
    <definedName name="__APW_RESTORE_DATA2891__" hidden="1">#REF!,#REF!,#REF!,#REF!,#REF!,#REF!,#REF!,#REF!,#REF!,#REF!,#REF!,#REF!,#REF!,#REF!,#REF!,#REF!</definedName>
    <definedName name="__APW_RESTORE_DATA2892__" hidden="1">#REF!,#REF!,#REF!,#REF!,#REF!,#REF!,#REF!,#REF!,#REF!,#REF!,#REF!,#REF!,#REF!,#REF!,#REF!,#REF!</definedName>
    <definedName name="__APW_RESTORE_DATA2893__" hidden="1">#REF!,#REF!,#REF!,#REF!,#REF!,#REF!,#REF!,#REF!,#REF!,#REF!,#REF!,#REF!,#REF!,#REF!,#REF!,#REF!</definedName>
    <definedName name="__APW_RESTORE_DATA2894__" hidden="1">#REF!,#REF!,#REF!,#REF!,#REF!,#REF!,#REF!,#REF!,#REF!,#REF!,#REF!,#REF!,#REF!,#REF!,#REF!,#REF!</definedName>
    <definedName name="__APW_RESTORE_DATA2895__" hidden="1">#REF!,#REF!,#REF!,#REF!,#REF!,#REF!,#REF!,#REF!,#REF!,#REF!,#REF!,#REF!,#REF!,#REF!,#REF!,#REF!</definedName>
    <definedName name="__APW_RESTORE_DATA2896__" hidden="1">#REF!,#REF!,#REF!,#REF!,#REF!,#REF!,#REF!,#REF!,#REF!,#REF!,#REF!,#REF!,#REF!,#REF!,#REF!</definedName>
    <definedName name="__APW_RESTORE_DATA2897__" hidden="1">#REF!,#REF!,#REF!,#REF!,#REF!,#REF!,#REF!,#REF!,#REF!,#REF!,#REF!,#REF!,#REF!,#REF!,#REF!</definedName>
    <definedName name="__APW_RESTORE_DATA2898__" hidden="1">#REF!,#REF!,#REF!,#REF!,#REF!,#REF!,#REF!,#REF!,#REF!,#REF!,#REF!,#REF!,#REF!,#REF!,#REF!</definedName>
    <definedName name="__APW_RESTORE_DATA2899__" hidden="1">#REF!,#REF!,#REF!,#REF!,#REF!,#REF!,#REF!,#REF!,#REF!,#REF!,#REF!,#REF!,#REF!,#REF!,#REF!</definedName>
    <definedName name="__APW_RESTORE_DATA29__" hidden="1">#REF!,#REF!,#REF!,#REF!,#REF!,#REF!,#REF!,#REF!,#REF!,#REF!,#REF!,#REF!,#REF!,#REF!,#REF!</definedName>
    <definedName name="__APW_RESTORE_DATA290__" hidden="1">#REF!</definedName>
    <definedName name="__APW_RESTORE_DATA2900__" hidden="1">#REF!,#REF!,#REF!,#REF!,#REF!,#REF!,#REF!,#REF!,#REF!,#REF!,#REF!,#REF!,#REF!,#REF!,#REF!</definedName>
    <definedName name="__APW_RESTORE_DATA2901__" hidden="1">#REF!,#REF!,#REF!,#REF!,#REF!,#REF!,#REF!,#REF!,#REF!,#REF!,#REF!,#REF!,#REF!,#REF!,#REF!</definedName>
    <definedName name="__APW_RESTORE_DATA2902__" hidden="1">#REF!,#REF!,#REF!,#REF!,#REF!,#REF!,#REF!,#REF!,#REF!,#REF!,#REF!,#REF!,#REF!,#REF!,#REF!</definedName>
    <definedName name="__APW_RESTORE_DATA2903__" hidden="1">#REF!,#REF!,#REF!,#REF!,#REF!,#REF!,#REF!,#REF!,#REF!,#REF!,#REF!,#REF!,#REF!,#REF!,#REF!</definedName>
    <definedName name="__APW_RESTORE_DATA2904__" hidden="1">#REF!,#REF!,#REF!,#REF!,#REF!,#REF!,#REF!,#REF!,#REF!,#REF!,#REF!,#REF!,#REF!,#REF!,#REF!</definedName>
    <definedName name="__APW_RESTORE_DATA2905__" hidden="1">#REF!,#REF!,#REF!,#REF!,#REF!,#REF!,#REF!,#REF!,#REF!,#REF!,#REF!,#REF!,#REF!,#REF!,#REF!</definedName>
    <definedName name="__APW_RESTORE_DATA2906__" hidden="1">#REF!,#REF!,#REF!,#REF!,#REF!,#REF!,#REF!,#REF!,#REF!,#REF!,#REF!,#REF!,#REF!,#REF!,#REF!</definedName>
    <definedName name="__APW_RESTORE_DATA2907__" hidden="1">#REF!,#REF!,#REF!,#REF!,#REF!,#REF!,#REF!,#REF!,#REF!,#REF!,#REF!,#REF!,#REF!,#REF!,#REF!</definedName>
    <definedName name="__APW_RESTORE_DATA2908__" hidden="1">#REF!,#REF!,#REF!,#REF!,#REF!,#REF!,#REF!,#REF!,#REF!,#REF!,#REF!,#REF!,#REF!,#REF!,#REF!</definedName>
    <definedName name="__APW_RESTORE_DATA2909__" hidden="1">#REF!,#REF!,#REF!,#REF!,#REF!,#REF!,#REF!,#REF!,#REF!,#REF!,#REF!,#REF!,#REF!,#REF!,#REF!</definedName>
    <definedName name="__APW_RESTORE_DATA291__" hidden="1">#REF!,#REF!</definedName>
    <definedName name="__APW_RESTORE_DATA2910__" hidden="1">#REF!,#REF!,#REF!,#REF!,#REF!,#REF!,#REF!,#REF!,#REF!,#REF!,#REF!,#REF!,#REF!,#REF!,#REF!</definedName>
    <definedName name="__APW_RESTORE_DATA2911__" hidden="1">#REF!,#REF!,#REF!,#REF!,#REF!,#REF!,#REF!,#REF!,#REF!,#REF!,#REF!,#REF!,#REF!,#REF!,#REF!</definedName>
    <definedName name="__APW_RESTORE_DATA2912__" hidden="1">#REF!,#REF!,#REF!,#REF!,#REF!,#REF!,#REF!,#REF!,#REF!,#REF!,#REF!,#REF!,#REF!,#REF!,#REF!</definedName>
    <definedName name="__APW_RESTORE_DATA2913__" hidden="1">#REF!,#REF!,#REF!,#REF!,#REF!,#REF!,#REF!,#REF!,#REF!,#REF!,#REF!,#REF!,#REF!,#REF!,#REF!</definedName>
    <definedName name="__APW_RESTORE_DATA2914__" hidden="1">#REF!,#REF!,#REF!,#REF!,#REF!,#REF!,#REF!,#REF!,#REF!,#REF!,#REF!,#REF!,#REF!,#REF!,#REF!</definedName>
    <definedName name="__APW_RESTORE_DATA2915__" hidden="1">#REF!,#REF!,#REF!,#REF!,#REF!,#REF!,#REF!,#REF!,#REF!,#REF!,#REF!,#REF!,#REF!,#REF!,#REF!</definedName>
    <definedName name="__APW_RESTORE_DATA2916__" hidden="1">#REF!,#REF!,#REF!,#REF!,#REF!,#REF!,#REF!,#REF!,#REF!,#REF!,#REF!,#REF!,#REF!,#REF!,#REF!</definedName>
    <definedName name="__APW_RESTORE_DATA2917__" hidden="1">#REF!,#REF!,#REF!,#REF!,#REF!,#REF!,#REF!,#REF!,#REF!,#REF!,#REF!,#REF!,#REF!,#REF!,#REF!</definedName>
    <definedName name="__APW_RESTORE_DATA2918__" hidden="1">#REF!,#REF!,#REF!,#REF!,#REF!,#REF!,#REF!,#REF!,#REF!,#REF!,#REF!,#REF!,#REF!,#REF!,#REF!</definedName>
    <definedName name="__APW_RESTORE_DATA2919__" hidden="1">#REF!,#REF!,#REF!,#REF!,#REF!,#REF!,#REF!,#REF!,#REF!,#REF!,#REF!,#REF!,#REF!,#REF!,#REF!</definedName>
    <definedName name="__APW_RESTORE_DATA292__" hidden="1">#REF!</definedName>
    <definedName name="__APW_RESTORE_DATA2920__" hidden="1">#REF!,#REF!,#REF!,#REF!,#REF!,#REF!,#REF!,#REF!,#REF!,#REF!,#REF!,#REF!,#REF!,#REF!,#REF!</definedName>
    <definedName name="__APW_RESTORE_DATA2921__" hidden="1">#REF!,#REF!,#REF!,#REF!,#REF!,#REF!,#REF!,#REF!,#REF!,#REF!,#REF!,#REF!,#REF!,#REF!,#REF!</definedName>
    <definedName name="__APW_RESTORE_DATA2922__" hidden="1">#REF!,#REF!,#REF!,#REF!,#REF!,#REF!,#REF!,#REF!,#REF!,#REF!,#REF!,#REF!,#REF!,#REF!,#REF!</definedName>
    <definedName name="__APW_RESTORE_DATA2923__" hidden="1">#REF!,#REF!,#REF!,#REF!,#REF!,#REF!,#REF!,#REF!,#REF!,#REF!,#REF!,#REF!,#REF!,#REF!,#REF!</definedName>
    <definedName name="__APW_RESTORE_DATA2924__" hidden="1">#REF!,#REF!,#REF!,#REF!,#REF!,#REF!</definedName>
    <definedName name="__APW_RESTORE_DATA2925__" hidden="1">#REF!,#REF!,#REF!,#REF!,#REF!,#REF!,#REF!,#REF!,#REF!,#REF!,#REF!,#REF!,#REF!,#REF!,#REF!,#REF!</definedName>
    <definedName name="__APW_RESTORE_DATA2926__" hidden="1">#REF!,#REF!,#REF!,#REF!,#REF!,#REF!,#REF!,#REF!,#REF!,#REF!,#REF!,#REF!,#REF!,#REF!,#REF!,#REF!</definedName>
    <definedName name="__APW_RESTORE_DATA2927__" hidden="1">#REF!,#REF!,#REF!,#REF!,#REF!,#REF!,#REF!,#REF!,#REF!,#REF!,#REF!,#REF!,#REF!,#REF!,#REF!,#REF!</definedName>
    <definedName name="__APW_RESTORE_DATA2928__" hidden="1">#REF!,#REF!,#REF!,#REF!,#REF!,#REF!,#REF!,#REF!,#REF!,#REF!,#REF!,#REF!,#REF!,#REF!,#REF!,#REF!</definedName>
    <definedName name="__APW_RESTORE_DATA2929__" hidden="1">#REF!,#REF!,#REF!,#REF!,#REF!,#REF!,#REF!,#REF!,#REF!,#REF!,#REF!,#REF!,#REF!,#REF!,#REF!,#REF!</definedName>
    <definedName name="__APW_RESTORE_DATA293__" hidden="1">#REF!,#REF!</definedName>
    <definedName name="__APW_RESTORE_DATA2930__" hidden="1">#REF!,#REF!,#REF!,#REF!,#REF!,#REF!,#REF!,#REF!,#REF!,#REF!,#REF!,#REF!,#REF!,#REF!,#REF!,#REF!</definedName>
    <definedName name="__APW_RESTORE_DATA2931__" hidden="1">#REF!,#REF!,#REF!,#REF!,#REF!,#REF!,#REF!,#REF!,#REF!,#REF!,#REF!,#REF!,#REF!,#REF!,#REF!</definedName>
    <definedName name="__APW_RESTORE_DATA2932__" hidden="1">#REF!,#REF!,#REF!,#REF!,#REF!,#REF!,#REF!,#REF!,#REF!,#REF!,#REF!,#REF!,#REF!,#REF!,#REF!</definedName>
    <definedName name="__APW_RESTORE_DATA2933__" hidden="1">#REF!,#REF!,#REF!,#REF!,#REF!,#REF!,#REF!,#REF!,#REF!,#REF!,#REF!,#REF!,#REF!,#REF!,#REF!</definedName>
    <definedName name="__APW_RESTORE_DATA2934__" hidden="1">#REF!,#REF!,#REF!,#REF!,#REF!,#REF!,#REF!,#REF!,#REF!,#REF!,#REF!,#REF!,#REF!,#REF!,#REF!</definedName>
    <definedName name="__APW_RESTORE_DATA2935__" hidden="1">#REF!,#REF!,#REF!,#REF!,#REF!,#REF!,#REF!,#REF!,#REF!,#REF!,#REF!,#REF!,#REF!,#REF!,#REF!</definedName>
    <definedName name="__APW_RESTORE_DATA2936__" hidden="1">#REF!,#REF!,#REF!,#REF!,#REF!,#REF!,#REF!,#REF!,#REF!,#REF!,#REF!,#REF!,#REF!,#REF!,#REF!</definedName>
    <definedName name="__APW_RESTORE_DATA2937__" hidden="1">#REF!,#REF!,#REF!,#REF!,#REF!,#REF!,#REF!,#REF!,#REF!,#REF!,#REF!,#REF!,#REF!,#REF!,#REF!</definedName>
    <definedName name="__APW_RESTORE_DATA2938__" hidden="1">#REF!,#REF!,#REF!,#REF!,#REF!,#REF!,#REF!,#REF!,#REF!,#REF!,#REF!,#REF!,#REF!,#REF!,#REF!</definedName>
    <definedName name="__APW_RESTORE_DATA2939__" hidden="1">#REF!,#REF!,#REF!,#REF!,#REF!,#REF!,#REF!,#REF!,#REF!,#REF!,#REF!,#REF!,#REF!,#REF!,#REF!</definedName>
    <definedName name="__APW_RESTORE_DATA294__" hidden="1">#REF!,#REF!,#REF!,#REF!,#REF!,#REF!,#REF!,#REF!,#REF!,#REF!,#REF!,#REF!,#REF!,#REF!,#REF!,#REF!</definedName>
    <definedName name="__APW_RESTORE_DATA2940__" hidden="1">#REF!,#REF!,#REF!,#REF!,#REF!,#REF!,#REF!,#REF!,#REF!,#REF!,#REF!,#REF!,#REF!,#REF!,#REF!</definedName>
    <definedName name="__APW_RESTORE_DATA2941__" hidden="1">#REF!,#REF!,#REF!,#REF!,#REF!,#REF!,#REF!,#REF!,#REF!,#REF!,#REF!,#REF!,#REF!,#REF!,#REF!</definedName>
    <definedName name="__APW_RESTORE_DATA2942__" hidden="1">#REF!,#REF!,#REF!,#REF!,#REF!,#REF!,#REF!,#REF!,#REF!,#REF!,#REF!,#REF!,#REF!,#REF!,#REF!</definedName>
    <definedName name="__APW_RESTORE_DATA2943__" hidden="1">#REF!,#REF!,#REF!,#REF!,#REF!,#REF!,#REF!,#REF!,#REF!,#REF!,#REF!,#REF!,#REF!,#REF!,#REF!</definedName>
    <definedName name="__APW_RESTORE_DATA2944__" hidden="1">#REF!,#REF!,#REF!,#REF!,#REF!,#REF!,#REF!,#REF!,#REF!,#REF!,#REF!,#REF!,#REF!,#REF!,#REF!</definedName>
    <definedName name="__APW_RESTORE_DATA2945__" hidden="1">#REF!,#REF!,#REF!,#REF!,#REF!,#REF!,#REF!,#REF!,#REF!,#REF!,#REF!,#REF!,#REF!,#REF!,#REF!</definedName>
    <definedName name="__APW_RESTORE_DATA2946__" hidden="1">#REF!,#REF!,#REF!,#REF!,#REF!,#REF!,#REF!,#REF!,#REF!,#REF!,#REF!,#REF!,#REF!,#REF!,#REF!</definedName>
    <definedName name="__APW_RESTORE_DATA2947__" hidden="1">#REF!,#REF!,#REF!,#REF!,#REF!,#REF!,#REF!,#REF!,#REF!,#REF!,#REF!,#REF!,#REF!,#REF!,#REF!</definedName>
    <definedName name="__APW_RESTORE_DATA2948__" hidden="1">#REF!,#REF!,#REF!,#REF!,#REF!,#REF!,#REF!,#REF!,#REF!,#REF!,#REF!,#REF!,#REF!,#REF!,#REF!</definedName>
    <definedName name="__APW_RESTORE_DATA2949__" hidden="1">#REF!,#REF!,#REF!,#REF!,#REF!,#REF!,#REF!,#REF!,#REF!,#REF!,#REF!,#REF!,#REF!,#REF!,#REF!</definedName>
    <definedName name="__APW_RESTORE_DATA295__" hidden="1">#REF!,#REF!,#REF!,#REF!,#REF!,#REF!,#REF!,#REF!,#REF!,#REF!,#REF!,#REF!,#REF!,#REF!,#REF!,#REF!</definedName>
    <definedName name="__APW_RESTORE_DATA2950__" hidden="1">#REF!,#REF!,#REF!,#REF!,#REF!,#REF!,#REF!,#REF!,#REF!,#REF!,#REF!,#REF!,#REF!,#REF!,#REF!</definedName>
    <definedName name="__APW_RESTORE_DATA2951__" hidden="1">#REF!,#REF!,#REF!,#REF!,#REF!,#REF!,#REF!,#REF!,#REF!,#REF!,#REF!,#REF!,#REF!,#REF!,#REF!</definedName>
    <definedName name="__APW_RESTORE_DATA2952__" hidden="1">#REF!,#REF!,#REF!,#REF!,#REF!,#REF!,#REF!,#REF!,#REF!,#REF!,#REF!,#REF!,#REF!,#REF!,#REF!</definedName>
    <definedName name="__APW_RESTORE_DATA2953__" hidden="1">#REF!,#REF!,#REF!,#REF!,#REF!,#REF!,#REF!,#REF!,#REF!,#REF!,#REF!,#REF!,#REF!,#REF!,#REF!</definedName>
    <definedName name="__APW_RESTORE_DATA2954__" hidden="1">#REF!,#REF!,#REF!,#REF!,#REF!,#REF!,#REF!,#REF!,#REF!,#REF!,#REF!,#REF!,#REF!,#REF!,#REF!</definedName>
    <definedName name="__APW_RESTORE_DATA2955__" hidden="1">#REF!,#REF!,#REF!,#REF!,#REF!,#REF!,#REF!,#REF!,#REF!,#REF!,#REF!,#REF!,#REF!,#REF!,#REF!</definedName>
    <definedName name="__APW_RESTORE_DATA2956__" hidden="1">#REF!,#REF!,#REF!,#REF!,#REF!,#REF!,#REF!,#REF!,#REF!,#REF!,#REF!,#REF!,#REF!,#REF!,#REF!</definedName>
    <definedName name="__APW_RESTORE_DATA2957__" hidden="1">#REF!,#REF!,#REF!,#REF!,#REF!,#REF!,#REF!,#REF!,#REF!,#REF!,#REF!,#REF!,#REF!,#REF!,#REF!</definedName>
    <definedName name="__APW_RESTORE_DATA2958__" hidden="1">#REF!,#REF!,#REF!,#REF!,#REF!,#REF!,#REF!,#REF!,#REF!,#REF!,#REF!,#REF!,#REF!,#REF!,#REF!</definedName>
    <definedName name="__APW_RESTORE_DATA2959__" hidden="1">#REF!,#REF!,#REF!,#REF!,#REF!,#REF!</definedName>
    <definedName name="__APW_RESTORE_DATA296__" hidden="1">#REF!,#REF!,#REF!,#REF!,#REF!,#REF!,#REF!,#REF!,#REF!,#REF!,#REF!,#REF!,#REF!,#REF!,#REF!,#REF!</definedName>
    <definedName name="__APW_RESTORE_DATA2960__" hidden="1">#REF!,#REF!,#REF!,#REF!,#REF!,#REF!,#REF!,#REF!,#REF!,#REF!,#REF!,#REF!,#REF!,#REF!,#REF!,#REF!</definedName>
    <definedName name="__APW_RESTORE_DATA2961__" hidden="1">#REF!,#REF!,#REF!,#REF!,#REF!,#REF!,#REF!,#REF!,#REF!,#REF!,#REF!,#REF!,#REF!,#REF!,#REF!,#REF!</definedName>
    <definedName name="__APW_RESTORE_DATA2962__" hidden="1">#REF!,#REF!,#REF!,#REF!,#REF!,#REF!,#REF!,#REF!,#REF!,#REF!,#REF!,#REF!,#REF!,#REF!,#REF!,#REF!</definedName>
    <definedName name="__APW_RESTORE_DATA2963__" hidden="1">#REF!,#REF!,#REF!,#REF!,#REF!,#REF!,#REF!,#REF!,#REF!,#REF!,#REF!,#REF!,#REF!,#REF!,#REF!,#REF!</definedName>
    <definedName name="__APW_RESTORE_DATA2964__" hidden="1">#REF!,#REF!,#REF!,#REF!,#REF!,#REF!,#REF!,#REF!,#REF!,#REF!,#REF!,#REF!,#REF!,#REF!,#REF!,#REF!</definedName>
    <definedName name="__APW_RESTORE_DATA2965__" hidden="1">#REF!,#REF!,#REF!,#REF!,#REF!,#REF!,#REF!,#REF!,#REF!,#REF!,#REF!,#REF!,#REF!,#REF!,#REF!,#REF!</definedName>
    <definedName name="__APW_RESTORE_DATA2966__" hidden="1">#REF!,#REF!,#REF!,#REF!,#REF!,#REF!,#REF!,#REF!,#REF!,#REF!,#REF!,#REF!,#REF!,#REF!,#REF!</definedName>
    <definedName name="__APW_RESTORE_DATA2967__" hidden="1">#REF!,#REF!,#REF!,#REF!,#REF!,#REF!,#REF!,#REF!,#REF!,#REF!,#REF!,#REF!,#REF!,#REF!,#REF!</definedName>
    <definedName name="__APW_RESTORE_DATA2968__" hidden="1">#REF!,#REF!,#REF!,#REF!,#REF!,#REF!,#REF!,#REF!,#REF!,#REF!,#REF!,#REF!,#REF!,#REF!,#REF!</definedName>
    <definedName name="__APW_RESTORE_DATA2969__" hidden="1">#REF!,#REF!,#REF!,#REF!,#REF!,#REF!,#REF!,#REF!,#REF!,#REF!,#REF!,#REF!,#REF!,#REF!,#REF!</definedName>
    <definedName name="__APW_RESTORE_DATA297__" hidden="1">#REF!,#REF!,#REF!,#REF!,#REF!,#REF!,#REF!,#REF!,#REF!,#REF!,#REF!,#REF!,#REF!,#REF!,#REF!,#REF!</definedName>
    <definedName name="__APW_RESTORE_DATA2970__" hidden="1">#REF!,#REF!,#REF!,#REF!,#REF!,#REF!,#REF!,#REF!,#REF!,#REF!,#REF!,#REF!,#REF!,#REF!,#REF!</definedName>
    <definedName name="__APW_RESTORE_DATA2971__" hidden="1">#REF!,#REF!,#REF!,#REF!,#REF!,#REF!,#REF!,#REF!,#REF!,#REF!,#REF!,#REF!,#REF!,#REF!,#REF!</definedName>
    <definedName name="__APW_RESTORE_DATA2972__" hidden="1">#REF!,#REF!,#REF!,#REF!,#REF!,#REF!,#REF!,#REF!,#REF!,#REF!,#REF!,#REF!,#REF!,#REF!,#REF!</definedName>
    <definedName name="__APW_RESTORE_DATA2973__" hidden="1">#REF!,#REF!,#REF!,#REF!,#REF!,#REF!,#REF!,#REF!,#REF!,#REF!,#REF!,#REF!,#REF!,#REF!,#REF!</definedName>
    <definedName name="__APW_RESTORE_DATA2974__" hidden="1">#REF!,#REF!,#REF!,#REF!,#REF!,#REF!,#REF!,#REF!,#REF!,#REF!,#REF!,#REF!,#REF!,#REF!,#REF!</definedName>
    <definedName name="__APW_RESTORE_DATA2975__" hidden="1">#REF!,#REF!,#REF!,#REF!,#REF!,#REF!,#REF!,#REF!,#REF!,#REF!,#REF!,#REF!,#REF!,#REF!,#REF!</definedName>
    <definedName name="__APW_RESTORE_DATA2976__" hidden="1">#REF!,#REF!,#REF!,#REF!,#REF!,#REF!,#REF!,#REF!,#REF!,#REF!,#REF!,#REF!,#REF!,#REF!,#REF!</definedName>
    <definedName name="__APW_RESTORE_DATA2977__" hidden="1">#REF!,#REF!,#REF!,#REF!,#REF!,#REF!,#REF!,#REF!,#REF!,#REF!,#REF!,#REF!,#REF!,#REF!,#REF!</definedName>
    <definedName name="__APW_RESTORE_DATA2978__" hidden="1">#REF!,#REF!,#REF!,#REF!,#REF!,#REF!,#REF!,#REF!,#REF!,#REF!,#REF!,#REF!,#REF!,#REF!,#REF!</definedName>
    <definedName name="__APW_RESTORE_DATA2979__" hidden="1">#REF!,#REF!,#REF!,#REF!,#REF!,#REF!,#REF!,#REF!,#REF!,#REF!,#REF!,#REF!,#REF!,#REF!,#REF!</definedName>
    <definedName name="__APW_RESTORE_DATA298__" hidden="1">#REF!,#REF!</definedName>
    <definedName name="__APW_RESTORE_DATA2980__" hidden="1">#REF!,#REF!,#REF!,#REF!,#REF!,#REF!,#REF!,#REF!,#REF!,#REF!,#REF!,#REF!,#REF!,#REF!,#REF!</definedName>
    <definedName name="__APW_RESTORE_DATA2981__" hidden="1">#REF!,#REF!,#REF!,#REF!,#REF!,#REF!,#REF!,#REF!,#REF!,#REF!,#REF!,#REF!,#REF!,#REF!,#REF!</definedName>
    <definedName name="__APW_RESTORE_DATA2982__" hidden="1">#REF!,#REF!,#REF!,#REF!,#REF!,#REF!,#REF!,#REF!,#REF!,#REF!,#REF!,#REF!,#REF!,#REF!,#REF!</definedName>
    <definedName name="__APW_RESTORE_DATA2983__" hidden="1">#REF!,#REF!,#REF!,#REF!,#REF!,#REF!,#REF!,#REF!,#REF!,#REF!,#REF!,#REF!,#REF!,#REF!,#REF!</definedName>
    <definedName name="__APW_RESTORE_DATA2984__" hidden="1">#REF!,#REF!,#REF!,#REF!,#REF!,#REF!,#REF!,#REF!,#REF!,#REF!,#REF!,#REF!,#REF!,#REF!,#REF!</definedName>
    <definedName name="__APW_RESTORE_DATA2985__" hidden="1">#REF!,#REF!,#REF!,#REF!,#REF!,#REF!,#REF!,#REF!,#REF!,#REF!,#REF!,#REF!,#REF!,#REF!,#REF!</definedName>
    <definedName name="__APW_RESTORE_DATA2986__" hidden="1">#REF!,#REF!,#REF!,#REF!,#REF!,#REF!,#REF!,#REF!,#REF!,#REF!,#REF!,#REF!,#REF!,#REF!,#REF!</definedName>
    <definedName name="__APW_RESTORE_DATA2987__" hidden="1">#REF!,#REF!,#REF!,#REF!,#REF!,#REF!,#REF!,#REF!,#REF!,#REF!,#REF!,#REF!,#REF!,#REF!,#REF!</definedName>
    <definedName name="__APW_RESTORE_DATA2988__" hidden="1">#REF!,#REF!,#REF!,#REF!,#REF!,#REF!,#REF!,#REF!,#REF!,#REF!,#REF!,#REF!,#REF!,#REF!,#REF!</definedName>
    <definedName name="__APW_RESTORE_DATA2989__" hidden="1">#REF!,#REF!,#REF!,#REF!,#REF!,#REF!,#REF!,#REF!,#REF!,#REF!,#REF!,#REF!,#REF!,#REF!,#REF!</definedName>
    <definedName name="__APW_RESTORE_DATA299__" hidden="1">#REF!,#REF!,#REF!,#REF!,#REF!,#REF!,#REF!,#REF!,#REF!,#REF!,#REF!,#REF!,#REF!,#REF!,#REF!</definedName>
    <definedName name="__APW_RESTORE_DATA2990__" hidden="1">#REF!,#REF!,#REF!,#REF!,#REF!,#REF!,#REF!,#REF!,#REF!,#REF!,#REF!,#REF!,#REF!,#REF!,#REF!</definedName>
    <definedName name="__APW_RESTORE_DATA2991__" hidden="1">#REF!,#REF!,#REF!,#REF!,#REF!,#REF!,#REF!,#REF!,#REF!,#REF!,#REF!,#REF!,#REF!,#REF!,#REF!</definedName>
    <definedName name="__APW_RESTORE_DATA2992__" hidden="1">#REF!,#REF!,#REF!,#REF!,#REF!,#REF!,#REF!,#REF!,#REF!,#REF!,#REF!,#REF!,#REF!,#REF!,#REF!</definedName>
    <definedName name="__APW_RESTORE_DATA2993__" hidden="1">#REF!,#REF!,#REF!,#REF!,#REF!,#REF!,#REF!,#REF!,#REF!,#REF!,#REF!,#REF!,#REF!,#REF!,#REF!</definedName>
    <definedName name="__APW_RESTORE_DATA2994__" hidden="1">#REF!,#REF!,#REF!,#REF!,#REF!,#REF!</definedName>
    <definedName name="__APW_RESTORE_DATA2995__" hidden="1">#REF!,#REF!,#REF!,#REF!,#REF!,#REF!,#REF!,#REF!,#REF!,#REF!,#REF!,#REF!,#REF!,#REF!,#REF!,#REF!</definedName>
    <definedName name="__APW_RESTORE_DATA2996__" hidden="1">#REF!,#REF!,#REF!,#REF!,#REF!,#REF!,#REF!,#REF!,#REF!,#REF!,#REF!,#REF!,#REF!,#REF!,#REF!,#REF!</definedName>
    <definedName name="__APW_RESTORE_DATA2997__" hidden="1">#REF!,#REF!,#REF!,#REF!,#REF!,#REF!,#REF!,#REF!,#REF!,#REF!,#REF!,#REF!,#REF!,#REF!,#REF!,#REF!</definedName>
    <definedName name="__APW_RESTORE_DATA2998__" hidden="1">#REF!,#REF!,#REF!,#REF!,#REF!,#REF!,#REF!,#REF!,#REF!,#REF!,#REF!,#REF!,#REF!,#REF!,#REF!,#REF!</definedName>
    <definedName name="__APW_RESTORE_DATA2999__" hidden="1">#REF!,#REF!,#REF!,#REF!,#REF!,#REF!,#REF!,#REF!,#REF!,#REF!,#REF!,#REF!,#REF!,#REF!,#REF!,#REF!</definedName>
    <definedName name="__APW_RESTORE_DATA3__" hidden="1">#REF!</definedName>
    <definedName name="__APW_RESTORE_DATA30__" hidden="1">#REF!,#REF!,#REF!,#REF!,#REF!,#REF!,#REF!,#REF!,#REF!,#REF!,#REF!,#REF!,#REF!,#REF!,#REF!,#REF!</definedName>
    <definedName name="__APW_RESTORE_DATA300__" hidden="1">#REF!,#REF!,#REF!,#REF!,#REF!,#REF!,#REF!,#REF!,#REF!,#REF!,#REF!,#REF!,#REF!,#REF!,#REF!</definedName>
    <definedName name="__APW_RESTORE_DATA3000__" hidden="1">#REF!,#REF!,#REF!,#REF!,#REF!,#REF!,#REF!,#REF!,#REF!,#REF!,#REF!,#REF!,#REF!,#REF!,#REF!,#REF!</definedName>
    <definedName name="__APW_RESTORE_DATA3001__" hidden="1">#REF!,#REF!,#REF!,#REF!,#REF!,#REF!,#REF!,#REF!,#REF!,#REF!,#REF!,#REF!,#REF!,#REF!,#REF!</definedName>
    <definedName name="__APW_RESTORE_DATA3002__" hidden="1">#REF!,#REF!,#REF!,#REF!,#REF!,#REF!,#REF!,#REF!,#REF!,#REF!,#REF!,#REF!,#REF!,#REF!,#REF!</definedName>
    <definedName name="__APW_RESTORE_DATA3003__" hidden="1">#REF!,#REF!,#REF!,#REF!,#REF!,#REF!,#REF!,#REF!,#REF!,#REF!,#REF!,#REF!,#REF!,#REF!,#REF!</definedName>
    <definedName name="__APW_RESTORE_DATA3004__" hidden="1">#REF!,#REF!,#REF!,#REF!,#REF!,#REF!,#REF!,#REF!,#REF!,#REF!,#REF!,#REF!,#REF!,#REF!,#REF!</definedName>
    <definedName name="__APW_RESTORE_DATA3005__" hidden="1">#REF!,#REF!,#REF!,#REF!,#REF!,#REF!,#REF!,#REF!,#REF!,#REF!,#REF!,#REF!,#REF!,#REF!,#REF!</definedName>
    <definedName name="__APW_RESTORE_DATA3006__" hidden="1">#REF!,#REF!,#REF!,#REF!,#REF!,#REF!,#REF!,#REF!,#REF!,#REF!,#REF!,#REF!,#REF!,#REF!,#REF!</definedName>
    <definedName name="__APW_RESTORE_DATA3007__" hidden="1">#REF!,#REF!,#REF!,#REF!,#REF!,#REF!,#REF!,#REF!,#REF!,#REF!,#REF!,#REF!,#REF!,#REF!,#REF!</definedName>
    <definedName name="__APW_RESTORE_DATA3008__" hidden="1">#REF!,#REF!,#REF!,#REF!,#REF!,#REF!,#REF!,#REF!,#REF!,#REF!,#REF!,#REF!,#REF!,#REF!,#REF!</definedName>
    <definedName name="__APW_RESTORE_DATA3009__" hidden="1">#REF!,#REF!,#REF!,#REF!,#REF!,#REF!,#REF!,#REF!,#REF!,#REF!,#REF!,#REF!,#REF!,#REF!,#REF!</definedName>
    <definedName name="__APW_RESTORE_DATA301__" hidden="1">#REF!,#REF!,#REF!,#REF!,#REF!,#REF!,#REF!,#REF!,#REF!,#REF!,#REF!,#REF!,#REF!,#REF!,#REF!</definedName>
    <definedName name="__APW_RESTORE_DATA3010__" hidden="1">#REF!,#REF!,#REF!,#REF!,#REF!,#REF!,#REF!,#REF!,#REF!,#REF!,#REF!,#REF!,#REF!,#REF!,#REF!</definedName>
    <definedName name="__APW_RESTORE_DATA3011__" hidden="1">#REF!,#REF!,#REF!,#REF!,#REF!,#REF!,#REF!,#REF!,#REF!,#REF!,#REF!,#REF!,#REF!,#REF!,#REF!</definedName>
    <definedName name="__APW_RESTORE_DATA3012__" hidden="1">#REF!,#REF!,#REF!,#REF!,#REF!,#REF!,#REF!,#REF!,#REF!,#REF!,#REF!,#REF!,#REF!,#REF!,#REF!</definedName>
    <definedName name="__APW_RESTORE_DATA3013__" hidden="1">#REF!,#REF!,#REF!,#REF!,#REF!,#REF!,#REF!,#REF!,#REF!,#REF!,#REF!,#REF!,#REF!,#REF!,#REF!</definedName>
    <definedName name="__APW_RESTORE_DATA3014__" hidden="1">#REF!,#REF!,#REF!,#REF!,#REF!,#REF!,#REF!,#REF!,#REF!,#REF!,#REF!,#REF!,#REF!,#REF!,#REF!</definedName>
    <definedName name="__APW_RESTORE_DATA3015__" hidden="1">#REF!,#REF!,#REF!,#REF!,#REF!,#REF!,#REF!,#REF!,#REF!,#REF!,#REF!,#REF!,#REF!,#REF!,#REF!</definedName>
    <definedName name="__APW_RESTORE_DATA3016__" hidden="1">#REF!,#REF!,#REF!,#REF!,#REF!,#REF!,#REF!,#REF!,#REF!,#REF!,#REF!,#REF!,#REF!,#REF!,#REF!</definedName>
    <definedName name="__APW_RESTORE_DATA3017__" hidden="1">#REF!,#REF!,#REF!,#REF!,#REF!,#REF!,#REF!,#REF!,#REF!,#REF!,#REF!,#REF!,#REF!,#REF!,#REF!</definedName>
    <definedName name="__APW_RESTORE_DATA3018__" hidden="1">#REF!,#REF!,#REF!,#REF!,#REF!,#REF!,#REF!,#REF!,#REF!,#REF!,#REF!,#REF!,#REF!,#REF!,#REF!</definedName>
    <definedName name="__APW_RESTORE_DATA3019__" hidden="1">#REF!,#REF!,#REF!,#REF!,#REF!,#REF!,#REF!,#REF!,#REF!,#REF!,#REF!,#REF!,#REF!,#REF!,#REF!</definedName>
    <definedName name="__APW_RESTORE_DATA302__" hidden="1">#REF!,#REF!,#REF!,#REF!,#REF!,#REF!,#REF!,#REF!,#REF!,#REF!,#REF!,#REF!,#REF!,#REF!,#REF!</definedName>
    <definedName name="__APW_RESTORE_DATA3020__" hidden="1">#REF!,#REF!,#REF!,#REF!,#REF!,#REF!,#REF!,#REF!,#REF!,#REF!,#REF!,#REF!,#REF!,#REF!,#REF!</definedName>
    <definedName name="__APW_RESTORE_DATA3021__" hidden="1">#REF!,#REF!,#REF!,#REF!,#REF!,#REF!,#REF!,#REF!,#REF!,#REF!,#REF!,#REF!,#REF!,#REF!,#REF!</definedName>
    <definedName name="__APW_RESTORE_DATA3022__" hidden="1">#REF!,#REF!,#REF!,#REF!,#REF!,#REF!,#REF!,#REF!,#REF!,#REF!,#REF!,#REF!,#REF!,#REF!,#REF!</definedName>
    <definedName name="__APW_RESTORE_DATA3023__" hidden="1">#REF!,#REF!,#REF!,#REF!,#REF!,#REF!,#REF!,#REF!,#REF!,#REF!,#REF!,#REF!,#REF!,#REF!,#REF!</definedName>
    <definedName name="__APW_RESTORE_DATA3024__" hidden="1">#REF!,#REF!,#REF!,#REF!,#REF!,#REF!,#REF!,#REF!,#REF!,#REF!,#REF!,#REF!,#REF!,#REF!,#REF!</definedName>
    <definedName name="__APW_RESTORE_DATA3025__" hidden="1">#REF!,#REF!,#REF!,#REF!,#REF!,#REF!,#REF!,#REF!,#REF!,#REF!,#REF!,#REF!,#REF!,#REF!,#REF!</definedName>
    <definedName name="__APW_RESTORE_DATA3026__" hidden="1">#REF!,#REF!,#REF!,#REF!,#REF!,#REF!,#REF!,#REF!,#REF!,#REF!,#REF!,#REF!,#REF!,#REF!,#REF!</definedName>
    <definedName name="__APW_RESTORE_DATA3027__" hidden="1">#REF!,#REF!,#REF!,#REF!,#REF!,#REF!,#REF!,#REF!,#REF!,#REF!,#REF!,#REF!,#REF!,#REF!,#REF!</definedName>
    <definedName name="__APW_RESTORE_DATA3028__" hidden="1">#REF!,#REF!,#REF!,#REF!,#REF!,#REF!,#REF!,#REF!,#REF!,#REF!,#REF!,#REF!,#REF!,#REF!,#REF!</definedName>
    <definedName name="__APW_RESTORE_DATA3029__" hidden="1">#REF!,#REF!,#REF!,#REF!,#REF!,#REF!</definedName>
    <definedName name="__APW_RESTORE_DATA303__" hidden="1">#REF!,#REF!,#REF!,#REF!,#REF!,#REF!,#REF!,#REF!,#REF!,#REF!,#REF!,#REF!,#REF!,#REF!,#REF!</definedName>
    <definedName name="__APW_RESTORE_DATA3030__" hidden="1">#REF!</definedName>
    <definedName name="__APW_RESTORE_DATA3031__" hidden="1">#REF!</definedName>
    <definedName name="__APW_RESTORE_DATA3032__" hidden="1">#REF!</definedName>
    <definedName name="__APW_RESTORE_DATA3034__" hidden="1">#REF!</definedName>
    <definedName name="__APW_RESTORE_DATA3035__" hidden="1">#REF!,#REF!,#REF!,#REF!,#REF!,#REF!,#REF!,#REF!,#REF!,#REF!,#REF!,#REF!,#REF!,#REF!,#REF!,#REF!</definedName>
    <definedName name="__APW_RESTORE_DATA3036__" hidden="1">#REF!,#REF!,#REF!,#REF!,#REF!,#REF!,#REF!,#REF!,#REF!,#REF!,#REF!,#REF!,#REF!,#REF!,#REF!,#REF!</definedName>
    <definedName name="__APW_RESTORE_DATA3037__" hidden="1">#REF!,#REF!,#REF!,#REF!,#REF!,#REF!,#REF!,#REF!,#REF!,#REF!,#REF!,#REF!,#REF!,#REF!,#REF!,#REF!</definedName>
    <definedName name="__APW_RESTORE_DATA3038__" hidden="1">#REF!,#REF!,#REF!,#REF!,#REF!,#REF!,#REF!,#REF!,#REF!,#REF!,#REF!,#REF!,#REF!,#REF!,#REF!,#REF!</definedName>
    <definedName name="__APW_RESTORE_DATA3039__" hidden="1">#REF!,#REF!,#REF!,#REF!,#REF!,#REF!,#REF!,#REF!,#REF!,#REF!,#REF!,#REF!,#REF!,#REF!,#REF!,#REF!</definedName>
    <definedName name="__APW_RESTORE_DATA304__" hidden="1">#REF!,#REF!,#REF!,#REF!,#REF!,#REF!,#REF!,#REF!,#REF!,#REF!,#REF!,#REF!,#REF!,#REF!,#REF!</definedName>
    <definedName name="__APW_RESTORE_DATA3040__" hidden="1">#REF!,#REF!,#REF!,#REF!,#REF!,#REF!,#REF!,#REF!,#REF!,#REF!,#REF!,#REF!,#REF!,#REF!,#REF!,#REF!</definedName>
    <definedName name="__APW_RESTORE_DATA3041__" hidden="1">#REF!,#REF!,#REF!,#REF!,#REF!,#REF!,#REF!,#REF!,#REF!,#REF!,#REF!,#REF!,#REF!,#REF!,#REF!</definedName>
    <definedName name="__APW_RESTORE_DATA3042__" hidden="1">#REF!,#REF!,#REF!,#REF!,#REF!,#REF!,#REF!,#REF!,#REF!,#REF!,#REF!,#REF!,#REF!,#REF!,#REF!</definedName>
    <definedName name="__APW_RESTORE_DATA3043__" hidden="1">#REF!,#REF!,#REF!,#REF!,#REF!,#REF!,#REF!,#REF!,#REF!,#REF!,#REF!,#REF!,#REF!,#REF!,#REF!</definedName>
    <definedName name="__APW_RESTORE_DATA3044__" hidden="1">#REF!,#REF!,#REF!,#REF!,#REF!,#REF!,#REF!,#REF!,#REF!,#REF!,#REF!,#REF!,#REF!,#REF!,#REF!</definedName>
    <definedName name="__APW_RESTORE_DATA3045__" hidden="1">#REF!,#REF!,#REF!,#REF!,#REF!,#REF!,#REF!,#REF!,#REF!,#REF!,#REF!,#REF!,#REF!,#REF!,#REF!</definedName>
    <definedName name="__APW_RESTORE_DATA3046__" hidden="1">#REF!,#REF!,#REF!,#REF!,#REF!,#REF!,#REF!,#REF!,#REF!,#REF!,#REF!,#REF!,#REF!,#REF!,#REF!</definedName>
    <definedName name="__APW_RESTORE_DATA3047__" hidden="1">#REF!,#REF!,#REF!,#REF!,#REF!,#REF!,#REF!,#REF!,#REF!,#REF!,#REF!,#REF!,#REF!,#REF!,#REF!</definedName>
    <definedName name="__APW_RESTORE_DATA3048__" hidden="1">#REF!,#REF!,#REF!,#REF!,#REF!,#REF!,#REF!,#REF!,#REF!,#REF!,#REF!,#REF!,#REF!,#REF!,#REF!</definedName>
    <definedName name="__APW_RESTORE_DATA3049__" hidden="1">#REF!,#REF!,#REF!,#REF!,#REF!,#REF!,#REF!,#REF!,#REF!,#REF!,#REF!,#REF!,#REF!,#REF!,#REF!</definedName>
    <definedName name="__APW_RESTORE_DATA305__" hidden="1">#REF!,#REF!,#REF!,#REF!,#REF!,#REF!,#REF!,#REF!,#REF!,#REF!,#REF!,#REF!,#REF!,#REF!,#REF!</definedName>
    <definedName name="__APW_RESTORE_DATA3050__" hidden="1">#REF!,#REF!,#REF!,#REF!,#REF!,#REF!,#REF!,#REF!,#REF!,#REF!,#REF!,#REF!,#REF!,#REF!,#REF!</definedName>
    <definedName name="__APW_RESTORE_DATA3051__" hidden="1">#REF!,#REF!,#REF!,#REF!,#REF!,#REF!,#REF!,#REF!,#REF!,#REF!,#REF!,#REF!,#REF!,#REF!,#REF!</definedName>
    <definedName name="__APW_RESTORE_DATA3052__" hidden="1">#REF!,#REF!,#REF!,#REF!,#REF!,#REF!,#REF!,#REF!,#REF!,#REF!,#REF!,#REF!,#REF!,#REF!,#REF!</definedName>
    <definedName name="__APW_RESTORE_DATA3053__" hidden="1">#REF!,#REF!,#REF!,#REF!,#REF!,#REF!,#REF!,#REF!,#REF!,#REF!,#REF!,#REF!,#REF!,#REF!,#REF!</definedName>
    <definedName name="__APW_RESTORE_DATA3054__" hidden="1">#REF!,#REF!,#REF!,#REF!,#REF!,#REF!,#REF!,#REF!,#REF!,#REF!,#REF!,#REF!,#REF!,#REF!,#REF!</definedName>
    <definedName name="__APW_RESTORE_DATA3055__" hidden="1">#REF!,#REF!,#REF!,#REF!,#REF!,#REF!,#REF!,#REF!,#REF!,#REF!,#REF!,#REF!,#REF!,#REF!,#REF!</definedName>
    <definedName name="__APW_RESTORE_DATA3056__" hidden="1">#REF!,#REF!,#REF!,#REF!,#REF!,#REF!,#REF!,#REF!,#REF!,#REF!,#REF!,#REF!,#REF!,#REF!,#REF!</definedName>
    <definedName name="__APW_RESTORE_DATA3057__" hidden="1">#REF!,#REF!,#REF!,#REF!,#REF!,#REF!,#REF!,#REF!,#REF!,#REF!,#REF!,#REF!,#REF!,#REF!,#REF!</definedName>
    <definedName name="__APW_RESTORE_DATA3058__" hidden="1">#REF!,#REF!,#REF!,#REF!,#REF!,#REF!,#REF!,#REF!,#REF!,#REF!,#REF!,#REF!,#REF!,#REF!,#REF!</definedName>
    <definedName name="__APW_RESTORE_DATA3059__" hidden="1">#REF!,#REF!,#REF!,#REF!,#REF!,#REF!,#REF!,#REF!,#REF!,#REF!,#REF!,#REF!,#REF!,#REF!,#REF!</definedName>
    <definedName name="__APW_RESTORE_DATA306__" hidden="1">#REF!,#REF!,#REF!,#REF!,#REF!,#REF!,#REF!,#REF!,#REF!,#REF!,#REF!,#REF!,#REF!,#REF!,#REF!</definedName>
    <definedName name="__APW_RESTORE_DATA3060__" hidden="1">#REF!,#REF!,#REF!,#REF!,#REF!,#REF!,#REF!,#REF!,#REF!,#REF!,#REF!,#REF!,#REF!,#REF!,#REF!</definedName>
    <definedName name="__APW_RESTORE_DATA3061__" hidden="1">#REF!,#REF!,#REF!,#REF!,#REF!,#REF!,#REF!,#REF!,#REF!,#REF!,#REF!,#REF!,#REF!,#REF!,#REF!</definedName>
    <definedName name="__APW_RESTORE_DATA3062__" hidden="1">#REF!,#REF!,#REF!,#REF!,#REF!,#REF!,#REF!,#REF!,#REF!,#REF!,#REF!,#REF!,#REF!,#REF!,#REF!</definedName>
    <definedName name="__APW_RESTORE_DATA3063__" hidden="1">#REF!,#REF!,#REF!,#REF!,#REF!,#REF!,#REF!,#REF!,#REF!,#REF!,#REF!,#REF!,#REF!,#REF!,#REF!</definedName>
    <definedName name="__APW_RESTORE_DATA3064__" hidden="1">#REF!,#REF!,#REF!,#REF!,#REF!,#REF!,#REF!,#REF!,#REF!,#REF!,#REF!,#REF!,#REF!,#REF!,#REF!</definedName>
    <definedName name="__APW_RESTORE_DATA3065__" hidden="1">#REF!,#REF!,#REF!,#REF!,#REF!,#REF!,#REF!,#REF!,#REF!,#REF!,#REF!,#REF!,#REF!,#REF!,#REF!</definedName>
    <definedName name="__APW_RESTORE_DATA3066__" hidden="1">#REF!,#REF!,#REF!,#REF!,#REF!,#REF!,#REF!,#REF!,#REF!,#REF!,#REF!,#REF!,#REF!,#REF!,#REF!</definedName>
    <definedName name="__APW_RESTORE_DATA3067__" hidden="1">#REF!,#REF!,#REF!,#REF!,#REF!,#REF!,#REF!,#REF!,#REF!,#REF!,#REF!,#REF!,#REF!,#REF!,#REF!</definedName>
    <definedName name="__APW_RESTORE_DATA3068__" hidden="1">#REF!,#REF!,#REF!,#REF!,#REF!,#REF!,#REF!,#REF!,#REF!,#REF!,#REF!,#REF!,#REF!,#REF!,#REF!</definedName>
    <definedName name="__APW_RESTORE_DATA3069__" hidden="1">#REF!,#REF!,#REF!,#REF!,#REF!,#REF!</definedName>
    <definedName name="__APW_RESTORE_DATA307__" hidden="1">#REF!,#REF!,#REF!,#REF!,#REF!,#REF!,#REF!,#REF!,#REF!,#REF!,#REF!,#REF!,#REF!,#REF!,#REF!</definedName>
    <definedName name="__APW_RESTORE_DATA3070__" hidden="1">#REF!,#REF!,#REF!,#REF!,#REF!,#REF!,#REF!,#REF!,#REF!,#REF!,#REF!,#REF!,#REF!,#REF!,#REF!,#REF!</definedName>
    <definedName name="__APW_RESTORE_DATA3071__" hidden="1">#REF!,#REF!,#REF!,#REF!,#REF!,#REF!,#REF!,#REF!,#REF!,#REF!,#REF!,#REF!,#REF!,#REF!,#REF!,#REF!</definedName>
    <definedName name="__APW_RESTORE_DATA3072__" hidden="1">#REF!,#REF!,#REF!,#REF!,#REF!,#REF!,#REF!,#REF!,#REF!,#REF!,#REF!,#REF!,#REF!,#REF!,#REF!,#REF!</definedName>
    <definedName name="__APW_RESTORE_DATA3073__" hidden="1">#REF!,#REF!,#REF!,#REF!,#REF!,#REF!,#REF!,#REF!,#REF!,#REF!,#REF!,#REF!,#REF!,#REF!,#REF!,#REF!</definedName>
    <definedName name="__APW_RESTORE_DATA3074__" hidden="1">#REF!,#REF!,#REF!,#REF!,#REF!,#REF!,#REF!,#REF!,#REF!,#REF!,#REF!,#REF!,#REF!,#REF!,#REF!,#REF!</definedName>
    <definedName name="__APW_RESTORE_DATA3075__" hidden="1">#REF!,#REF!,#REF!,#REF!,#REF!,#REF!,#REF!,#REF!,#REF!,#REF!,#REF!,#REF!,#REF!,#REF!,#REF!,#REF!</definedName>
    <definedName name="__APW_RESTORE_DATA3076__" hidden="1">#REF!,#REF!,#REF!,#REF!,#REF!,#REF!,#REF!,#REF!,#REF!,#REF!,#REF!,#REF!,#REF!,#REF!,#REF!</definedName>
    <definedName name="__APW_RESTORE_DATA3077__" hidden="1">#REF!,#REF!,#REF!,#REF!,#REF!,#REF!,#REF!,#REF!,#REF!,#REF!,#REF!,#REF!,#REF!,#REF!,#REF!</definedName>
    <definedName name="__APW_RESTORE_DATA3078__" hidden="1">#REF!,#REF!,#REF!,#REF!,#REF!,#REF!,#REF!,#REF!,#REF!,#REF!,#REF!,#REF!,#REF!,#REF!,#REF!</definedName>
    <definedName name="__APW_RESTORE_DATA3079__" hidden="1">#REF!,#REF!,#REF!,#REF!,#REF!,#REF!,#REF!,#REF!,#REF!,#REF!,#REF!,#REF!,#REF!,#REF!,#REF!</definedName>
    <definedName name="__APW_RESTORE_DATA308__" hidden="1">#REF!,#REF!,#REF!,#REF!,#REF!,#REF!,#REF!,#REF!,#REF!,#REF!,#REF!,#REF!,#REF!,#REF!,#REF!</definedName>
    <definedName name="__APW_RESTORE_DATA3080__" hidden="1">#REF!,#REF!,#REF!,#REF!,#REF!,#REF!,#REF!,#REF!,#REF!,#REF!,#REF!,#REF!,#REF!,#REF!,#REF!</definedName>
    <definedName name="__APW_RESTORE_DATA3081__" hidden="1">#REF!,#REF!,#REF!,#REF!,#REF!,#REF!,#REF!,#REF!,#REF!,#REF!,#REF!,#REF!,#REF!,#REF!,#REF!</definedName>
    <definedName name="__APW_RESTORE_DATA3082__" hidden="1">#REF!,#REF!,#REF!,#REF!,#REF!,#REF!,#REF!,#REF!,#REF!,#REF!,#REF!,#REF!,#REF!,#REF!,#REF!</definedName>
    <definedName name="__APW_RESTORE_DATA3083__" hidden="1">#REF!,#REF!,#REF!,#REF!,#REF!,#REF!,#REF!,#REF!,#REF!,#REF!,#REF!,#REF!,#REF!,#REF!,#REF!</definedName>
    <definedName name="__APW_RESTORE_DATA3084__" hidden="1">#REF!,#REF!,#REF!,#REF!,#REF!,#REF!,#REF!,#REF!,#REF!,#REF!,#REF!,#REF!,#REF!,#REF!,#REF!</definedName>
    <definedName name="__APW_RESTORE_DATA3085__" hidden="1">#REF!,#REF!,#REF!,#REF!,#REF!,#REF!,#REF!,#REF!,#REF!,#REF!,#REF!,#REF!,#REF!,#REF!,#REF!</definedName>
    <definedName name="__APW_RESTORE_DATA3086__" hidden="1">#REF!,#REF!,#REF!,#REF!,#REF!,#REF!,#REF!,#REF!,#REF!,#REF!,#REF!,#REF!,#REF!,#REF!,#REF!</definedName>
    <definedName name="__APW_RESTORE_DATA3087__" hidden="1">#REF!,#REF!,#REF!,#REF!,#REF!,#REF!,#REF!,#REF!,#REF!,#REF!,#REF!,#REF!,#REF!,#REF!,#REF!</definedName>
    <definedName name="__APW_RESTORE_DATA3088__" hidden="1">#REF!,#REF!,#REF!,#REF!,#REF!,#REF!,#REF!,#REF!,#REF!,#REF!,#REF!,#REF!,#REF!,#REF!,#REF!</definedName>
    <definedName name="__APW_RESTORE_DATA3089__" hidden="1">#REF!,#REF!,#REF!,#REF!,#REF!,#REF!,#REF!,#REF!,#REF!,#REF!,#REF!,#REF!,#REF!,#REF!,#REF!</definedName>
    <definedName name="__APW_RESTORE_DATA309__" hidden="1">#REF!,#REF!,#REF!,#REF!,#REF!,#REF!,#REF!,#REF!,#REF!,#REF!,#REF!,#REF!,#REF!,#REF!,#REF!</definedName>
    <definedName name="__APW_RESTORE_DATA3090__" hidden="1">#REF!,#REF!,#REF!,#REF!,#REF!,#REF!,#REF!,#REF!,#REF!,#REF!,#REF!,#REF!,#REF!,#REF!,#REF!</definedName>
    <definedName name="__APW_RESTORE_DATA3091__" hidden="1">#REF!,#REF!,#REF!,#REF!,#REF!,#REF!,#REF!,#REF!,#REF!,#REF!,#REF!,#REF!,#REF!,#REF!,#REF!</definedName>
    <definedName name="__APW_RESTORE_DATA3092__" hidden="1">#REF!,#REF!,#REF!,#REF!,#REF!,#REF!,#REF!,#REF!,#REF!,#REF!,#REF!,#REF!,#REF!,#REF!,#REF!</definedName>
    <definedName name="__APW_RESTORE_DATA3093__" hidden="1">#REF!,#REF!,#REF!,#REF!,#REF!,#REF!,#REF!,#REF!,#REF!,#REF!,#REF!,#REF!,#REF!,#REF!,#REF!</definedName>
    <definedName name="__APW_RESTORE_DATA3094__" hidden="1">#REF!,#REF!,#REF!,#REF!,#REF!,#REF!,#REF!,#REF!,#REF!,#REF!,#REF!,#REF!,#REF!,#REF!,#REF!</definedName>
    <definedName name="__APW_RESTORE_DATA3095__" hidden="1">#REF!,#REF!,#REF!,#REF!,#REF!,#REF!,#REF!,#REF!,#REF!,#REF!,#REF!,#REF!,#REF!,#REF!,#REF!</definedName>
    <definedName name="__APW_RESTORE_DATA3096__" hidden="1">#REF!,#REF!,#REF!,#REF!,#REF!,#REF!,#REF!,#REF!,#REF!,#REF!,#REF!,#REF!,#REF!,#REF!,#REF!</definedName>
    <definedName name="__APW_RESTORE_DATA3097__" hidden="1">#REF!,#REF!,#REF!,#REF!,#REF!,#REF!,#REF!,#REF!,#REF!,#REF!,#REF!,#REF!,#REF!,#REF!,#REF!</definedName>
    <definedName name="__APW_RESTORE_DATA3098__" hidden="1">#REF!,#REF!,#REF!,#REF!,#REF!,#REF!,#REF!,#REF!,#REF!,#REF!,#REF!,#REF!,#REF!,#REF!,#REF!</definedName>
    <definedName name="__APW_RESTORE_DATA3099__" hidden="1">#REF!,#REF!,#REF!,#REF!,#REF!,#REF!,#REF!,#REF!,#REF!,#REF!,#REF!,#REF!,#REF!,#REF!,#REF!</definedName>
    <definedName name="__APW_RESTORE_DATA31__" hidden="1">#REF!,#REF!,#REF!,#REF!,#REF!,#REF!,#REF!,#REF!,#REF!,#REF!,#REF!,#REF!,#REF!,#REF!,#REF!</definedName>
    <definedName name="__APW_RESTORE_DATA310__" hidden="1">#REF!,#REF!,#REF!,#REF!,#REF!,#REF!,#REF!,#REF!,#REF!,#REF!,#REF!,#REF!,#REF!,#REF!,#REF!</definedName>
    <definedName name="__APW_RESTORE_DATA3100__" hidden="1">#REF!,#REF!,#REF!,#REF!,#REF!,#REF!,#REF!,#REF!,#REF!,#REF!,#REF!,#REF!,#REF!,#REF!,#REF!</definedName>
    <definedName name="__APW_RESTORE_DATA3101__" hidden="1">#REF!,#REF!,#REF!,#REF!,#REF!,#REF!,#REF!,#REF!,#REF!,#REF!,#REF!,#REF!,#REF!,#REF!,#REF!</definedName>
    <definedName name="__APW_RESTORE_DATA3102__" hidden="1">#REF!,#REF!,#REF!,#REF!,#REF!,#REF!,#REF!,#REF!,#REF!,#REF!,#REF!,#REF!,#REF!,#REF!,#REF!</definedName>
    <definedName name="__APW_RESTORE_DATA3103__" hidden="1">#REF!,#REF!,#REF!,#REF!,#REF!,#REF!,#REF!,#REF!,#REF!,#REF!,#REF!,#REF!,#REF!,#REF!,#REF!</definedName>
    <definedName name="__APW_RESTORE_DATA3104__" hidden="1">#REF!,#REF!,#REF!,#REF!,#REF!,#REF!</definedName>
    <definedName name="__APW_RESTORE_DATA3105__" hidden="1">#REF!,#REF!,#REF!,#REF!,#REF!,#REF!,#REF!,#REF!,#REF!,#REF!,#REF!,#REF!,#REF!,#REF!,#REF!,#REF!</definedName>
    <definedName name="__APW_RESTORE_DATA3106__" hidden="1">#REF!,#REF!,#REF!,#REF!,#REF!,#REF!,#REF!,#REF!,#REF!,#REF!,#REF!,#REF!,#REF!,#REF!,#REF!,#REF!</definedName>
    <definedName name="__APW_RESTORE_DATA3107__" hidden="1">#REF!,#REF!,#REF!,#REF!,#REF!,#REF!,#REF!,#REF!,#REF!,#REF!,#REF!,#REF!,#REF!,#REF!,#REF!,#REF!</definedName>
    <definedName name="__APW_RESTORE_DATA3108__" hidden="1">#REF!,#REF!,#REF!,#REF!,#REF!,#REF!,#REF!,#REF!,#REF!,#REF!,#REF!,#REF!,#REF!,#REF!,#REF!,#REF!</definedName>
    <definedName name="__APW_RESTORE_DATA3109__" hidden="1">#REF!,#REF!,#REF!,#REF!,#REF!,#REF!,#REF!,#REF!,#REF!,#REF!,#REF!,#REF!,#REF!,#REF!,#REF!,#REF!</definedName>
    <definedName name="__APW_RESTORE_DATA311__" hidden="1">#REF!,#REF!,#REF!,#REF!,#REF!,#REF!,#REF!,#REF!,#REF!,#REF!,#REF!,#REF!,#REF!,#REF!,#REF!</definedName>
    <definedName name="__APW_RESTORE_DATA3110__" hidden="1">#REF!,#REF!,#REF!,#REF!,#REF!,#REF!,#REF!,#REF!,#REF!,#REF!,#REF!,#REF!,#REF!,#REF!,#REF!,#REF!</definedName>
    <definedName name="__APW_RESTORE_DATA3111__" hidden="1">#REF!,#REF!,#REF!,#REF!,#REF!,#REF!,#REF!,#REF!,#REF!,#REF!,#REF!,#REF!,#REF!,#REF!,#REF!</definedName>
    <definedName name="__APW_RESTORE_DATA3112__" hidden="1">#REF!,#REF!,#REF!,#REF!,#REF!,#REF!,#REF!,#REF!,#REF!,#REF!,#REF!,#REF!,#REF!,#REF!,#REF!</definedName>
    <definedName name="__APW_RESTORE_DATA3113__" hidden="1">#REF!,#REF!,#REF!,#REF!,#REF!,#REF!,#REF!,#REF!,#REF!,#REF!,#REF!,#REF!,#REF!,#REF!,#REF!</definedName>
    <definedName name="__APW_RESTORE_DATA3114__" hidden="1">#REF!,#REF!,#REF!,#REF!,#REF!,#REF!,#REF!,#REF!,#REF!,#REF!,#REF!,#REF!,#REF!,#REF!,#REF!</definedName>
    <definedName name="__APW_RESTORE_DATA3115__" hidden="1">#REF!,#REF!,#REF!,#REF!,#REF!,#REF!,#REF!,#REF!,#REF!,#REF!,#REF!,#REF!,#REF!,#REF!,#REF!</definedName>
    <definedName name="__APW_RESTORE_DATA3116__" hidden="1">#REF!,#REF!,#REF!,#REF!,#REF!,#REF!,#REF!,#REF!,#REF!,#REF!,#REF!,#REF!,#REF!,#REF!,#REF!</definedName>
    <definedName name="__APW_RESTORE_DATA3117__" hidden="1">#REF!,#REF!,#REF!,#REF!,#REF!,#REF!,#REF!,#REF!,#REF!,#REF!,#REF!,#REF!,#REF!,#REF!,#REF!</definedName>
    <definedName name="__APW_RESTORE_DATA3118__" hidden="1">#REF!,#REF!,#REF!,#REF!,#REF!,#REF!,#REF!,#REF!,#REF!,#REF!,#REF!,#REF!,#REF!,#REF!,#REF!</definedName>
    <definedName name="__APW_RESTORE_DATA3119__" hidden="1">#REF!,#REF!,#REF!,#REF!,#REF!,#REF!,#REF!,#REF!,#REF!,#REF!,#REF!,#REF!,#REF!,#REF!,#REF!</definedName>
    <definedName name="__APW_RESTORE_DATA312__" hidden="1">#REF!,#REF!,#REF!,#REF!,#REF!,#REF!,#REF!,#REF!,#REF!,#REF!,#REF!,#REF!,#REF!,#REF!,#REF!</definedName>
    <definedName name="__APW_RESTORE_DATA3120__" hidden="1">#REF!,#REF!,#REF!,#REF!,#REF!,#REF!,#REF!,#REF!,#REF!,#REF!,#REF!,#REF!,#REF!,#REF!,#REF!</definedName>
    <definedName name="__APW_RESTORE_DATA3121__" hidden="1">#REF!,#REF!,#REF!,#REF!,#REF!,#REF!,#REF!,#REF!,#REF!,#REF!,#REF!,#REF!,#REF!,#REF!,#REF!</definedName>
    <definedName name="__APW_RESTORE_DATA3122__" hidden="1">#REF!,#REF!,#REF!,#REF!,#REF!,#REF!,#REF!,#REF!,#REF!,#REF!,#REF!,#REF!,#REF!,#REF!,#REF!</definedName>
    <definedName name="__APW_RESTORE_DATA3123__" hidden="1">#REF!,#REF!,#REF!,#REF!,#REF!,#REF!,#REF!,#REF!,#REF!,#REF!,#REF!,#REF!,#REF!,#REF!,#REF!</definedName>
    <definedName name="__APW_RESTORE_DATA3124__" hidden="1">#REF!,#REF!,#REF!,#REF!,#REF!,#REF!,#REF!,#REF!,#REF!,#REF!,#REF!,#REF!,#REF!,#REF!,#REF!</definedName>
    <definedName name="__APW_RESTORE_DATA3125__" hidden="1">#REF!,#REF!,#REF!,#REF!,#REF!,#REF!,#REF!,#REF!,#REF!,#REF!,#REF!,#REF!,#REF!,#REF!,#REF!</definedName>
    <definedName name="__APW_RESTORE_DATA3126__" hidden="1">#REF!,#REF!,#REF!,#REF!,#REF!,#REF!,#REF!,#REF!,#REF!,#REF!,#REF!,#REF!,#REF!,#REF!,#REF!</definedName>
    <definedName name="__APW_RESTORE_DATA3127__" hidden="1">#REF!,#REF!,#REF!,#REF!,#REF!,#REF!,#REF!,#REF!,#REF!,#REF!,#REF!,#REF!,#REF!,#REF!,#REF!</definedName>
    <definedName name="__APW_RESTORE_DATA3128__" hidden="1">#REF!,#REF!,#REF!,#REF!,#REF!,#REF!,#REF!,#REF!,#REF!,#REF!,#REF!,#REF!,#REF!,#REF!,#REF!</definedName>
    <definedName name="__APW_RESTORE_DATA3129__" hidden="1">#REF!,#REF!,#REF!,#REF!,#REF!,#REF!,#REF!,#REF!,#REF!,#REF!,#REF!,#REF!,#REF!,#REF!,#REF!</definedName>
    <definedName name="__APW_RESTORE_DATA313__" hidden="1">#REF!,#REF!</definedName>
    <definedName name="__APW_RESTORE_DATA3130__" hidden="1">#REF!,#REF!,#REF!,#REF!,#REF!,#REF!,#REF!,#REF!,#REF!,#REF!,#REF!,#REF!,#REF!,#REF!,#REF!</definedName>
    <definedName name="__APW_RESTORE_DATA3131__" hidden="1">#REF!,#REF!,#REF!,#REF!,#REF!,#REF!,#REF!,#REF!,#REF!,#REF!,#REF!,#REF!,#REF!,#REF!,#REF!</definedName>
    <definedName name="__APW_RESTORE_DATA3132__" hidden="1">#REF!,#REF!,#REF!,#REF!,#REF!,#REF!,#REF!,#REF!,#REF!,#REF!,#REF!,#REF!,#REF!,#REF!,#REF!</definedName>
    <definedName name="__APW_RESTORE_DATA3133__" hidden="1">#REF!,#REF!,#REF!,#REF!,#REF!,#REF!,#REF!,#REF!,#REF!,#REF!,#REF!,#REF!,#REF!,#REF!,#REF!</definedName>
    <definedName name="__APW_RESTORE_DATA3134__" hidden="1">#REF!,#REF!,#REF!,#REF!,#REF!,#REF!,#REF!,#REF!,#REF!,#REF!,#REF!,#REF!,#REF!,#REF!,#REF!</definedName>
    <definedName name="__APW_RESTORE_DATA3135__" hidden="1">#REF!,#REF!,#REF!,#REF!,#REF!,#REF!,#REF!,#REF!,#REF!,#REF!,#REF!,#REF!,#REF!,#REF!,#REF!</definedName>
    <definedName name="__APW_RESTORE_DATA3136__" hidden="1">#REF!,#REF!,#REF!,#REF!,#REF!,#REF!,#REF!,#REF!,#REF!,#REF!,#REF!,#REF!,#REF!,#REF!,#REF!</definedName>
    <definedName name="__APW_RESTORE_DATA3137__" hidden="1">#REF!,#REF!,#REF!,#REF!,#REF!,#REF!,#REF!,#REF!,#REF!,#REF!,#REF!,#REF!,#REF!,#REF!,#REF!</definedName>
    <definedName name="__APW_RESTORE_DATA3138__" hidden="1">#REF!,#REF!,#REF!,#REF!,#REF!,#REF!,#REF!,#REF!,#REF!,#REF!,#REF!,#REF!,#REF!,#REF!,#REF!</definedName>
    <definedName name="__APW_RESTORE_DATA3139__" hidden="1">#REF!,#REF!,#REF!,#REF!,#REF!,#REF!</definedName>
    <definedName name="__APW_RESTORE_DATA314__" hidden="1">#REF!,#REF!</definedName>
    <definedName name="__APW_RESTORE_DATA3140__" hidden="1">#REF!,#REF!,#REF!,#REF!,#REF!,#REF!,#REF!,#REF!,#REF!,#REF!,#REF!,#REF!,#REF!,#REF!,#REF!,#REF!</definedName>
    <definedName name="__APW_RESTORE_DATA3141__" hidden="1">#REF!,#REF!,#REF!,#REF!,#REF!,#REF!,#REF!,#REF!,#REF!,#REF!,#REF!,#REF!,#REF!,#REF!,#REF!,#REF!</definedName>
    <definedName name="__APW_RESTORE_DATA3142__" hidden="1">#REF!,#REF!,#REF!,#REF!,#REF!,#REF!,#REF!,#REF!,#REF!,#REF!,#REF!,#REF!,#REF!,#REF!,#REF!,#REF!</definedName>
    <definedName name="__APW_RESTORE_DATA3143__" hidden="1">#REF!,#REF!,#REF!,#REF!,#REF!,#REF!,#REF!,#REF!,#REF!,#REF!,#REF!,#REF!,#REF!,#REF!,#REF!,#REF!</definedName>
    <definedName name="__APW_RESTORE_DATA3144__" hidden="1">#REF!,#REF!,#REF!,#REF!,#REF!,#REF!,#REF!,#REF!,#REF!,#REF!,#REF!,#REF!,#REF!,#REF!,#REF!,#REF!</definedName>
    <definedName name="__APW_RESTORE_DATA3145__" hidden="1">#REF!,#REF!,#REF!,#REF!,#REF!,#REF!,#REF!,#REF!,#REF!,#REF!,#REF!,#REF!,#REF!,#REF!,#REF!,#REF!</definedName>
    <definedName name="__APW_RESTORE_DATA3146__" hidden="1">#REF!,#REF!,#REF!,#REF!,#REF!,#REF!,#REF!,#REF!,#REF!,#REF!,#REF!,#REF!,#REF!,#REF!,#REF!</definedName>
    <definedName name="__APW_RESTORE_DATA3147__" hidden="1">#REF!,#REF!,#REF!,#REF!,#REF!,#REF!,#REF!,#REF!,#REF!,#REF!,#REF!,#REF!,#REF!,#REF!,#REF!</definedName>
    <definedName name="__APW_RESTORE_DATA3148__" hidden="1">#REF!,#REF!,#REF!,#REF!,#REF!,#REF!,#REF!,#REF!,#REF!,#REF!,#REF!,#REF!,#REF!,#REF!,#REF!</definedName>
    <definedName name="__APW_RESTORE_DATA3149__" hidden="1">#REF!,#REF!,#REF!,#REF!,#REF!,#REF!,#REF!,#REF!,#REF!,#REF!,#REF!,#REF!,#REF!,#REF!,#REF!</definedName>
    <definedName name="__APW_RESTORE_DATA315__" hidden="1">#REF!,#REF!,#REF!,#REF!,#REF!,#REF!,#REF!,#REF!,#REF!,#REF!,#REF!,#REF!,#REF!,#REF!,#REF!</definedName>
    <definedName name="__APW_RESTORE_DATA3150__" hidden="1">#REF!,#REF!,#REF!,#REF!,#REF!,#REF!,#REF!,#REF!,#REF!,#REF!,#REF!,#REF!,#REF!,#REF!,#REF!</definedName>
    <definedName name="__APW_RESTORE_DATA3151__" hidden="1">#REF!,#REF!,#REF!,#REF!,#REF!,#REF!,#REF!,#REF!,#REF!,#REF!,#REF!,#REF!,#REF!,#REF!,#REF!</definedName>
    <definedName name="__APW_RESTORE_DATA3152__" hidden="1">#REF!,#REF!,#REF!,#REF!,#REF!,#REF!,#REF!,#REF!,#REF!,#REF!,#REF!,#REF!,#REF!,#REF!,#REF!</definedName>
    <definedName name="__APW_RESTORE_DATA3153__" hidden="1">#REF!,#REF!,#REF!,#REF!,#REF!,#REF!,#REF!,#REF!,#REF!,#REF!,#REF!,#REF!,#REF!,#REF!,#REF!</definedName>
    <definedName name="__APW_RESTORE_DATA3154__" hidden="1">#REF!,#REF!,#REF!,#REF!,#REF!,#REF!,#REF!,#REF!,#REF!,#REF!,#REF!,#REF!,#REF!,#REF!,#REF!</definedName>
    <definedName name="__APW_RESTORE_DATA3155__" hidden="1">#REF!,#REF!,#REF!,#REF!,#REF!,#REF!,#REF!,#REF!,#REF!,#REF!,#REF!,#REF!,#REF!,#REF!,#REF!</definedName>
    <definedName name="__APW_RESTORE_DATA3156__" hidden="1">#REF!,#REF!,#REF!,#REF!,#REF!,#REF!,#REF!,#REF!,#REF!,#REF!,#REF!,#REF!,#REF!,#REF!,#REF!</definedName>
    <definedName name="__APW_RESTORE_DATA3157__" hidden="1">#REF!,#REF!,#REF!,#REF!,#REF!,#REF!,#REF!,#REF!,#REF!,#REF!,#REF!,#REF!,#REF!,#REF!,#REF!</definedName>
    <definedName name="__APW_RESTORE_DATA3158__" hidden="1">#REF!,#REF!,#REF!,#REF!,#REF!,#REF!,#REF!,#REF!,#REF!,#REF!,#REF!,#REF!,#REF!,#REF!,#REF!</definedName>
    <definedName name="__APW_RESTORE_DATA3159__" hidden="1">#REF!,#REF!,#REF!,#REF!,#REF!,#REF!,#REF!,#REF!,#REF!,#REF!,#REF!,#REF!,#REF!,#REF!,#REF!</definedName>
    <definedName name="__APW_RESTORE_DATA316__" hidden="1">#REF!,#REF!,#REF!,#REF!,#REF!,#REF!,#REF!,#REF!,#REF!,#REF!,#REF!,#REF!,#REF!,#REF!,#REF!</definedName>
    <definedName name="__APW_RESTORE_DATA3160__" hidden="1">#REF!,#REF!,#REF!,#REF!,#REF!,#REF!,#REF!,#REF!,#REF!,#REF!,#REF!,#REF!,#REF!,#REF!,#REF!</definedName>
    <definedName name="__APW_RESTORE_DATA3161__" hidden="1">#REF!,#REF!,#REF!,#REF!,#REF!,#REF!,#REF!,#REF!,#REF!,#REF!,#REF!,#REF!,#REF!,#REF!,#REF!</definedName>
    <definedName name="__APW_RESTORE_DATA3162__" hidden="1">#REF!,#REF!,#REF!,#REF!,#REF!,#REF!,#REF!,#REF!,#REF!,#REF!,#REF!,#REF!,#REF!,#REF!,#REF!</definedName>
    <definedName name="__APW_RESTORE_DATA3163__" hidden="1">#REF!,#REF!,#REF!,#REF!,#REF!,#REF!,#REF!,#REF!,#REF!,#REF!,#REF!,#REF!,#REF!,#REF!,#REF!</definedName>
    <definedName name="__APW_RESTORE_DATA3164__" hidden="1">#REF!,#REF!,#REF!,#REF!,#REF!,#REF!,#REF!,#REF!,#REF!,#REF!,#REF!,#REF!,#REF!,#REF!,#REF!</definedName>
    <definedName name="__APW_RESTORE_DATA3165__" hidden="1">#REF!,#REF!,#REF!,#REF!,#REF!,#REF!,#REF!,#REF!,#REF!,#REF!,#REF!,#REF!,#REF!,#REF!,#REF!</definedName>
    <definedName name="__APW_RESTORE_DATA3166__" hidden="1">#REF!,#REF!,#REF!,#REF!,#REF!,#REF!,#REF!,#REF!,#REF!,#REF!,#REF!,#REF!,#REF!,#REF!,#REF!</definedName>
    <definedName name="__APW_RESTORE_DATA3167__" hidden="1">#REF!,#REF!,#REF!,#REF!,#REF!,#REF!,#REF!,#REF!,#REF!,#REF!,#REF!,#REF!,#REF!,#REF!,#REF!</definedName>
    <definedName name="__APW_RESTORE_DATA3168__" hidden="1">#REF!,#REF!,#REF!,#REF!,#REF!,#REF!,#REF!,#REF!,#REF!,#REF!,#REF!,#REF!,#REF!,#REF!,#REF!</definedName>
    <definedName name="__APW_RESTORE_DATA3169__" hidden="1">#REF!,#REF!,#REF!,#REF!,#REF!,#REF!,#REF!,#REF!,#REF!,#REF!,#REF!,#REF!,#REF!,#REF!,#REF!</definedName>
    <definedName name="__APW_RESTORE_DATA317__" hidden="1">#REF!,#REF!,#REF!,#REF!,#REF!,#REF!,#REF!,#REF!,#REF!,#REF!,#REF!,#REF!,#REF!,#REF!,#REF!</definedName>
    <definedName name="__APW_RESTORE_DATA3170__" hidden="1">#REF!,#REF!,#REF!,#REF!,#REF!,#REF!,#REF!,#REF!,#REF!,#REF!,#REF!,#REF!,#REF!,#REF!,#REF!</definedName>
    <definedName name="__APW_RESTORE_DATA3171__" hidden="1">#REF!,#REF!,#REF!,#REF!,#REF!,#REF!,#REF!,#REF!,#REF!,#REF!,#REF!,#REF!,#REF!,#REF!,#REF!</definedName>
    <definedName name="__APW_RESTORE_DATA3172__" hidden="1">#REF!,#REF!,#REF!,#REF!,#REF!,#REF!,#REF!,#REF!,#REF!,#REF!,#REF!,#REF!,#REF!,#REF!,#REF!</definedName>
    <definedName name="__APW_RESTORE_DATA3173__" hidden="1">#REF!,#REF!,#REF!,#REF!,#REF!,#REF!,#REF!,#REF!,#REF!,#REF!,#REF!,#REF!,#REF!,#REF!,#REF!</definedName>
    <definedName name="__APW_RESTORE_DATA3174__" hidden="1">#REF!,#REF!,#REF!,#REF!,#REF!,#REF!</definedName>
    <definedName name="__APW_RESTORE_DATA3175__" hidden="1">#REF!</definedName>
    <definedName name="__APW_RESTORE_DATA3176__" hidden="1">#REF!</definedName>
    <definedName name="__APW_RESTORE_DATA3177__" hidden="1">#REF!</definedName>
    <definedName name="__APW_RESTORE_DATA3179__" hidden="1">#REF!</definedName>
    <definedName name="__APW_RESTORE_DATA318__" hidden="1">#REF!,#REF!,#REF!,#REF!,#REF!,#REF!,#REF!,#REF!,#REF!,#REF!,#REF!,#REF!,#REF!,#REF!,#REF!</definedName>
    <definedName name="__APW_RESTORE_DATA3180__" hidden="1">#REF!</definedName>
    <definedName name="__APW_RESTORE_DATA3181__" hidden="1">#REF!,#REF!,#REF!,#REF!,#REF!,#REF!,#REF!,#REF!,#REF!,#REF!,#REF!,#REF!,#REF!,#REF!,#REF!,#REF!</definedName>
    <definedName name="__APW_RESTORE_DATA3182__" hidden="1">#REF!,#REF!,#REF!,#REF!,#REF!,#REF!,#REF!,#REF!,#REF!,#REF!,#REF!,#REF!,#REF!,#REF!,#REF!,#REF!</definedName>
    <definedName name="__APW_RESTORE_DATA3183__" hidden="1">#REF!,#REF!,#REF!,#REF!,#REF!,#REF!,#REF!,#REF!,#REF!,#REF!,#REF!,#REF!,#REF!,#REF!,#REF!,#REF!</definedName>
    <definedName name="__APW_RESTORE_DATA3184__" hidden="1">#REF!,#REF!,#REF!,#REF!,#REF!,#REF!,#REF!,#REF!,#REF!,#REF!,#REF!,#REF!,#REF!,#REF!,#REF!,#REF!</definedName>
    <definedName name="__APW_RESTORE_DATA3185__" hidden="1">#REF!,#REF!,#REF!,#REF!,#REF!,#REF!,#REF!,#REF!,#REF!,#REF!,#REF!,#REF!,#REF!,#REF!,#REF!,#REF!</definedName>
    <definedName name="__APW_RESTORE_DATA3186__" hidden="1">#REF!,#REF!,#REF!,#REF!,#REF!,#REF!,#REF!,#REF!,#REF!,#REF!,#REF!,#REF!,#REF!,#REF!,#REF!,#REF!</definedName>
    <definedName name="__APW_RESTORE_DATA3187__" hidden="1">#REF!,#REF!,#REF!,#REF!,#REF!,#REF!,#REF!,#REF!,#REF!,#REF!,#REF!,#REF!,#REF!,#REF!,#REF!</definedName>
    <definedName name="__APW_RESTORE_DATA3188__" hidden="1">#REF!,#REF!,#REF!,#REF!,#REF!,#REF!,#REF!,#REF!,#REF!,#REF!,#REF!,#REF!,#REF!,#REF!,#REF!</definedName>
    <definedName name="__APW_RESTORE_DATA3189__" hidden="1">#REF!,#REF!,#REF!,#REF!,#REF!,#REF!,#REF!,#REF!,#REF!,#REF!,#REF!,#REF!,#REF!,#REF!,#REF!</definedName>
    <definedName name="__APW_RESTORE_DATA319__" hidden="1">#REF!,#REF!,#REF!,#REF!,#REF!,#REF!,#REF!,#REF!,#REF!,#REF!,#REF!,#REF!,#REF!,#REF!,#REF!</definedName>
    <definedName name="__APW_RESTORE_DATA3190__" hidden="1">#REF!,#REF!,#REF!,#REF!,#REF!,#REF!,#REF!,#REF!,#REF!,#REF!,#REF!,#REF!,#REF!,#REF!,#REF!</definedName>
    <definedName name="__APW_RESTORE_DATA3191__" hidden="1">#REF!,#REF!,#REF!,#REF!,#REF!,#REF!,#REF!,#REF!,#REF!,#REF!,#REF!,#REF!,#REF!,#REF!,#REF!</definedName>
    <definedName name="__APW_RESTORE_DATA3192__" hidden="1">#REF!,#REF!,#REF!,#REF!,#REF!,#REF!,#REF!,#REF!,#REF!,#REF!,#REF!,#REF!,#REF!,#REF!,#REF!</definedName>
    <definedName name="__APW_RESTORE_DATA3193__" hidden="1">#REF!,#REF!,#REF!,#REF!,#REF!,#REF!,#REF!,#REF!,#REF!,#REF!,#REF!,#REF!,#REF!,#REF!,#REF!</definedName>
    <definedName name="__APW_RESTORE_DATA3194__" hidden="1">#REF!,#REF!,#REF!,#REF!,#REF!,#REF!,#REF!,#REF!,#REF!,#REF!,#REF!,#REF!,#REF!,#REF!,#REF!</definedName>
    <definedName name="__APW_RESTORE_DATA3195__" hidden="1">#REF!,#REF!,#REF!,#REF!,#REF!,#REF!,#REF!,#REF!,#REF!,#REF!,#REF!,#REF!,#REF!,#REF!,#REF!</definedName>
    <definedName name="__APW_RESTORE_DATA3196__" hidden="1">#REF!,#REF!,#REF!,#REF!,#REF!,#REF!,#REF!,#REF!,#REF!,#REF!,#REF!,#REF!,#REF!,#REF!,#REF!</definedName>
    <definedName name="__APW_RESTORE_DATA3197__" hidden="1">#REF!,#REF!,#REF!,#REF!,#REF!,#REF!,#REF!,#REF!,#REF!,#REF!,#REF!,#REF!,#REF!,#REF!,#REF!</definedName>
    <definedName name="__APW_RESTORE_DATA3198__" hidden="1">#REF!,#REF!,#REF!,#REF!,#REF!,#REF!,#REF!,#REF!,#REF!,#REF!,#REF!,#REF!,#REF!,#REF!,#REF!</definedName>
    <definedName name="__APW_RESTORE_DATA3199__" hidden="1">#REF!,#REF!,#REF!,#REF!,#REF!,#REF!,#REF!,#REF!,#REF!,#REF!,#REF!,#REF!,#REF!,#REF!,#REF!</definedName>
    <definedName name="__APW_RESTORE_DATA32__" hidden="1">#REF!</definedName>
    <definedName name="__APW_RESTORE_DATA320__" hidden="1">#REF!,#REF!,#REF!,#REF!,#REF!,#REF!,#REF!,#REF!,#REF!,#REF!,#REF!,#REF!,#REF!,#REF!,#REF!</definedName>
    <definedName name="__APW_RESTORE_DATA3200__" hidden="1">#REF!,#REF!,#REF!,#REF!,#REF!,#REF!,#REF!,#REF!,#REF!,#REF!,#REF!,#REF!,#REF!,#REF!,#REF!</definedName>
    <definedName name="__APW_RESTORE_DATA3201__" hidden="1">#REF!,#REF!,#REF!,#REF!,#REF!,#REF!,#REF!,#REF!,#REF!,#REF!,#REF!,#REF!,#REF!,#REF!,#REF!</definedName>
    <definedName name="__APW_RESTORE_DATA3202__" hidden="1">#REF!,#REF!,#REF!,#REF!,#REF!,#REF!,#REF!,#REF!,#REF!,#REF!,#REF!,#REF!,#REF!,#REF!,#REF!</definedName>
    <definedName name="__APW_RESTORE_DATA3203__" hidden="1">#REF!,#REF!,#REF!,#REF!,#REF!,#REF!,#REF!,#REF!,#REF!,#REF!,#REF!,#REF!,#REF!,#REF!,#REF!</definedName>
    <definedName name="__APW_RESTORE_DATA3204__" hidden="1">#REF!,#REF!,#REF!,#REF!,#REF!,#REF!,#REF!,#REF!,#REF!,#REF!,#REF!,#REF!,#REF!,#REF!,#REF!</definedName>
    <definedName name="__APW_RESTORE_DATA3205__" hidden="1">#REF!,#REF!,#REF!,#REF!,#REF!,#REF!,#REF!,#REF!,#REF!,#REF!,#REF!,#REF!,#REF!,#REF!,#REF!</definedName>
    <definedName name="__APW_RESTORE_DATA3206__" hidden="1">#REF!,#REF!,#REF!,#REF!,#REF!,#REF!,#REF!,#REF!,#REF!,#REF!,#REF!,#REF!,#REF!,#REF!,#REF!</definedName>
    <definedName name="__APW_RESTORE_DATA3207__" hidden="1">#REF!,#REF!,#REF!,#REF!,#REF!,#REF!,#REF!,#REF!,#REF!,#REF!,#REF!,#REF!,#REF!,#REF!,#REF!</definedName>
    <definedName name="__APW_RESTORE_DATA3208__" hidden="1">#REF!,#REF!,#REF!,#REF!,#REF!,#REF!,#REF!,#REF!,#REF!,#REF!,#REF!,#REF!,#REF!,#REF!,#REF!</definedName>
    <definedName name="__APW_RESTORE_DATA3209__" hidden="1">#REF!,#REF!,#REF!,#REF!,#REF!,#REF!,#REF!,#REF!,#REF!,#REF!,#REF!,#REF!,#REF!,#REF!,#REF!</definedName>
    <definedName name="__APW_RESTORE_DATA321__" hidden="1">#REF!,#REF!,#REF!,#REF!,#REF!,#REF!,#REF!,#REF!,#REF!,#REF!,#REF!,#REF!,#REF!,#REF!,#REF!</definedName>
    <definedName name="__APW_RESTORE_DATA3210__" hidden="1">#REF!,#REF!,#REF!,#REF!,#REF!,#REF!,#REF!,#REF!,#REF!,#REF!,#REF!,#REF!,#REF!,#REF!,#REF!</definedName>
    <definedName name="__APW_RESTORE_DATA3211__" hidden="1">#REF!,#REF!,#REF!,#REF!,#REF!,#REF!,#REF!,#REF!,#REF!,#REF!,#REF!,#REF!,#REF!,#REF!,#REF!</definedName>
    <definedName name="__APW_RESTORE_DATA3212__" hidden="1">#REF!,#REF!,#REF!,#REF!,#REF!,#REF!,#REF!,#REF!,#REF!,#REF!,#REF!,#REF!,#REF!,#REF!,#REF!</definedName>
    <definedName name="__APW_RESTORE_DATA3213__" hidden="1">#REF!,#REF!,#REF!,#REF!,#REF!,#REF!,#REF!,#REF!,#REF!,#REF!,#REF!,#REF!,#REF!,#REF!,#REF!</definedName>
    <definedName name="__APW_RESTORE_DATA3214__" hidden="1">#REF!,#REF!,#REF!,#REF!,#REF!,#REF!,#REF!,#REF!,#REF!,#REF!,#REF!,#REF!,#REF!,#REF!,#REF!</definedName>
    <definedName name="__APW_RESTORE_DATA3215__" hidden="1">#REF!,#REF!,#REF!,#REF!,#REF!,#REF!</definedName>
    <definedName name="__APW_RESTORE_DATA3216__" hidden="1">#REF!,#REF!,#REF!,#REF!,#REF!,#REF!,#REF!,#REF!,#REF!,#REF!,#REF!,#REF!,#REF!,#REF!,#REF!,#REF!</definedName>
    <definedName name="__APW_RESTORE_DATA3217__" hidden="1">#REF!,#REF!,#REF!,#REF!,#REF!,#REF!,#REF!,#REF!,#REF!,#REF!,#REF!,#REF!,#REF!,#REF!,#REF!,#REF!</definedName>
    <definedName name="__APW_RESTORE_DATA3218__" hidden="1">#REF!,#REF!,#REF!,#REF!,#REF!,#REF!,#REF!,#REF!,#REF!,#REF!,#REF!,#REF!,#REF!,#REF!,#REF!,#REF!</definedName>
    <definedName name="__APW_RESTORE_DATA3219__" hidden="1">#REF!,#REF!,#REF!,#REF!,#REF!,#REF!,#REF!,#REF!,#REF!,#REF!,#REF!,#REF!,#REF!,#REF!,#REF!,#REF!</definedName>
    <definedName name="__APW_RESTORE_DATA322__" hidden="1">#REF!,#REF!,#REF!,#REF!,#REF!,#REF!,#REF!,#REF!,#REF!,#REF!,#REF!,#REF!,#REF!,#REF!,#REF!</definedName>
    <definedName name="__APW_RESTORE_DATA3220__" hidden="1">#REF!,#REF!,#REF!,#REF!,#REF!,#REF!,#REF!,#REF!,#REF!,#REF!,#REF!,#REF!,#REF!,#REF!,#REF!,#REF!</definedName>
    <definedName name="__APW_RESTORE_DATA3221__" hidden="1">#REF!,#REF!,#REF!,#REF!,#REF!,#REF!,#REF!,#REF!,#REF!,#REF!,#REF!,#REF!,#REF!,#REF!,#REF!,#REF!</definedName>
    <definedName name="__APW_RESTORE_DATA3222__" hidden="1">#REF!,#REF!,#REF!,#REF!,#REF!,#REF!,#REF!,#REF!,#REF!,#REF!,#REF!,#REF!,#REF!,#REF!,#REF!</definedName>
    <definedName name="__APW_RESTORE_DATA3223__" hidden="1">#REF!,#REF!,#REF!,#REF!,#REF!,#REF!,#REF!,#REF!,#REF!,#REF!,#REF!,#REF!,#REF!,#REF!,#REF!</definedName>
    <definedName name="__APW_RESTORE_DATA3224__" hidden="1">#REF!,#REF!,#REF!,#REF!,#REF!,#REF!,#REF!,#REF!,#REF!,#REF!,#REF!,#REF!,#REF!,#REF!,#REF!</definedName>
    <definedName name="__APW_RESTORE_DATA3225__" hidden="1">#REF!,#REF!,#REF!,#REF!,#REF!,#REF!,#REF!,#REF!,#REF!,#REF!,#REF!,#REF!,#REF!,#REF!,#REF!</definedName>
    <definedName name="__APW_RESTORE_DATA3226__" hidden="1">#REF!,#REF!,#REF!,#REF!,#REF!,#REF!,#REF!,#REF!,#REF!,#REF!,#REF!,#REF!,#REF!,#REF!,#REF!</definedName>
    <definedName name="__APW_RESTORE_DATA3227__" hidden="1">#REF!,#REF!,#REF!,#REF!,#REF!,#REF!,#REF!,#REF!,#REF!,#REF!,#REF!,#REF!,#REF!,#REF!,#REF!</definedName>
    <definedName name="__APW_RESTORE_DATA3228__" hidden="1">#REF!,#REF!,#REF!,#REF!,#REF!,#REF!,#REF!,#REF!,#REF!,#REF!,#REF!,#REF!,#REF!,#REF!,#REF!</definedName>
    <definedName name="__APW_RESTORE_DATA3229__" hidden="1">#REF!,#REF!,#REF!,#REF!,#REF!,#REF!,#REF!,#REF!,#REF!,#REF!,#REF!,#REF!,#REF!,#REF!,#REF!</definedName>
    <definedName name="__APW_RESTORE_DATA323__" hidden="1">#REF!,#REF!,#REF!,#REF!,#REF!,#REF!,#REF!,#REF!,#REF!,#REF!,#REF!,#REF!,#REF!,#REF!,#REF!</definedName>
    <definedName name="__APW_RESTORE_DATA3230__" hidden="1">#REF!,#REF!,#REF!,#REF!,#REF!,#REF!,#REF!,#REF!,#REF!,#REF!,#REF!,#REF!,#REF!,#REF!,#REF!</definedName>
    <definedName name="__APW_RESTORE_DATA3231__" hidden="1">#REF!,#REF!,#REF!,#REF!,#REF!,#REF!,#REF!,#REF!,#REF!,#REF!,#REF!,#REF!,#REF!,#REF!,#REF!</definedName>
    <definedName name="__APW_RESTORE_DATA3232__" hidden="1">#REF!,#REF!,#REF!,#REF!,#REF!,#REF!,#REF!,#REF!,#REF!,#REF!,#REF!,#REF!,#REF!,#REF!,#REF!</definedName>
    <definedName name="__APW_RESTORE_DATA3233__" hidden="1">#REF!,#REF!,#REF!,#REF!,#REF!,#REF!,#REF!,#REF!,#REF!,#REF!,#REF!,#REF!,#REF!,#REF!,#REF!</definedName>
    <definedName name="__APW_RESTORE_DATA3234__" hidden="1">#REF!,#REF!,#REF!,#REF!,#REF!,#REF!,#REF!,#REF!,#REF!,#REF!,#REF!,#REF!,#REF!,#REF!,#REF!</definedName>
    <definedName name="__APW_RESTORE_DATA3235__" hidden="1">#REF!,#REF!,#REF!,#REF!,#REF!,#REF!,#REF!,#REF!,#REF!,#REF!,#REF!,#REF!,#REF!,#REF!,#REF!</definedName>
    <definedName name="__APW_RESTORE_DATA3236__" hidden="1">#REF!,#REF!,#REF!,#REF!,#REF!,#REF!,#REF!,#REF!,#REF!,#REF!,#REF!,#REF!,#REF!,#REF!,#REF!</definedName>
    <definedName name="__APW_RESTORE_DATA3237__" hidden="1">#REF!,#REF!,#REF!,#REF!,#REF!,#REF!,#REF!,#REF!,#REF!,#REF!,#REF!,#REF!,#REF!,#REF!,#REF!</definedName>
    <definedName name="__APW_RESTORE_DATA3238__" hidden="1">#REF!,#REF!,#REF!,#REF!,#REF!,#REF!,#REF!,#REF!,#REF!,#REF!,#REF!,#REF!,#REF!,#REF!,#REF!</definedName>
    <definedName name="__APW_RESTORE_DATA3239__" hidden="1">#REF!,#REF!,#REF!,#REF!,#REF!,#REF!,#REF!,#REF!,#REF!,#REF!,#REF!,#REF!,#REF!,#REF!,#REF!</definedName>
    <definedName name="__APW_RESTORE_DATA324__" hidden="1">#REF!,#REF!,#REF!,#REF!,#REF!,#REF!,#REF!,#REF!,#REF!,#REF!,#REF!,#REF!,#REF!,#REF!,#REF!</definedName>
    <definedName name="__APW_RESTORE_DATA3240__" hidden="1">#REF!,#REF!,#REF!,#REF!,#REF!,#REF!,#REF!,#REF!,#REF!,#REF!,#REF!,#REF!,#REF!,#REF!,#REF!</definedName>
    <definedName name="__APW_RESTORE_DATA3241__" hidden="1">#REF!,#REF!,#REF!,#REF!,#REF!,#REF!,#REF!,#REF!,#REF!,#REF!,#REF!,#REF!,#REF!,#REF!,#REF!</definedName>
    <definedName name="__APW_RESTORE_DATA3242__" hidden="1">#REF!,#REF!,#REF!,#REF!,#REF!,#REF!,#REF!,#REF!,#REF!,#REF!,#REF!,#REF!,#REF!,#REF!,#REF!</definedName>
    <definedName name="__APW_RESTORE_DATA3243__" hidden="1">#REF!,#REF!,#REF!,#REF!,#REF!,#REF!,#REF!,#REF!,#REF!,#REF!,#REF!,#REF!,#REF!,#REF!,#REF!</definedName>
    <definedName name="__APW_RESTORE_DATA3244__" hidden="1">#REF!,#REF!,#REF!,#REF!,#REF!,#REF!,#REF!,#REF!,#REF!,#REF!,#REF!,#REF!,#REF!,#REF!,#REF!</definedName>
    <definedName name="__APW_RESTORE_DATA3245__" hidden="1">#REF!,#REF!,#REF!,#REF!,#REF!,#REF!,#REF!,#REF!,#REF!,#REF!,#REF!,#REF!,#REF!,#REF!,#REF!</definedName>
    <definedName name="__APW_RESTORE_DATA3246__" hidden="1">#REF!,#REF!,#REF!,#REF!,#REF!,#REF!,#REF!,#REF!,#REF!,#REF!,#REF!,#REF!,#REF!,#REF!,#REF!</definedName>
    <definedName name="__APW_RESTORE_DATA3247__" hidden="1">#REF!,#REF!,#REF!,#REF!,#REF!,#REF!,#REF!,#REF!,#REF!,#REF!,#REF!,#REF!,#REF!,#REF!,#REF!</definedName>
    <definedName name="__APW_RESTORE_DATA3248__" hidden="1">#REF!,#REF!,#REF!,#REF!,#REF!,#REF!,#REF!,#REF!,#REF!,#REF!,#REF!,#REF!,#REF!,#REF!,#REF!</definedName>
    <definedName name="__APW_RESTORE_DATA3249__" hidden="1">#REF!,#REF!,#REF!,#REF!,#REF!,#REF!,#REF!,#REF!,#REF!,#REF!,#REF!,#REF!,#REF!,#REF!,#REF!</definedName>
    <definedName name="__APW_RESTORE_DATA325__" hidden="1">#REF!,#REF!,#REF!,#REF!,#REF!,#REF!,#REF!,#REF!,#REF!,#REF!,#REF!,#REF!,#REF!,#REF!,#REF!</definedName>
    <definedName name="__APW_RESTORE_DATA3250__" hidden="1">#REF!,#REF!,#REF!,#REF!,#REF!,#REF!</definedName>
    <definedName name="__APW_RESTORE_DATA3251__" hidden="1">#REF!,#REF!,#REF!,#REF!,#REF!,#REF!,#REF!,#REF!,#REF!,#REF!,#REF!,#REF!,#REF!,#REF!,#REF!,#REF!</definedName>
    <definedName name="__APW_RESTORE_DATA3252__" hidden="1">#REF!,#REF!,#REF!,#REF!,#REF!,#REF!,#REF!,#REF!,#REF!,#REF!,#REF!,#REF!,#REF!,#REF!,#REF!,#REF!</definedName>
    <definedName name="__APW_RESTORE_DATA3253__" hidden="1">#REF!,#REF!,#REF!,#REF!,#REF!,#REF!,#REF!,#REF!,#REF!,#REF!,#REF!,#REF!,#REF!,#REF!,#REF!,#REF!</definedName>
    <definedName name="__APW_RESTORE_DATA3254__" hidden="1">#REF!,#REF!,#REF!,#REF!,#REF!,#REF!,#REF!,#REF!,#REF!,#REF!,#REF!,#REF!,#REF!,#REF!,#REF!,#REF!</definedName>
    <definedName name="__APW_RESTORE_DATA3255__" hidden="1">#REF!,#REF!,#REF!,#REF!,#REF!,#REF!,#REF!,#REF!,#REF!,#REF!,#REF!,#REF!,#REF!,#REF!,#REF!,#REF!</definedName>
    <definedName name="__APW_RESTORE_DATA3256__" hidden="1">#REF!,#REF!,#REF!,#REF!,#REF!,#REF!,#REF!,#REF!,#REF!,#REF!,#REF!,#REF!,#REF!,#REF!,#REF!,#REF!</definedName>
    <definedName name="__APW_RESTORE_DATA3257__" hidden="1">#REF!,#REF!,#REF!,#REF!,#REF!,#REF!,#REF!,#REF!,#REF!,#REF!,#REF!,#REF!,#REF!,#REF!,#REF!</definedName>
    <definedName name="__APW_RESTORE_DATA3258__" hidden="1">#REF!,#REF!,#REF!,#REF!,#REF!,#REF!,#REF!,#REF!,#REF!,#REF!,#REF!,#REF!,#REF!,#REF!,#REF!</definedName>
    <definedName name="__APW_RESTORE_DATA3259__" hidden="1">#REF!,#REF!,#REF!,#REF!,#REF!,#REF!,#REF!,#REF!,#REF!,#REF!,#REF!,#REF!,#REF!,#REF!,#REF!</definedName>
    <definedName name="__APW_RESTORE_DATA326__" hidden="1">#REF!,#REF!,#REF!,#REF!,#REF!,#REF!,#REF!,#REF!,#REF!,#REF!,#REF!,#REF!,#REF!,#REF!,#REF!</definedName>
    <definedName name="__APW_RESTORE_DATA3260__" hidden="1">#REF!,#REF!,#REF!,#REF!,#REF!,#REF!,#REF!,#REF!,#REF!,#REF!,#REF!,#REF!,#REF!,#REF!,#REF!</definedName>
    <definedName name="__APW_RESTORE_DATA3261__" hidden="1">#REF!,#REF!,#REF!,#REF!,#REF!,#REF!,#REF!,#REF!,#REF!,#REF!,#REF!,#REF!,#REF!,#REF!,#REF!</definedName>
    <definedName name="__APW_RESTORE_DATA3262__" hidden="1">#REF!,#REF!,#REF!,#REF!,#REF!,#REF!,#REF!,#REF!,#REF!,#REF!,#REF!,#REF!,#REF!,#REF!,#REF!</definedName>
    <definedName name="__APW_RESTORE_DATA3263__" hidden="1">#REF!,#REF!,#REF!,#REF!,#REF!,#REF!,#REF!,#REF!,#REF!,#REF!,#REF!,#REF!,#REF!,#REF!,#REF!</definedName>
    <definedName name="__APW_RESTORE_DATA3264__" hidden="1">#REF!,#REF!,#REF!,#REF!,#REF!,#REF!,#REF!,#REF!,#REF!,#REF!,#REF!,#REF!,#REF!,#REF!,#REF!</definedName>
    <definedName name="__APW_RESTORE_DATA3265__" hidden="1">#REF!,#REF!,#REF!,#REF!,#REF!,#REF!,#REF!,#REF!,#REF!,#REF!,#REF!,#REF!,#REF!,#REF!,#REF!</definedName>
    <definedName name="__APW_RESTORE_DATA3266__" hidden="1">#REF!,#REF!,#REF!,#REF!,#REF!,#REF!,#REF!,#REF!,#REF!,#REF!,#REF!,#REF!,#REF!,#REF!,#REF!</definedName>
    <definedName name="__APW_RESTORE_DATA3267__" hidden="1">#REF!,#REF!,#REF!,#REF!,#REF!,#REF!,#REF!,#REF!,#REF!,#REF!,#REF!,#REF!,#REF!,#REF!,#REF!</definedName>
    <definedName name="__APW_RESTORE_DATA3268__" hidden="1">#REF!,#REF!,#REF!,#REF!,#REF!,#REF!,#REF!,#REF!,#REF!,#REF!,#REF!,#REF!,#REF!,#REF!,#REF!</definedName>
    <definedName name="__APW_RESTORE_DATA3269__" hidden="1">#REF!,#REF!,#REF!,#REF!,#REF!,#REF!,#REF!,#REF!,#REF!,#REF!,#REF!,#REF!,#REF!,#REF!,#REF!</definedName>
    <definedName name="__APW_RESTORE_DATA327__" hidden="1">#REF!,#REF!</definedName>
    <definedName name="__APW_RESTORE_DATA3270__" hidden="1">#REF!,#REF!,#REF!,#REF!,#REF!,#REF!,#REF!,#REF!,#REF!,#REF!,#REF!,#REF!,#REF!,#REF!,#REF!</definedName>
    <definedName name="__APW_RESTORE_DATA3271__" hidden="1">#REF!,#REF!,#REF!,#REF!,#REF!,#REF!,#REF!,#REF!,#REF!,#REF!,#REF!,#REF!,#REF!,#REF!,#REF!</definedName>
    <definedName name="__APW_RESTORE_DATA3272__" hidden="1">#REF!,#REF!,#REF!,#REF!,#REF!,#REF!,#REF!,#REF!,#REF!,#REF!,#REF!,#REF!,#REF!,#REF!,#REF!</definedName>
    <definedName name="__APW_RESTORE_DATA3273__" hidden="1">#REF!,#REF!,#REF!,#REF!,#REF!,#REF!,#REF!,#REF!,#REF!,#REF!,#REF!,#REF!,#REF!,#REF!,#REF!</definedName>
    <definedName name="__APW_RESTORE_DATA3274__" hidden="1">#REF!,#REF!,#REF!,#REF!,#REF!,#REF!,#REF!,#REF!,#REF!,#REF!,#REF!,#REF!,#REF!,#REF!,#REF!</definedName>
    <definedName name="__APW_RESTORE_DATA3275__" hidden="1">#REF!,#REF!,#REF!,#REF!,#REF!,#REF!,#REF!,#REF!,#REF!,#REF!,#REF!,#REF!,#REF!,#REF!,#REF!</definedName>
    <definedName name="__APW_RESTORE_DATA3276__" hidden="1">#REF!,#REF!,#REF!,#REF!,#REF!,#REF!,#REF!,#REF!,#REF!,#REF!,#REF!,#REF!,#REF!,#REF!,#REF!</definedName>
    <definedName name="__APW_RESTORE_DATA3277__" hidden="1">#REF!,#REF!,#REF!,#REF!,#REF!,#REF!,#REF!,#REF!,#REF!,#REF!,#REF!,#REF!,#REF!,#REF!,#REF!</definedName>
    <definedName name="__APW_RESTORE_DATA3278__" hidden="1">#REF!,#REF!,#REF!,#REF!,#REF!,#REF!,#REF!,#REF!,#REF!,#REF!,#REF!,#REF!,#REF!,#REF!,#REF!</definedName>
    <definedName name="__APW_RESTORE_DATA3279__" hidden="1">#REF!,#REF!,#REF!,#REF!,#REF!,#REF!,#REF!,#REF!,#REF!,#REF!,#REF!,#REF!,#REF!,#REF!,#REF!</definedName>
    <definedName name="__APW_RESTORE_DATA328__" hidden="1">#REF!,#REF!,#REF!,#REF!,#REF!,#REF!,#REF!,#REF!,#REF!,#REF!,#REF!,#REF!,#REF!,#REF!,#REF!,#REF!</definedName>
    <definedName name="__APW_RESTORE_DATA3280__" hidden="1">#REF!,#REF!,#REF!,#REF!,#REF!,#REF!,#REF!,#REF!,#REF!,#REF!,#REF!,#REF!,#REF!,#REF!,#REF!</definedName>
    <definedName name="__APW_RESTORE_DATA3281__" hidden="1">#REF!,#REF!,#REF!,#REF!,#REF!,#REF!,#REF!,#REF!,#REF!,#REF!,#REF!,#REF!,#REF!,#REF!,#REF!</definedName>
    <definedName name="__APW_RESTORE_DATA3282__" hidden="1">#REF!,#REF!,#REF!,#REF!,#REF!,#REF!,#REF!,#REF!,#REF!,#REF!,#REF!,#REF!,#REF!,#REF!,#REF!</definedName>
    <definedName name="__APW_RESTORE_DATA3283__" hidden="1">#REF!,#REF!,#REF!,#REF!,#REF!,#REF!,#REF!,#REF!,#REF!,#REF!,#REF!,#REF!,#REF!,#REF!,#REF!</definedName>
    <definedName name="__APW_RESTORE_DATA3284__" hidden="1">#REF!,#REF!,#REF!,#REF!,#REF!,#REF!,#REF!,#REF!,#REF!,#REF!,#REF!,#REF!,#REF!,#REF!,#REF!</definedName>
    <definedName name="__APW_RESTORE_DATA3285__" hidden="1">#REF!,#REF!,#REF!,#REF!,#REF!,#REF!</definedName>
    <definedName name="__APW_RESTORE_DATA3286__" hidden="1">#REF!,#REF!,#REF!,#REF!,#REF!,#REF!,#REF!,#REF!,#REF!,#REF!,#REF!,#REF!,#REF!,#REF!,#REF!,#REF!</definedName>
    <definedName name="__APW_RESTORE_DATA3287__" hidden="1">#REF!,#REF!,#REF!,#REF!,#REF!,#REF!,#REF!,#REF!,#REF!,#REF!,#REF!,#REF!,#REF!,#REF!,#REF!,#REF!</definedName>
    <definedName name="__APW_RESTORE_DATA3288__" hidden="1">#REF!,#REF!,#REF!,#REF!,#REF!,#REF!,#REF!,#REF!,#REF!,#REF!,#REF!,#REF!,#REF!,#REF!,#REF!,#REF!</definedName>
    <definedName name="__APW_RESTORE_DATA3289__" hidden="1">#REF!,#REF!,#REF!,#REF!,#REF!,#REF!,#REF!,#REF!,#REF!,#REF!,#REF!,#REF!,#REF!,#REF!,#REF!,#REF!</definedName>
    <definedName name="__APW_RESTORE_DATA329__" hidden="1">#REF!,#REF!,#REF!,#REF!,#REF!,#REF!,#REF!,#REF!,#REF!,#REF!,#REF!,#REF!,#REF!,#REF!,#REF!,#REF!</definedName>
    <definedName name="__APW_RESTORE_DATA3290__" hidden="1">#REF!,#REF!,#REF!,#REF!,#REF!,#REF!,#REF!,#REF!,#REF!,#REF!,#REF!,#REF!,#REF!,#REF!,#REF!,#REF!</definedName>
    <definedName name="__APW_RESTORE_DATA3291__" hidden="1">#REF!,#REF!,#REF!,#REF!,#REF!,#REF!,#REF!,#REF!,#REF!,#REF!,#REF!,#REF!,#REF!,#REF!,#REF!,#REF!</definedName>
    <definedName name="__APW_RESTORE_DATA3292__" hidden="1">#REF!,#REF!,#REF!,#REF!,#REF!,#REF!,#REF!,#REF!,#REF!,#REF!,#REF!,#REF!,#REF!,#REF!,#REF!</definedName>
    <definedName name="__APW_RESTORE_DATA3293__" hidden="1">#REF!,#REF!,#REF!,#REF!,#REF!,#REF!,#REF!,#REF!,#REF!,#REF!,#REF!,#REF!,#REF!,#REF!,#REF!</definedName>
    <definedName name="__APW_RESTORE_DATA3294__" hidden="1">#REF!,#REF!,#REF!,#REF!,#REF!,#REF!,#REF!,#REF!,#REF!,#REF!,#REF!,#REF!,#REF!,#REF!,#REF!</definedName>
    <definedName name="__APW_RESTORE_DATA3295__" hidden="1">#REF!,#REF!,#REF!,#REF!,#REF!,#REF!,#REF!,#REF!,#REF!,#REF!,#REF!,#REF!,#REF!,#REF!,#REF!</definedName>
    <definedName name="__APW_RESTORE_DATA3296__" hidden="1">#REF!,#REF!,#REF!,#REF!,#REF!,#REF!,#REF!,#REF!,#REF!,#REF!,#REF!,#REF!,#REF!,#REF!,#REF!</definedName>
    <definedName name="__APW_RESTORE_DATA3297__" hidden="1">#REF!,#REF!,#REF!,#REF!,#REF!,#REF!,#REF!,#REF!,#REF!,#REF!,#REF!,#REF!,#REF!,#REF!,#REF!</definedName>
    <definedName name="__APW_RESTORE_DATA3298__" hidden="1">#REF!,#REF!,#REF!,#REF!,#REF!,#REF!,#REF!,#REF!,#REF!,#REF!,#REF!,#REF!,#REF!,#REF!,#REF!</definedName>
    <definedName name="__APW_RESTORE_DATA3299__" hidden="1">#REF!,#REF!,#REF!,#REF!,#REF!,#REF!,#REF!,#REF!,#REF!,#REF!,#REF!,#REF!,#REF!,#REF!,#REF!</definedName>
    <definedName name="__APW_RESTORE_DATA33__" hidden="1">#REF!</definedName>
    <definedName name="__APW_RESTORE_DATA330__" hidden="1">#REF!,#REF!,#REF!,#REF!,#REF!,#REF!,#REF!,#REF!,#REF!,#REF!,#REF!,#REF!,#REF!,#REF!,#REF!,#REF!</definedName>
    <definedName name="__APW_RESTORE_DATA3300__" hidden="1">#REF!,#REF!,#REF!,#REF!,#REF!,#REF!,#REF!,#REF!,#REF!,#REF!,#REF!,#REF!,#REF!,#REF!,#REF!</definedName>
    <definedName name="__APW_RESTORE_DATA3301__" hidden="1">#REF!,#REF!,#REF!,#REF!,#REF!,#REF!,#REF!,#REF!,#REF!,#REF!,#REF!,#REF!,#REF!,#REF!,#REF!</definedName>
    <definedName name="__APW_RESTORE_DATA3302__" hidden="1">#REF!,#REF!,#REF!,#REF!,#REF!,#REF!,#REF!,#REF!,#REF!,#REF!,#REF!,#REF!,#REF!,#REF!,#REF!</definedName>
    <definedName name="__APW_RESTORE_DATA3303__" hidden="1">#REF!,#REF!,#REF!,#REF!,#REF!,#REF!,#REF!,#REF!,#REF!,#REF!,#REF!,#REF!,#REF!,#REF!,#REF!</definedName>
    <definedName name="__APW_RESTORE_DATA3304__" hidden="1">#REF!,#REF!,#REF!,#REF!,#REF!,#REF!,#REF!,#REF!,#REF!,#REF!,#REF!,#REF!,#REF!,#REF!,#REF!</definedName>
    <definedName name="__APW_RESTORE_DATA3305__" hidden="1">#REF!,#REF!,#REF!,#REF!,#REF!,#REF!,#REF!,#REF!,#REF!,#REF!,#REF!,#REF!,#REF!,#REF!,#REF!</definedName>
    <definedName name="__APW_RESTORE_DATA3306__" hidden="1">#REF!,#REF!,#REF!,#REF!,#REF!,#REF!,#REF!,#REF!,#REF!,#REF!,#REF!,#REF!,#REF!,#REF!,#REF!</definedName>
    <definedName name="__APW_RESTORE_DATA3307__" hidden="1">#REF!,#REF!,#REF!,#REF!,#REF!,#REF!,#REF!,#REF!,#REF!,#REF!,#REF!,#REF!,#REF!,#REF!,#REF!</definedName>
    <definedName name="__APW_RESTORE_DATA3308__" hidden="1">#REF!,#REF!,#REF!,#REF!,#REF!,#REF!,#REF!,#REF!,#REF!,#REF!,#REF!,#REF!,#REF!,#REF!,#REF!</definedName>
    <definedName name="__APW_RESTORE_DATA3309__" hidden="1">#REF!,#REF!,#REF!,#REF!,#REF!,#REF!,#REF!,#REF!,#REF!,#REF!,#REF!,#REF!,#REF!,#REF!,#REF!</definedName>
    <definedName name="__APW_RESTORE_DATA331__" hidden="1">#REF!,#REF!,#REF!,#REF!,#REF!,#REF!,#REF!,#REF!,#REF!,#REF!,#REF!,#REF!,#REF!,#REF!,#REF!,#REF!</definedName>
    <definedName name="__APW_RESTORE_DATA3310__" hidden="1">#REF!,#REF!,#REF!,#REF!,#REF!,#REF!,#REF!,#REF!,#REF!,#REF!,#REF!,#REF!,#REF!,#REF!,#REF!</definedName>
    <definedName name="__APW_RESTORE_DATA3311__" hidden="1">#REF!,#REF!,#REF!,#REF!,#REF!,#REF!,#REF!,#REF!,#REF!,#REF!,#REF!,#REF!,#REF!,#REF!,#REF!</definedName>
    <definedName name="__APW_RESTORE_DATA3312__" hidden="1">#REF!,#REF!,#REF!,#REF!,#REF!,#REF!,#REF!,#REF!,#REF!,#REF!,#REF!,#REF!,#REF!,#REF!,#REF!</definedName>
    <definedName name="__APW_RESTORE_DATA3313__" hidden="1">#REF!,#REF!,#REF!,#REF!,#REF!,#REF!,#REF!,#REF!,#REF!,#REF!,#REF!,#REF!,#REF!,#REF!,#REF!</definedName>
    <definedName name="__APW_RESTORE_DATA3314__" hidden="1">#REF!,#REF!,#REF!,#REF!,#REF!,#REF!,#REF!,#REF!,#REF!,#REF!,#REF!,#REF!,#REF!,#REF!,#REF!</definedName>
    <definedName name="__APW_RESTORE_DATA3315__" hidden="1">#REF!,#REF!,#REF!,#REF!,#REF!,#REF!,#REF!,#REF!,#REF!,#REF!,#REF!,#REF!,#REF!,#REF!,#REF!</definedName>
    <definedName name="__APW_RESTORE_DATA3316__" hidden="1">#REF!,#REF!,#REF!,#REF!,#REF!,#REF!,#REF!,#REF!,#REF!,#REF!,#REF!,#REF!,#REF!,#REF!,#REF!</definedName>
    <definedName name="__APW_RESTORE_DATA3317__" hidden="1">#REF!,#REF!,#REF!,#REF!,#REF!,#REF!,#REF!,#REF!,#REF!,#REF!,#REF!,#REF!,#REF!,#REF!,#REF!</definedName>
    <definedName name="__APW_RESTORE_DATA3318__" hidden="1">#REF!,#REF!,#REF!,#REF!,#REF!,#REF!,#REF!,#REF!,#REF!,#REF!,#REF!,#REF!,#REF!,#REF!,#REF!</definedName>
    <definedName name="__APW_RESTORE_DATA3319__" hidden="1">#REF!,#REF!,#REF!,#REF!,#REF!,#REF!,#REF!,#REF!,#REF!,#REF!,#REF!,#REF!,#REF!,#REF!,#REF!</definedName>
    <definedName name="__APW_RESTORE_DATA332__" hidden="1">#REF!,#REF!</definedName>
    <definedName name="__APW_RESTORE_DATA3320__" hidden="1">#REF!,#REF!,#REF!,#REF!,#REF!,#REF!</definedName>
    <definedName name="__APW_RESTORE_DATA333__" hidden="1">#REF!,#REF!,#REF!,#REF!,#REF!,#REF!,#REF!,#REF!,#REF!,#REF!,#REF!,#REF!,#REF!,#REF!,#REF!,#REF!</definedName>
    <definedName name="__APW_RESTORE_DATA334__" hidden="1">#REF!,#REF!,#REF!,#REF!,#REF!,#REF!,#REF!,#REF!,#REF!,#REF!,#REF!,#REF!,#REF!,#REF!,#REF!</definedName>
    <definedName name="__APW_RESTORE_DATA335__" hidden="1">#REF!,#REF!,#REF!,#REF!,#REF!,#REF!,#REF!,#REF!,#REF!,#REF!,#REF!,#REF!,#REF!,#REF!,#REF!</definedName>
    <definedName name="__APW_RESTORE_DATA336__" hidden="1">#REF!,#REF!,#REF!,#REF!,#REF!,#REF!,#REF!,#REF!,#REF!,#REF!,#REF!,#REF!,#REF!,#REF!,#REF!</definedName>
    <definedName name="__APW_RESTORE_DATA337__" hidden="1">#REF!,#REF!</definedName>
    <definedName name="__APW_RESTORE_DATA338__" hidden="1">#REF!,#REF!,#REF!,#REF!,#REF!,#REF!,#REF!,#REF!,#REF!,#REF!,#REF!,#REF!,#REF!,#REF!,#REF!</definedName>
    <definedName name="__APW_RESTORE_DATA339__" hidden="1">#REF!,#REF!,#REF!,#REF!,#REF!,#REF!,#REF!,#REF!,#REF!,#REF!,#REF!,#REF!,#REF!,#REF!,#REF!</definedName>
    <definedName name="__APW_RESTORE_DATA34__" hidden="1">#REF!,#REF!,#REF!,#REF!,#REF!,#REF!,#REF!,#REF!,#REF!,#REF!,#REF!,#REF!,#REF!,#REF!,#REF!,#REF!</definedName>
    <definedName name="__APW_RESTORE_DATA340__" hidden="1">#REF!,#REF!,#REF!,#REF!,#REF!,#REF!,#REF!,#REF!,#REF!,#REF!,#REF!,#REF!,#REF!,#REF!,#REF!</definedName>
    <definedName name="__APW_RESTORE_DATA341__" hidden="1">#REF!,#REF!,#REF!,#REF!,#REF!,#REF!,#REF!,#REF!,#REF!,#REF!,#REF!,#REF!,#REF!,#REF!,#REF!</definedName>
    <definedName name="__APW_RESTORE_DATA342__" hidden="1">#REF!,#REF!,#REF!,#REF!,#REF!,#REF!,#REF!,#REF!,#REF!,#REF!,#REF!,#REF!,#REF!,#REF!,#REF!</definedName>
    <definedName name="__APW_RESTORE_DATA343__" hidden="1">#REF!,#REF!,#REF!,#REF!,#REF!,#REF!,#REF!,#REF!,#REF!,#REF!,#REF!,#REF!,#REF!,#REF!,#REF!</definedName>
    <definedName name="__APW_RESTORE_DATA344__" hidden="1">#REF!,#REF!,#REF!,#REF!,#REF!,#REF!,#REF!,#REF!,#REF!,#REF!,#REF!,#REF!,#REF!,#REF!,#REF!</definedName>
    <definedName name="__APW_RESTORE_DATA345__" hidden="1">#REF!,#REF!,#REF!,#REF!,#REF!,#REF!,#REF!,#REF!,#REF!,#REF!,#REF!,#REF!,#REF!,#REF!,#REF!</definedName>
    <definedName name="__APW_RESTORE_DATA346__" hidden="1">#REF!,#REF!,#REF!,#REF!,#REF!,#REF!,#REF!,#REF!,#REF!,#REF!,#REF!,#REF!,#REF!,#REF!,#REF!</definedName>
    <definedName name="__APW_RESTORE_DATA347__" hidden="1">#REF!,#REF!,#REF!,#REF!,#REF!,#REF!,#REF!,#REF!,#REF!,#REF!,#REF!,#REF!,#REF!,#REF!,#REF!</definedName>
    <definedName name="__APW_RESTORE_DATA348__" hidden="1">#REF!,#REF!,#REF!,#REF!,#REF!,#REF!,#REF!,#REF!,#REF!,#REF!,#REF!,#REF!,#REF!,#REF!,#REF!</definedName>
    <definedName name="__APW_RESTORE_DATA349__" hidden="1">#REF!,#REF!,#REF!,#REF!,#REF!,#REF!,#REF!,#REF!,#REF!,#REF!,#REF!,#REF!,#REF!,#REF!,#REF!</definedName>
    <definedName name="__APW_RESTORE_DATA35__" hidden="1">#REF!,#REF!,#REF!,#REF!,#REF!,#REF!,#REF!,#REF!,#REF!,#REF!,#REF!,#REF!,#REF!,#REF!,#REF!</definedName>
    <definedName name="__APW_RESTORE_DATA350__" hidden="1">#REF!,#REF!,#REF!,#REF!,#REF!,#REF!,#REF!,#REF!,#REF!,#REF!,#REF!,#REF!,#REF!,#REF!,#REF!</definedName>
    <definedName name="__APW_RESTORE_DATA351__" hidden="1">#REF!,#REF!,#REF!,#REF!,#REF!,#REF!,#REF!,#REF!,#REF!,#REF!,#REF!,#REF!,#REF!,#REF!,#REF!</definedName>
    <definedName name="__APW_RESTORE_DATA352__" hidden="1">#REF!,#REF!</definedName>
    <definedName name="__APW_RESTORE_DATA353__" hidden="1">#REF!,#REF!</definedName>
    <definedName name="__APW_RESTORE_DATA354__" hidden="1">#REF!,#REF!,#REF!,#REF!,#REF!,#REF!,#REF!,#REF!,#REF!,#REF!,#REF!,#REF!,#REF!,#REF!,#REF!</definedName>
    <definedName name="__APW_RESTORE_DATA355__" hidden="1">#REF!,#REF!,#REF!,#REF!,#REF!,#REF!,#REF!,#REF!,#REF!,#REF!,#REF!,#REF!,#REF!,#REF!,#REF!</definedName>
    <definedName name="__APW_RESTORE_DATA356__" hidden="1">#REF!,#REF!,#REF!,#REF!,#REF!,#REF!,#REF!,#REF!,#REF!,#REF!,#REF!,#REF!,#REF!,#REF!,#REF!</definedName>
    <definedName name="__APW_RESTORE_DATA357__" hidden="1">#REF!,#REF!,#REF!,#REF!,#REF!,#REF!,#REF!,#REF!,#REF!,#REF!,#REF!,#REF!,#REF!,#REF!,#REF!</definedName>
    <definedName name="__APW_RESTORE_DATA358__" hidden="1">#REF!,#REF!,#REF!,#REF!,#REF!,#REF!,#REF!,#REF!,#REF!,#REF!,#REF!,#REF!,#REF!,#REF!,#REF!</definedName>
    <definedName name="__APW_RESTORE_DATA359__" hidden="1">#REF!,#REF!,#REF!,#REF!,#REF!,#REF!,#REF!,#REF!,#REF!,#REF!,#REF!,#REF!,#REF!,#REF!,#REF!</definedName>
    <definedName name="__APW_RESTORE_DATA36__" hidden="1">#REF!,#REF!,#REF!,#REF!,#REF!,#REF!,#REF!,#REF!,#REF!,#REF!,#REF!,#REF!,#REF!,#REF!,#REF!,#REF!</definedName>
    <definedName name="__APW_RESTORE_DATA360__" hidden="1">#REF!,#REF!,#REF!,#REF!,#REF!,#REF!,#REF!,#REF!,#REF!,#REF!,#REF!,#REF!,#REF!,#REF!,#REF!</definedName>
    <definedName name="__APW_RESTORE_DATA361__" hidden="1">#REF!,#REF!,#REF!,#REF!,#REF!,#REF!,#REF!,#REF!,#REF!,#REF!,#REF!,#REF!,#REF!,#REF!,#REF!</definedName>
    <definedName name="__APW_RESTORE_DATA362__" hidden="1">#REF!,#REF!,#REF!,#REF!,#REF!,#REF!</definedName>
    <definedName name="__APW_RESTORE_DATA363__" hidden="1">#REF!,#REF!,#REF!,#REF!,#REF!,#REF!,#REF!,#REF!,#REF!,#REF!,#REF!,#REF!,#REF!,#REF!,#REF!,#REF!</definedName>
    <definedName name="__APW_RESTORE_DATA364__" hidden="1">#REF!,#REF!,#REF!,#REF!,#REF!,#REF!,#REF!,#REF!,#REF!,#REF!,#REF!,#REF!,#REF!,#REF!,#REF!,#REF!</definedName>
    <definedName name="__APW_RESTORE_DATA365__" hidden="1">#REF!,#REF!,#REF!,#REF!,#REF!,#REF!,#REF!,#REF!,#REF!,#REF!,#REF!,#REF!,#REF!,#REF!,#REF!,#REF!</definedName>
    <definedName name="__APW_RESTORE_DATA366__" hidden="1">#REF!,#REF!</definedName>
    <definedName name="__APW_RESTORE_DATA367__" hidden="1">#REF!,#REF!,#REF!,#REF!,#REF!,#REF!,#REF!,#REF!,#REF!,#REF!,#REF!,#REF!,#REF!,#REF!,#REF!,#REF!</definedName>
    <definedName name="__APW_RESTORE_DATA368__" hidden="1">#REF!,#REF!,#REF!,#REF!,#REF!,#REF!,#REF!,#REF!,#REF!,#REF!,#REF!,#REF!,#REF!,#REF!,#REF!,#REF!</definedName>
    <definedName name="__APW_RESTORE_DATA369__" hidden="1">#REF!,#REF!,#REF!,#REF!,#REF!,#REF!,#REF!,#REF!,#REF!,#REF!,#REF!,#REF!,#REF!,#REF!,#REF!</definedName>
    <definedName name="__APW_RESTORE_DATA37__" hidden="1">#REF!,#REF!,#REF!,#REF!,#REF!,#REF!,#REF!,#REF!,#REF!,#REF!,#REF!,#REF!,#REF!,#REF!,#REF!</definedName>
    <definedName name="__APW_RESTORE_DATA370__" hidden="1">#REF!,#REF!,#REF!,#REF!,#REF!,#REF!,#REF!,#REF!,#REF!,#REF!,#REF!,#REF!,#REF!,#REF!,#REF!</definedName>
    <definedName name="__APW_RESTORE_DATA371__" hidden="1">#REF!,#REF!</definedName>
    <definedName name="__APW_RESTORE_DATA372__" hidden="1">#REF!,#REF!,#REF!,#REF!,#REF!,#REF!,#REF!,#REF!,#REF!,#REF!,#REF!,#REF!,#REF!,#REF!,#REF!</definedName>
    <definedName name="__APW_RESTORE_DATA373__" hidden="1">#REF!,#REF!,#REF!,#REF!,#REF!,#REF!,#REF!,#REF!,#REF!,#REF!,#REF!,#REF!,#REF!,#REF!,#REF!</definedName>
    <definedName name="__APW_RESTORE_DATA374__" hidden="1">#REF!,#REF!,#REF!,#REF!,#REF!,#REF!,#REF!,#REF!,#REF!,#REF!,#REF!,#REF!,#REF!,#REF!,#REF!</definedName>
    <definedName name="__APW_RESTORE_DATA375__" hidden="1">#REF!,#REF!,#REF!,#REF!,#REF!,#REF!,#REF!,#REF!,#REF!,#REF!,#REF!,#REF!,#REF!,#REF!,#REF!</definedName>
    <definedName name="__APW_RESTORE_DATA376__" hidden="1">#REF!,#REF!</definedName>
    <definedName name="__APW_RESTORE_DATA377__" hidden="1">#REF!,#REF!,#REF!,#REF!,#REF!,#REF!,#REF!,#REF!,#REF!,#REF!,#REF!,#REF!,#REF!,#REF!,#REF!</definedName>
    <definedName name="__APW_RESTORE_DATA378__" hidden="1">#REF!,#REF!,#REF!,#REF!,#REF!,#REF!,#REF!,#REF!,#REF!,#REF!,#REF!,#REF!,#REF!,#REF!,#REF!</definedName>
    <definedName name="__APW_RESTORE_DATA379__" hidden="1">#REF!,#REF!,#REF!,#REF!,#REF!,#REF!,#REF!,#REF!,#REF!,#REF!,#REF!,#REF!,#REF!,#REF!,#REF!</definedName>
    <definedName name="__APW_RESTORE_DATA38__" hidden="1">#REF!,#REF!,#REF!,#REF!,#REF!,#REF!,#REF!,#REF!,#REF!,#REF!,#REF!,#REF!,#REF!,#REF!,#REF!</definedName>
    <definedName name="__APW_RESTORE_DATA380__" hidden="1">#REF!,#REF!,#REF!,#REF!,#REF!,#REF!,#REF!,#REF!,#REF!,#REF!,#REF!,#REF!,#REF!,#REF!,#REF!</definedName>
    <definedName name="__APW_RESTORE_DATA381__" hidden="1">#REF!,#REF!,#REF!,#REF!,#REF!,#REF!,#REF!,#REF!,#REF!,#REF!,#REF!,#REF!,#REF!,#REF!,#REF!</definedName>
    <definedName name="__APW_RESTORE_DATA382__" hidden="1">#REF!,#REF!,#REF!,#REF!,#REF!,#REF!,#REF!,#REF!,#REF!,#REF!,#REF!,#REF!,#REF!,#REF!,#REF!</definedName>
    <definedName name="__APW_RESTORE_DATA383__" hidden="1">#REF!,#REF!,#REF!,#REF!,#REF!,#REF!,#REF!,#REF!,#REF!,#REF!,#REF!,#REF!,#REF!,#REF!,#REF!</definedName>
    <definedName name="__APW_RESTORE_DATA384__" hidden="1">#REF!,#REF!,#REF!,#REF!,#REF!,#REF!,#REF!,#REF!,#REF!,#REF!,#REF!,#REF!,#REF!,#REF!,#REF!</definedName>
    <definedName name="__APW_RESTORE_DATA385__" hidden="1">#REF!,#REF!,#REF!,#REF!,#REF!,#REF!,#REF!,#REF!,#REF!,#REF!,#REF!,#REF!,#REF!,#REF!,#REF!</definedName>
    <definedName name="__APW_RESTORE_DATA386__" hidden="1">#REF!,#REF!,#REF!,#REF!,#REF!,#REF!,#REF!,#REF!,#REF!,#REF!,#REF!,#REF!,#REF!,#REF!,#REF!</definedName>
    <definedName name="__APW_RESTORE_DATA387__" hidden="1">#REF!,#REF!,#REF!,#REF!,#REF!,#REF!,#REF!,#REF!,#REF!,#REF!,#REF!,#REF!,#REF!,#REF!,#REF!</definedName>
    <definedName name="__APW_RESTORE_DATA388__" hidden="1">#REF!,#REF!,#REF!,#REF!,#REF!,#REF!,#REF!,#REF!,#REF!,#REF!,#REF!,#REF!,#REF!,#REF!,#REF!</definedName>
    <definedName name="__APW_RESTORE_DATA389__" hidden="1">#REF!,#REF!,#REF!,#REF!,#REF!,#REF!,#REF!,#REF!,#REF!,#REF!,#REF!,#REF!,#REF!,#REF!,#REF!</definedName>
    <definedName name="__APW_RESTORE_DATA39__" hidden="1">#REF!</definedName>
    <definedName name="__APW_RESTORE_DATA390__" hidden="1">#REF!,#REF!,#REF!,#REF!,#REF!,#REF!,#REF!,#REF!,#REF!,#REF!,#REF!,#REF!,#REF!,#REF!,#REF!</definedName>
    <definedName name="__APW_RESTORE_DATA391__" hidden="1">#REF!,#REF!</definedName>
    <definedName name="__APW_RESTORE_DATA392__" hidden="1">#REF!,#REF!</definedName>
    <definedName name="__APW_RESTORE_DATA393__" hidden="1">#REF!,#REF!,#REF!,#REF!,#REF!,#REF!,#REF!,#REF!,#REF!,#REF!,#REF!,#REF!,#REF!,#REF!,#REF!</definedName>
    <definedName name="__APW_RESTORE_DATA394__" hidden="1">#REF!,#REF!,#REF!,#REF!,#REF!,#REF!,#REF!,#REF!,#REF!,#REF!,#REF!,#REF!,#REF!,#REF!,#REF!</definedName>
    <definedName name="__APW_RESTORE_DATA395__" hidden="1">#REF!,#REF!,#REF!,#REF!,#REF!,#REF!,#REF!,#REF!,#REF!,#REF!,#REF!,#REF!,#REF!,#REF!,#REF!</definedName>
    <definedName name="__APW_RESTORE_DATA396__" hidden="1">#REF!,#REF!,#REF!,#REF!,#REF!,#REF!,#REF!,#REF!,#REF!,#REF!,#REF!,#REF!,#REF!,#REF!,#REF!</definedName>
    <definedName name="__APW_RESTORE_DATA397__" hidden="1">#REF!,#REF!,#REF!,#REF!,#REF!,#REF!</definedName>
    <definedName name="__APW_RESTORE_DATA398__" hidden="1">#REF!,#REF!,#REF!,#REF!,#REF!,#REF!,#REF!,#REF!,#REF!,#REF!,#REF!,#REF!,#REF!,#REF!,#REF!,#REF!</definedName>
    <definedName name="__APW_RESTORE_DATA399__" hidden="1">#REF!,#REF!,#REF!,#REF!,#REF!,#REF!,#REF!,#REF!,#REF!,#REF!,#REF!,#REF!,#REF!,#REF!,#REF!,#REF!</definedName>
    <definedName name="__APW_RESTORE_DATA4__" hidden="1">#REF!</definedName>
    <definedName name="__APW_RESTORE_DATA40__" hidden="1">#REF!</definedName>
    <definedName name="__APW_RESTORE_DATA400__" hidden="1">#REF!,#REF!,#REF!,#REF!,#REF!,#REF!,#REF!,#REF!,#REF!,#REF!,#REF!,#REF!,#REF!,#REF!,#REF!,#REF!</definedName>
    <definedName name="__APW_RESTORE_DATA401__" hidden="1">#REF!,#REF!,#REF!,#REF!,#REF!,#REF!,#REF!,#REF!,#REF!,#REF!,#REF!,#REF!,#REF!,#REF!,#REF!,#REF!</definedName>
    <definedName name="__APW_RESTORE_DATA402__" hidden="1">#REF!,#REF!,#REF!,#REF!,#REF!,#REF!,#REF!,#REF!,#REF!,#REF!,#REF!,#REF!,#REF!,#REF!,#REF!,#REF!</definedName>
    <definedName name="__APW_RESTORE_DATA403__" hidden="1">#REF!,#REF!,#REF!,#REF!,#REF!,#REF!,#REF!,#REF!,#REF!,#REF!,#REF!,#REF!,#REF!,#REF!,#REF!,#REF!</definedName>
    <definedName name="__APW_RESTORE_DATA404__" hidden="1">#REF!,#REF!,#REF!,#REF!,#REF!,#REF!,#REF!,#REF!,#REF!,#REF!,#REF!,#REF!,#REF!,#REF!,#REF!</definedName>
    <definedName name="__APW_RESTORE_DATA405__" hidden="1">#REF!,#REF!</definedName>
    <definedName name="__APW_RESTORE_DATA406__" hidden="1">#REF!,#REF!,#REF!,#REF!,#REF!,#REF!,#REF!,#REF!,#REF!,#REF!,#REF!,#REF!,#REF!,#REF!,#REF!</definedName>
    <definedName name="__APW_RESTORE_DATA407__" hidden="1">#REF!,#REF!,#REF!,#REF!,#REF!,#REF!,#REF!,#REF!,#REF!,#REF!,#REF!,#REF!,#REF!,#REF!,#REF!</definedName>
    <definedName name="__APW_RESTORE_DATA408__" hidden="1">#REF!,#REF!,#REF!,#REF!,#REF!,#REF!,#REF!,#REF!,#REF!,#REF!,#REF!,#REF!,#REF!,#REF!,#REF!</definedName>
    <definedName name="__APW_RESTORE_DATA409__" hidden="1">#REF!,#REF!,#REF!,#REF!,#REF!,#REF!,#REF!,#REF!,#REF!,#REF!,#REF!,#REF!,#REF!,#REF!,#REF!</definedName>
    <definedName name="__APW_RESTORE_DATA41__" hidden="1">#REF!</definedName>
    <definedName name="__APW_RESTORE_DATA410__" hidden="1">#REF!,#REF!</definedName>
    <definedName name="__APW_RESTORE_DATA411__" hidden="1">#REF!,#REF!,#REF!,#REF!,#REF!,#REF!,#REF!,#REF!,#REF!,#REF!,#REF!,#REF!,#REF!,#REF!,#REF!</definedName>
    <definedName name="__APW_RESTORE_DATA412__" hidden="1">#REF!,#REF!,#REF!,#REF!,#REF!,#REF!,#REF!,#REF!,#REF!,#REF!,#REF!,#REF!,#REF!,#REF!,#REF!</definedName>
    <definedName name="__APW_RESTORE_DATA413__" hidden="1">#REF!,#REF!,#REF!,#REF!,#REF!,#REF!,#REF!,#REF!,#REF!,#REF!,#REF!,#REF!,#REF!,#REF!,#REF!</definedName>
    <definedName name="__APW_RESTORE_DATA414__" hidden="1">#REF!,#REF!,#REF!,#REF!,#REF!,#REF!,#REF!,#REF!,#REF!,#REF!,#REF!,#REF!,#REF!,#REF!,#REF!</definedName>
    <definedName name="__APW_RESTORE_DATA415__" hidden="1">#REF!,#REF!</definedName>
    <definedName name="__APW_RESTORE_DATA416__" hidden="1">#REF!,#REF!,#REF!,#REF!,#REF!,#REF!,#REF!,#REF!,#REF!,#REF!,#REF!,#REF!,#REF!,#REF!,#REF!</definedName>
    <definedName name="__APW_RESTORE_DATA417__" hidden="1">#REF!,#REF!,#REF!,#REF!,#REF!,#REF!,#REF!,#REF!,#REF!,#REF!,#REF!,#REF!,#REF!,#REF!,#REF!</definedName>
    <definedName name="__APW_RESTORE_DATA418__" hidden="1">#REF!,#REF!,#REF!,#REF!,#REF!,#REF!,#REF!,#REF!,#REF!,#REF!,#REF!,#REF!,#REF!,#REF!,#REF!</definedName>
    <definedName name="__APW_RESTORE_DATA419__" hidden="1">#REF!,#REF!,#REF!,#REF!,#REF!,#REF!,#REF!,#REF!,#REF!,#REF!,#REF!,#REF!,#REF!,#REF!,#REF!</definedName>
    <definedName name="__APW_RESTORE_DATA42__" hidden="1">#REF!,#REF!,#REF!,#REF!,#REF!,#REF!,#REF!,#REF!,#REF!,#REF!,#REF!,#REF!,#REF!,#REF!,#REF!,#REF!</definedName>
    <definedName name="__APW_RESTORE_DATA420__" hidden="1">#REF!,#REF!,#REF!,#REF!,#REF!,#REF!,#REF!,#REF!,#REF!,#REF!,#REF!,#REF!,#REF!,#REF!,#REF!</definedName>
    <definedName name="__APW_RESTORE_DATA421__" hidden="1">#REF!,#REF!,#REF!,#REF!,#REF!,#REF!,#REF!,#REF!,#REF!,#REF!,#REF!,#REF!,#REF!,#REF!,#REF!</definedName>
    <definedName name="__APW_RESTORE_DATA422__" hidden="1">#REF!,#REF!,#REF!,#REF!,#REF!,#REF!,#REF!,#REF!,#REF!,#REF!,#REF!,#REF!,#REF!,#REF!,#REF!</definedName>
    <definedName name="__APW_RESTORE_DATA423__" hidden="1">#REF!,#REF!,#REF!,#REF!,#REF!,#REF!,#REF!,#REF!,#REF!,#REF!,#REF!,#REF!,#REF!,#REF!,#REF!</definedName>
    <definedName name="__APW_RESTORE_DATA424__" hidden="1">#REF!,#REF!,#REF!,#REF!,#REF!,#REF!,#REF!,#REF!,#REF!,#REF!,#REF!,#REF!,#REF!,#REF!,#REF!</definedName>
    <definedName name="__APW_RESTORE_DATA425__" hidden="1">#REF!,#REF!,#REF!,#REF!,#REF!,#REF!,#REF!,#REF!,#REF!,#REF!,#REF!,#REF!,#REF!,#REF!,#REF!</definedName>
    <definedName name="__APW_RESTORE_DATA426__" hidden="1">#REF!,#REF!,#REF!,#REF!,#REF!,#REF!,#REF!,#REF!,#REF!,#REF!,#REF!,#REF!,#REF!,#REF!,#REF!</definedName>
    <definedName name="__APW_RESTORE_DATA427__" hidden="1">#REF!,#REF!,#REF!,#REF!,#REF!,#REF!,#REF!,#REF!,#REF!,#REF!,#REF!,#REF!,#REF!,#REF!,#REF!</definedName>
    <definedName name="__APW_RESTORE_DATA428__" hidden="1">#REF!,#REF!,#REF!,#REF!,#REF!,#REF!,#REF!,#REF!,#REF!,#REF!,#REF!,#REF!,#REF!,#REF!,#REF!</definedName>
    <definedName name="__APW_RESTORE_DATA429__" hidden="1">#REF!,#REF!,#REF!,#REF!,#REF!,#REF!,#REF!,#REF!,#REF!,#REF!,#REF!,#REF!,#REF!,#REF!,#REF!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30__" hidden="1">#REF!,#REF!</definedName>
    <definedName name="__APW_RESTORE_DATA431__" hidden="1">#REF!,#REF!</definedName>
    <definedName name="__APW_RESTORE_DATA432__" hidden="1">#REF!,#REF!,#REF!,#REF!,#REF!,#REF!</definedName>
    <definedName name="__APW_RESTORE_DATA433__" hidden="1">#REF!</definedName>
    <definedName name="__APW_RESTORE_DATA434__" hidden="1">#REF!</definedName>
    <definedName name="__APW_RESTORE_DATA435__" hidden="1">#REF!</definedName>
    <definedName name="__APW_RESTORE_DATA436__" hidden="1">#REF!,#REF!,#REF!,#REF!,#REF!,#REF!,#REF!,#REF!,#REF!,#REF!,#REF!,#REF!,#REF!,#REF!,#REF!,#REF!</definedName>
    <definedName name="__APW_RESTORE_DATA437__" hidden="1">#REF!,#REF!,#REF!,#REF!,#REF!,#REF!,#REF!,#REF!,#REF!,#REF!,#REF!,#REF!,#REF!,#REF!,#REF!,#REF!</definedName>
    <definedName name="__APW_RESTORE_DATA438__" hidden="1">#REF!,#REF!,#REF!,#REF!,#REF!,#REF!,#REF!,#REF!,#REF!,#REF!,#REF!,#REF!,#REF!,#REF!,#REF!,#REF!</definedName>
    <definedName name="__APW_RESTORE_DATA439__" hidden="1">#REF!,#REF!,#REF!,#REF!,#REF!,#REF!,#REF!,#REF!,#REF!,#REF!,#REF!,#REF!,#REF!,#REF!,#REF!,#REF!</definedName>
    <definedName name="__APW_RESTORE_DATA44__" hidden="1">#REF!,#REF!,#REF!,#REF!,#REF!,#REF!,#REF!,#REF!,#REF!,#REF!,#REF!,#REF!,#REF!,#REF!,#REF!,#REF!</definedName>
    <definedName name="__APW_RESTORE_DATA440__" hidden="1">#REF!,#REF!,#REF!,#REF!,#REF!,#REF!,#REF!,#REF!,#REF!,#REF!,#REF!,#REF!,#REF!,#REF!,#REF!,#REF!</definedName>
    <definedName name="__APW_RESTORE_DATA441__" hidden="1">#REF!,#REF!,#REF!,#REF!,#REF!,#REF!,#REF!,#REF!,#REF!,#REF!,#REF!,#REF!,#REF!,#REF!,#REF!,#REF!</definedName>
    <definedName name="__APW_RESTORE_DATA442__" hidden="1">#REF!,#REF!,#REF!,#REF!,#REF!,#REF!,#REF!,#REF!,#REF!,#REF!,#REF!,#REF!,#REF!,#REF!,#REF!</definedName>
    <definedName name="__APW_RESTORE_DATA443__" hidden="1">#REF!,#REF!,#REF!,#REF!,#REF!,#REF!,#REF!,#REF!,#REF!,#REF!,#REF!,#REF!,#REF!,#REF!,#REF!</definedName>
    <definedName name="__APW_RESTORE_DATA444__" hidden="1">#REF!,#REF!</definedName>
    <definedName name="__APW_RESTORE_DATA445__" hidden="1">#REF!,#REF!,#REF!,#REF!,#REF!,#REF!,#REF!,#REF!,#REF!,#REF!,#REF!,#REF!,#REF!,#REF!,#REF!</definedName>
    <definedName name="__APW_RESTORE_DATA446__" hidden="1">#REF!,#REF!,#REF!,#REF!,#REF!,#REF!,#REF!,#REF!,#REF!,#REF!,#REF!,#REF!,#REF!,#REF!,#REF!</definedName>
    <definedName name="__APW_RESTORE_DATA447__" hidden="1">#REF!,#REF!,#REF!,#REF!,#REF!,#REF!,#REF!,#REF!,#REF!,#REF!,#REF!,#REF!,#REF!,#REF!,#REF!</definedName>
    <definedName name="__APW_RESTORE_DATA448__" hidden="1">#REF!,#REF!,#REF!,#REF!,#REF!,#REF!,#REF!,#REF!,#REF!,#REF!,#REF!,#REF!,#REF!,#REF!,#REF!</definedName>
    <definedName name="__APW_RESTORE_DATA449__" hidden="1">#REF!,#REF!</definedName>
    <definedName name="__APW_RESTORE_DATA45__" hidden="1">#REF!,#REF!,#REF!,#REF!,#REF!,#REF!,#REF!,#REF!,#REF!,#REF!,#REF!,#REF!,#REF!,#REF!,#REF!</definedName>
    <definedName name="__APW_RESTORE_DATA450__" hidden="1">#REF!,#REF!,#REF!,#REF!,#REF!,#REF!,#REF!,#REF!,#REF!,#REF!,#REF!,#REF!,#REF!,#REF!,#REF!</definedName>
    <definedName name="__APW_RESTORE_DATA451__" hidden="1">#REF!,#REF!,#REF!,#REF!,#REF!,#REF!,#REF!,#REF!,#REF!,#REF!,#REF!,#REF!,#REF!,#REF!,#REF!</definedName>
    <definedName name="__APW_RESTORE_DATA452__" hidden="1">#REF!,#REF!,#REF!,#REF!,#REF!,#REF!,#REF!,#REF!,#REF!,#REF!,#REF!,#REF!,#REF!,#REF!,#REF!</definedName>
    <definedName name="__APW_RESTORE_DATA453__" hidden="1">#REF!,#REF!,#REF!,#REF!,#REF!,#REF!,#REF!,#REF!,#REF!,#REF!,#REF!,#REF!,#REF!,#REF!,#REF!</definedName>
    <definedName name="__APW_RESTORE_DATA454__" hidden="1">#REF!,#REF!</definedName>
    <definedName name="__APW_RESTORE_DATA455__" hidden="1">#REF!,#REF!,#REF!,#REF!,#REF!,#REF!,#REF!,#REF!,#REF!,#REF!,#REF!,#REF!,#REF!,#REF!,#REF!</definedName>
    <definedName name="__APW_RESTORE_DATA456__" hidden="1">#REF!,#REF!,#REF!,#REF!,#REF!,#REF!,#REF!,#REF!,#REF!,#REF!,#REF!,#REF!,#REF!,#REF!,#REF!</definedName>
    <definedName name="__APW_RESTORE_DATA457__" hidden="1">#REF!,#REF!,#REF!,#REF!,#REF!,#REF!,#REF!,#REF!,#REF!,#REF!,#REF!,#REF!,#REF!,#REF!,#REF!</definedName>
    <definedName name="__APW_RESTORE_DATA458__" hidden="1">#REF!,#REF!,#REF!,#REF!,#REF!,#REF!,#REF!,#REF!,#REF!,#REF!,#REF!,#REF!,#REF!,#REF!,#REF!</definedName>
    <definedName name="__APW_RESTORE_DATA459__" hidden="1">#REF!,#REF!,#REF!,#REF!,#REF!,#REF!,#REF!,#REF!,#REF!,#REF!,#REF!,#REF!,#REF!,#REF!,#REF!</definedName>
    <definedName name="__APW_RESTORE_DATA46__" hidden="1">#REF!</definedName>
    <definedName name="__APW_RESTORE_DATA460__" hidden="1">#REF!,#REF!,#REF!,#REF!,#REF!,#REF!,#REF!,#REF!,#REF!,#REF!,#REF!,#REF!,#REF!,#REF!,#REF!</definedName>
    <definedName name="__APW_RESTORE_DATA461__" hidden="1">#REF!,#REF!,#REF!,#REF!,#REF!,#REF!,#REF!,#REF!,#REF!,#REF!,#REF!,#REF!,#REF!,#REF!,#REF!</definedName>
    <definedName name="__APW_RESTORE_DATA462__" hidden="1">#REF!,#REF!,#REF!,#REF!,#REF!,#REF!,#REF!,#REF!,#REF!,#REF!,#REF!,#REF!,#REF!,#REF!,#REF!</definedName>
    <definedName name="__APW_RESTORE_DATA463__" hidden="1">#REF!,#REF!,#REF!,#REF!,#REF!,#REF!,#REF!,#REF!,#REF!,#REF!,#REF!,#REF!,#REF!,#REF!,#REF!</definedName>
    <definedName name="__APW_RESTORE_DATA464__" hidden="1">#REF!,#REF!,#REF!,#REF!,#REF!,#REF!,#REF!,#REF!,#REF!,#REF!,#REF!,#REF!,#REF!,#REF!,#REF!</definedName>
    <definedName name="__APW_RESTORE_DATA465__" hidden="1">#REF!,#REF!,#REF!,#REF!,#REF!,#REF!,#REF!,#REF!,#REF!,#REF!,#REF!,#REF!,#REF!,#REF!,#REF!</definedName>
    <definedName name="__APW_RESTORE_DATA466__" hidden="1">#REF!,#REF!,#REF!,#REF!,#REF!,#REF!,#REF!,#REF!,#REF!,#REF!,#REF!,#REF!,#REF!,#REF!,#REF!</definedName>
    <definedName name="__APW_RESTORE_DATA467__" hidden="1">#REF!,#REF!,#REF!,#REF!,#REF!,#REF!,#REF!,#REF!,#REF!,#REF!,#REF!,#REF!,#REF!,#REF!,#REF!</definedName>
    <definedName name="__APW_RESTORE_DATA468__" hidden="1">#REF!,#REF!,#REF!,#REF!,#REF!,#REF!,#REF!,#REF!,#REF!,#REF!,#REF!,#REF!,#REF!,#REF!,#REF!</definedName>
    <definedName name="__APW_RESTORE_DATA469__" hidden="1">#REF!,#REF!</definedName>
    <definedName name="__APW_RESTORE_DATA47__" hidden="1">#REF!</definedName>
    <definedName name="__APW_RESTORE_DATA470__" hidden="1">#REF!,#REF!</definedName>
    <definedName name="__APW_RESTORE_DATA471__" hidden="1">#REF!,#REF!,#REF!,#REF!,#REF!,#REF!,#REF!,#REF!,#REF!,#REF!,#REF!,#REF!,#REF!,#REF!,#REF!,#REF!</definedName>
    <definedName name="__APW_RESTORE_DATA472__" hidden="1">#REF!,#REF!,#REF!,#REF!,#REF!,#REF!,#REF!,#REF!,#REF!,#REF!,#REF!,#REF!,#REF!,#REF!,#REF!,#REF!</definedName>
    <definedName name="__APW_RESTORE_DATA473__" hidden="1">#REF!,#REF!,#REF!,#REF!,#REF!,#REF!,#REF!,#REF!,#REF!,#REF!,#REF!,#REF!,#REF!,#REF!,#REF!,#REF!</definedName>
    <definedName name="__APW_RESTORE_DATA474__" hidden="1">#REF!,#REF!,#REF!,#REF!,#REF!,#REF!,#REF!,#REF!,#REF!,#REF!,#REF!,#REF!,#REF!,#REF!,#REF!,#REF!</definedName>
    <definedName name="__APW_RESTORE_DATA475__" hidden="1">#REF!,#REF!,#REF!,#REF!,#REF!,#REF!,#REF!,#REF!,#REF!,#REF!,#REF!,#REF!,#REF!,#REF!,#REF!,#REF!</definedName>
    <definedName name="__APW_RESTORE_DATA476__" hidden="1">#REF!,#REF!,#REF!,#REF!,#REF!,#REF!,#REF!,#REF!,#REF!,#REF!,#REF!,#REF!,#REF!,#REF!,#REF!,#REF!</definedName>
    <definedName name="__APW_RESTORE_DATA477__" hidden="1">#REF!,#REF!,#REF!,#REF!,#REF!,#REF!,#REF!,#REF!,#REF!,#REF!,#REF!,#REF!,#REF!,#REF!,#REF!</definedName>
    <definedName name="__APW_RESTORE_DATA478__" hidden="1">#REF!,#REF!,#REF!,#REF!,#REF!,#REF!,#REF!,#REF!,#REF!,#REF!,#REF!,#REF!,#REF!,#REF!,#REF!</definedName>
    <definedName name="__APW_RESTORE_DATA479__" hidden="1">#REF!,#REF!,#REF!,#REF!,#REF!,#REF!,#REF!,#REF!,#REF!,#REF!,#REF!,#REF!,#REF!,#REF!,#REF!</definedName>
    <definedName name="__APW_RESTORE_DATA48__" hidden="1">#REF!,#REF!,#REF!,#REF!,#REF!,#REF!,#REF!,#REF!,#REF!,#REF!,#REF!,#REF!,#REF!,#REF!,#REF!,#REF!</definedName>
    <definedName name="__APW_RESTORE_DATA480__" hidden="1">#REF!,#REF!,#REF!,#REF!,#REF!,#REF!,#REF!,#REF!,#REF!,#REF!,#REF!,#REF!,#REF!,#REF!,#REF!</definedName>
    <definedName name="__APW_RESTORE_DATA481__" hidden="1">#REF!,#REF!,#REF!,#REF!,#REF!,#REF!,#REF!,#REF!,#REF!,#REF!,#REF!,#REF!,#REF!,#REF!,#REF!</definedName>
    <definedName name="__APW_RESTORE_DATA482__" hidden="1">#REF!,#REF!,#REF!,#REF!,#REF!,#REF!,#REF!,#REF!,#REF!,#REF!,#REF!,#REF!,#REF!,#REF!,#REF!</definedName>
    <definedName name="__APW_RESTORE_DATA483__" hidden="1">#REF!,#REF!</definedName>
    <definedName name="__APW_RESTORE_DATA484__" hidden="1">#REF!,#REF!,#REF!,#REF!,#REF!,#REF!,#REF!,#REF!,#REF!,#REF!,#REF!,#REF!,#REF!,#REF!,#REF!</definedName>
    <definedName name="__APW_RESTORE_DATA485__" hidden="1">#REF!,#REF!,#REF!,#REF!,#REF!,#REF!,#REF!,#REF!,#REF!,#REF!,#REF!,#REF!,#REF!,#REF!,#REF!</definedName>
    <definedName name="__APW_RESTORE_DATA486__" hidden="1">#REF!,#REF!,#REF!,#REF!,#REF!,#REF!,#REF!,#REF!,#REF!,#REF!,#REF!,#REF!,#REF!,#REF!,#REF!</definedName>
    <definedName name="__APW_RESTORE_DATA487__" hidden="1">#REF!,#REF!,#REF!,#REF!,#REF!,#REF!,#REF!,#REF!,#REF!,#REF!,#REF!,#REF!,#REF!,#REF!,#REF!</definedName>
    <definedName name="__APW_RESTORE_DATA488__" hidden="1">#REF!,#REF!</definedName>
    <definedName name="__APW_RESTORE_DATA489__" hidden="1">#REF!,#REF!,#REF!,#REF!,#REF!,#REF!,#REF!,#REF!,#REF!,#REF!,#REF!,#REF!,#REF!,#REF!,#REF!</definedName>
    <definedName name="__APW_RESTORE_DATA49__" hidden="1">#REF!,#REF!,#REF!,#REF!,#REF!,#REF!,#REF!,#REF!,#REF!,#REF!,#REF!,#REF!,#REF!,#REF!,#REF!</definedName>
    <definedName name="__APW_RESTORE_DATA490__" hidden="1">#REF!,#REF!,#REF!,#REF!,#REF!,#REF!,#REF!,#REF!,#REF!,#REF!,#REF!,#REF!,#REF!,#REF!,#REF!</definedName>
    <definedName name="__APW_RESTORE_DATA491__" hidden="1">#REF!,#REF!,#REF!,#REF!,#REF!,#REF!,#REF!,#REF!,#REF!,#REF!,#REF!,#REF!,#REF!,#REF!,#REF!</definedName>
    <definedName name="__APW_RESTORE_DATA492__" hidden="1">#REF!,#REF!,#REF!,#REF!,#REF!,#REF!,#REF!,#REF!,#REF!,#REF!,#REF!,#REF!,#REF!,#REF!,#REF!</definedName>
    <definedName name="__APW_RESTORE_DATA493__" hidden="1">#REF!,#REF!</definedName>
    <definedName name="__APW_RESTORE_DATA494__" hidden="1">#REF!,#REF!,#REF!,#REF!,#REF!,#REF!,#REF!,#REF!,#REF!,#REF!,#REF!,#REF!,#REF!,#REF!,#REF!</definedName>
    <definedName name="__APW_RESTORE_DATA495__" hidden="1">#REF!,#REF!,#REF!,#REF!,#REF!,#REF!,#REF!,#REF!,#REF!,#REF!,#REF!,#REF!,#REF!,#REF!,#REF!</definedName>
    <definedName name="__APW_RESTORE_DATA496__" hidden="1">#REF!,#REF!,#REF!,#REF!,#REF!,#REF!,#REF!,#REF!,#REF!,#REF!,#REF!,#REF!,#REF!,#REF!,#REF!</definedName>
    <definedName name="__APW_RESTORE_DATA497__" hidden="1">#REF!,#REF!,#REF!,#REF!,#REF!,#REF!,#REF!,#REF!,#REF!,#REF!,#REF!,#REF!,#REF!,#REF!,#REF!</definedName>
    <definedName name="__APW_RESTORE_DATA498__" hidden="1">#REF!,#REF!,#REF!,#REF!,#REF!,#REF!,#REF!,#REF!,#REF!,#REF!,#REF!,#REF!,#REF!,#REF!,#REF!</definedName>
    <definedName name="__APW_RESTORE_DATA499__" hidden="1">#REF!,#REF!,#REF!,#REF!,#REF!,#REF!,#REF!,#REF!,#REF!,#REF!,#REF!,#REF!,#REF!,#REF!,#REF!</definedName>
    <definedName name="__APW_RESTORE_DATA5__" hidden="1">#REF!</definedName>
    <definedName name="__APW_RESTORE_DATA50__" hidden="1">#REF!,#REF!,#REF!,#REF!,#REF!,#REF!,#REF!,#REF!,#REF!,#REF!,#REF!,#REF!,#REF!,#REF!,#REF!,#REF!</definedName>
    <definedName name="__APW_RESTORE_DATA500__" hidden="1">#REF!,#REF!,#REF!,#REF!,#REF!,#REF!,#REF!,#REF!,#REF!,#REF!,#REF!,#REF!,#REF!,#REF!,#REF!</definedName>
    <definedName name="__APW_RESTORE_DATA501__" hidden="1">#REF!,#REF!,#REF!,#REF!,#REF!,#REF!,#REF!,#REF!,#REF!,#REF!,#REF!,#REF!,#REF!,#REF!,#REF!</definedName>
    <definedName name="__APW_RESTORE_DATA502__" hidden="1">#REF!,#REF!,#REF!,#REF!,#REF!,#REF!,#REF!,#REF!,#REF!,#REF!,#REF!,#REF!,#REF!,#REF!,#REF!</definedName>
    <definedName name="__APW_RESTORE_DATA503__" hidden="1">#REF!,#REF!,#REF!,#REF!,#REF!,#REF!,#REF!,#REF!,#REF!,#REF!,#REF!,#REF!,#REF!,#REF!,#REF!</definedName>
    <definedName name="__APW_RESTORE_DATA504__" hidden="1">#REF!,#REF!,#REF!,#REF!,#REF!,#REF!,#REF!,#REF!,#REF!,#REF!,#REF!,#REF!,#REF!,#REF!,#REF!</definedName>
    <definedName name="__APW_RESTORE_DATA505__" hidden="1">#REF!,#REF!,#REF!,#REF!,#REF!,#REF!</definedName>
    <definedName name="__APW_RESTORE_DATA506__" hidden="1">#REF!,#REF!,#REF!,#REF!,#REF!,#REF!,#REF!,#REF!,#REF!,#REF!,#REF!,#REF!,#REF!,#REF!,#REF!,#REF!</definedName>
    <definedName name="__APW_RESTORE_DATA507__" hidden="1">#REF!,#REF!,#REF!,#REF!,#REF!,#REF!,#REF!,#REF!,#REF!,#REF!,#REF!,#REF!,#REF!,#REF!,#REF!,#REF!</definedName>
    <definedName name="__APW_RESTORE_DATA508__" hidden="1">#REF!,#REF!</definedName>
    <definedName name="__APW_RESTORE_DATA509__" hidden="1">#REF!,#REF!</definedName>
    <definedName name="__APW_RESTORE_DATA51__" hidden="1">#REF!,#REF!,#REF!,#REF!,#REF!,#REF!,#REF!,#REF!,#REF!,#REF!,#REF!,#REF!,#REF!,#REF!,#REF!</definedName>
    <definedName name="__APW_RESTORE_DATA510__" hidden="1">#REF!,#REF!,#REF!,#REF!,#REF!,#REF!,#REF!,#REF!,#REF!,#REF!,#REF!,#REF!,#REF!,#REF!,#REF!,#REF!</definedName>
    <definedName name="__APW_RESTORE_DATA511__" hidden="1">#REF!,#REF!,#REF!,#REF!,#REF!,#REF!,#REF!,#REF!,#REF!,#REF!,#REF!,#REF!,#REF!,#REF!,#REF!,#REF!</definedName>
    <definedName name="__APW_RESTORE_DATA512__" hidden="1">#REF!,#REF!,#REF!,#REF!,#REF!,#REF!,#REF!,#REF!,#REF!,#REF!,#REF!,#REF!,#REF!,#REF!,#REF!</definedName>
    <definedName name="__APW_RESTORE_DATA513__" hidden="1">#REF!,#REF!,#REF!,#REF!,#REF!,#REF!,#REF!,#REF!,#REF!,#REF!,#REF!,#REF!,#REF!,#REF!,#REF!</definedName>
    <definedName name="__APW_RESTORE_DATA514__" hidden="1">#REF!,#REF!,#REF!,#REF!,#REF!,#REF!,#REF!,#REF!,#REF!,#REF!,#REF!,#REF!,#REF!,#REF!,#REF!</definedName>
    <definedName name="__APW_RESTORE_DATA515__" hidden="1">#REF!,#REF!,#REF!,#REF!,#REF!,#REF!,#REF!,#REF!,#REF!,#REF!,#REF!,#REF!,#REF!,#REF!,#REF!</definedName>
    <definedName name="__APW_RESTORE_DATA516__" hidden="1">#REF!,#REF!,#REF!,#REF!,#REF!,#REF!,#REF!,#REF!,#REF!,#REF!,#REF!,#REF!,#REF!,#REF!,#REF!</definedName>
    <definedName name="__APW_RESTORE_DATA517__" hidden="1">#REF!,#REF!,#REF!,#REF!,#REF!,#REF!,#REF!,#REF!,#REF!,#REF!,#REF!,#REF!,#REF!,#REF!,#REF!</definedName>
    <definedName name="__APW_RESTORE_DATA518__" hidden="1">#REF!,#REF!,#REF!,#REF!,#REF!,#REF!,#REF!,#REF!,#REF!,#REF!,#REF!,#REF!,#REF!,#REF!,#REF!</definedName>
    <definedName name="__APW_RESTORE_DATA519__" hidden="1">#REF!,#REF!,#REF!,#REF!,#REF!,#REF!,#REF!,#REF!,#REF!,#REF!,#REF!,#REF!,#REF!,#REF!,#REF!</definedName>
    <definedName name="__APW_RESTORE_DATA52__" hidden="1">#REF!,#REF!,#REF!,#REF!,#REF!,#REF!,#REF!,#REF!,#REF!,#REF!,#REF!,#REF!,#REF!,#REF!,#REF!,#REF!</definedName>
    <definedName name="__APW_RESTORE_DATA520__" hidden="1">#REF!,#REF!,#REF!,#REF!,#REF!,#REF!,#REF!,#REF!,#REF!,#REF!,#REF!,#REF!,#REF!,#REF!,#REF!</definedName>
    <definedName name="__APW_RESTORE_DATA521__" hidden="1">#REF!,#REF!,#REF!,#REF!,#REF!,#REF!,#REF!,#REF!,#REF!,#REF!,#REF!,#REF!,#REF!,#REF!,#REF!</definedName>
    <definedName name="__APW_RESTORE_DATA522__" hidden="1">#REF!,#REF!</definedName>
    <definedName name="__APW_RESTORE_DATA523__" hidden="1">#REF!,#REF!,#REF!,#REF!,#REF!,#REF!,#REF!,#REF!,#REF!,#REF!,#REF!,#REF!,#REF!,#REF!,#REF!</definedName>
    <definedName name="__APW_RESTORE_DATA524__" hidden="1">#REF!,#REF!,#REF!,#REF!,#REF!,#REF!,#REF!,#REF!,#REF!,#REF!,#REF!,#REF!,#REF!,#REF!,#REF!</definedName>
    <definedName name="__APW_RESTORE_DATA525__" hidden="1">#REF!,#REF!,#REF!,#REF!,#REF!,#REF!,#REF!,#REF!,#REF!,#REF!,#REF!,#REF!,#REF!,#REF!,#REF!</definedName>
    <definedName name="__APW_RESTORE_DATA526__" hidden="1">#REF!,#REF!,#REF!,#REF!,#REF!,#REF!,#REF!,#REF!,#REF!,#REF!,#REF!,#REF!,#REF!,#REF!,#REF!</definedName>
    <definedName name="__APW_RESTORE_DATA527__" hidden="1">#REF!,#REF!</definedName>
    <definedName name="__APW_RESTORE_DATA528__" hidden="1">#REF!,#REF!,#REF!,#REF!,#REF!,#REF!,#REF!,#REF!,#REF!,#REF!,#REF!,#REF!,#REF!,#REF!,#REF!</definedName>
    <definedName name="__APW_RESTORE_DATA529__" hidden="1">#REF!,#REF!,#REF!,#REF!,#REF!,#REF!,#REF!,#REF!,#REF!,#REF!,#REF!,#REF!,#REF!,#REF!,#REF!</definedName>
    <definedName name="__APW_RESTORE_DATA53__" hidden="1">#REF!,#REF!,#REF!,#REF!,#REF!,#REF!,#REF!,#REF!,#REF!,#REF!,#REF!,#REF!,#REF!,#REF!,#REF!</definedName>
    <definedName name="__APW_RESTORE_DATA530__" hidden="1">#REF!,#REF!,#REF!,#REF!,#REF!,#REF!,#REF!,#REF!,#REF!,#REF!,#REF!,#REF!,#REF!,#REF!,#REF!</definedName>
    <definedName name="__APW_RESTORE_DATA531__" hidden="1">#REF!,#REF!,#REF!,#REF!,#REF!,#REF!,#REF!,#REF!,#REF!,#REF!,#REF!,#REF!,#REF!,#REF!,#REF!</definedName>
    <definedName name="__APW_RESTORE_DATA532__" hidden="1">#REF!,#REF!</definedName>
    <definedName name="__APW_RESTORE_DATA533__" hidden="1">#REF!,#REF!,#REF!,#REF!,#REF!,#REF!,#REF!,#REF!,#REF!,#REF!,#REF!,#REF!,#REF!,#REF!,#REF!</definedName>
    <definedName name="__APW_RESTORE_DATA534__" hidden="1">#REF!,#REF!,#REF!,#REF!,#REF!,#REF!,#REF!,#REF!,#REF!,#REF!,#REF!,#REF!,#REF!,#REF!,#REF!</definedName>
    <definedName name="__APW_RESTORE_DATA535__" hidden="1">#REF!,#REF!,#REF!,#REF!,#REF!,#REF!,#REF!,#REF!,#REF!,#REF!,#REF!,#REF!,#REF!,#REF!,#REF!</definedName>
    <definedName name="__APW_RESTORE_DATA536__" hidden="1">#REF!,#REF!,#REF!,#REF!,#REF!,#REF!,#REF!,#REF!,#REF!,#REF!,#REF!,#REF!,#REF!,#REF!,#REF!</definedName>
    <definedName name="__APW_RESTORE_DATA537__" hidden="1">#REF!,#REF!,#REF!,#REF!,#REF!,#REF!,#REF!,#REF!,#REF!,#REF!,#REF!,#REF!,#REF!,#REF!,#REF!</definedName>
    <definedName name="__APW_RESTORE_DATA538__" hidden="1">#REF!,#REF!,#REF!,#REF!,#REF!,#REF!,#REF!,#REF!,#REF!,#REF!,#REF!,#REF!,#REF!,#REF!,#REF!</definedName>
    <definedName name="__APW_RESTORE_DATA539__" hidden="1">#REF!,#REF!,#REF!,#REF!,#REF!,#REF!,#REF!,#REF!,#REF!,#REF!,#REF!,#REF!,#REF!,#REF!,#REF!</definedName>
    <definedName name="__APW_RESTORE_DATA54__" hidden="1">#REF!</definedName>
    <definedName name="__APW_RESTORE_DATA540__" hidden="1">#REF!,#REF!,#REF!,#REF!,#REF!,#REF!</definedName>
    <definedName name="__APW_RESTORE_DATA541__" hidden="1">#REF!,#REF!,#REF!,#REF!,#REF!,#REF!,#REF!,#REF!,#REF!,#REF!,#REF!,#REF!,#REF!,#REF!,#REF!,#REF!</definedName>
    <definedName name="__APW_RESTORE_DATA542__" hidden="1">#REF!,#REF!,#REF!,#REF!,#REF!,#REF!,#REF!,#REF!,#REF!,#REF!,#REF!,#REF!,#REF!,#REF!,#REF!,#REF!</definedName>
    <definedName name="__APW_RESTORE_DATA543__" hidden="1">#REF!,#REF!,#REF!,#REF!,#REF!,#REF!,#REF!,#REF!,#REF!,#REF!,#REF!,#REF!,#REF!,#REF!,#REF!,#REF!</definedName>
    <definedName name="__APW_RESTORE_DATA544__" hidden="1">#REF!,#REF!,#REF!,#REF!,#REF!,#REF!,#REF!,#REF!,#REF!,#REF!,#REF!,#REF!,#REF!,#REF!,#REF!,#REF!</definedName>
    <definedName name="__APW_RESTORE_DATA545__" hidden="1">#REF!,#REF!,#REF!,#REF!,#REF!,#REF!,#REF!,#REF!,#REF!,#REF!,#REF!,#REF!,#REF!,#REF!,#REF!,#REF!</definedName>
    <definedName name="__APW_RESTORE_DATA546__" hidden="1">#REF!,#REF!,#REF!,#REF!,#REF!,#REF!,#REF!,#REF!,#REF!,#REF!,#REF!,#REF!,#REF!,#REF!,#REF!,#REF!</definedName>
    <definedName name="__APW_RESTORE_DATA547__" hidden="1">#REF!,#REF!</definedName>
    <definedName name="__APW_RESTORE_DATA548__" hidden="1">#REF!,#REF!</definedName>
    <definedName name="__APW_RESTORE_DATA549__" hidden="1">#REF!,#REF!,#REF!,#REF!,#REF!,#REF!,#REF!,#REF!,#REF!,#REF!,#REF!,#REF!,#REF!,#REF!,#REF!</definedName>
    <definedName name="__APW_RESTORE_DATA55__" hidden="1">#REF!</definedName>
    <definedName name="__APW_RESTORE_DATA550__" hidden="1">#REF!,#REF!,#REF!,#REF!,#REF!,#REF!,#REF!,#REF!,#REF!,#REF!,#REF!,#REF!,#REF!,#REF!,#REF!</definedName>
    <definedName name="__APW_RESTORE_DATA551__" hidden="1">#REF!,#REF!,#REF!,#REF!,#REF!,#REF!,#REF!,#REF!,#REF!,#REF!,#REF!,#REF!,#REF!,#REF!,#REF!</definedName>
    <definedName name="__APW_RESTORE_DATA552__" hidden="1">#REF!,#REF!,#REF!,#REF!,#REF!,#REF!,#REF!,#REF!,#REF!,#REF!,#REF!,#REF!,#REF!,#REF!,#REF!</definedName>
    <definedName name="__APW_RESTORE_DATA553__" hidden="1">#REF!,#REF!,#REF!,#REF!,#REF!,#REF!,#REF!,#REF!,#REF!,#REF!,#REF!,#REF!,#REF!,#REF!,#REF!</definedName>
    <definedName name="__APW_RESTORE_DATA554__" hidden="1">#REF!,#REF!,#REF!,#REF!,#REF!,#REF!,#REF!,#REF!,#REF!,#REF!,#REF!,#REF!,#REF!,#REF!,#REF!</definedName>
    <definedName name="__APW_RESTORE_DATA555__" hidden="1">#REF!,#REF!,#REF!,#REF!,#REF!,#REF!,#REF!,#REF!,#REF!,#REF!,#REF!,#REF!,#REF!,#REF!,#REF!</definedName>
    <definedName name="__APW_RESTORE_DATA556__" hidden="1">#REF!,#REF!,#REF!,#REF!,#REF!,#REF!,#REF!,#REF!,#REF!,#REF!,#REF!,#REF!,#REF!,#REF!,#REF!</definedName>
    <definedName name="__APW_RESTORE_DATA557__" hidden="1">#REF!,#REF!,#REF!,#REF!,#REF!,#REF!,#REF!,#REF!,#REF!,#REF!,#REF!,#REF!,#REF!,#REF!,#REF!</definedName>
    <definedName name="__APW_RESTORE_DATA558__" hidden="1">#REF!,#REF!,#REF!,#REF!,#REF!,#REF!,#REF!,#REF!,#REF!,#REF!,#REF!,#REF!,#REF!,#REF!,#REF!</definedName>
    <definedName name="__APW_RESTORE_DATA559__" hidden="1">#REF!,#REF!,#REF!,#REF!,#REF!,#REF!,#REF!,#REF!,#REF!,#REF!,#REF!,#REF!,#REF!,#REF!,#REF!</definedName>
    <definedName name="__APW_RESTORE_DATA56__" hidden="1">#REF!,#REF!,#REF!,#REF!,#REF!,#REF!,#REF!,#REF!,#REF!,#REF!,#REF!,#REF!,#REF!,#REF!,#REF!,#REF!</definedName>
    <definedName name="__APW_RESTORE_DATA560__" hidden="1">#REF!,#REF!,#REF!,#REF!,#REF!,#REF!,#REF!,#REF!,#REF!,#REF!,#REF!,#REF!,#REF!,#REF!,#REF!</definedName>
    <definedName name="__APW_RESTORE_DATA561__" hidden="1">#REF!,#REF!</definedName>
    <definedName name="__APW_RESTORE_DATA562__" hidden="1">#REF!,#REF!,#REF!,#REF!,#REF!,#REF!,#REF!,#REF!,#REF!,#REF!,#REF!,#REF!,#REF!,#REF!,#REF!</definedName>
    <definedName name="__APW_RESTORE_DATA563__" hidden="1">#REF!,#REF!,#REF!,#REF!,#REF!,#REF!,#REF!,#REF!,#REF!,#REF!,#REF!,#REF!,#REF!,#REF!,#REF!</definedName>
    <definedName name="__APW_RESTORE_DATA564__" hidden="1">#REF!,#REF!,#REF!,#REF!,#REF!,#REF!,#REF!,#REF!,#REF!,#REF!,#REF!,#REF!,#REF!,#REF!,#REF!</definedName>
    <definedName name="__APW_RESTORE_DATA565__" hidden="1">#REF!,#REF!,#REF!,#REF!,#REF!,#REF!,#REF!,#REF!,#REF!,#REF!,#REF!,#REF!,#REF!,#REF!,#REF!</definedName>
    <definedName name="__APW_RESTORE_DATA566__" hidden="1">#REF!,#REF!</definedName>
    <definedName name="__APW_RESTORE_DATA567__" hidden="1">#REF!,#REF!,#REF!,#REF!,#REF!,#REF!,#REF!,#REF!,#REF!,#REF!,#REF!,#REF!,#REF!,#REF!,#REF!</definedName>
    <definedName name="__APW_RESTORE_DATA568__" hidden="1">#REF!,#REF!,#REF!,#REF!,#REF!,#REF!,#REF!,#REF!,#REF!,#REF!,#REF!,#REF!,#REF!,#REF!,#REF!</definedName>
    <definedName name="__APW_RESTORE_DATA569__" hidden="1">#REF!,#REF!,#REF!,#REF!,#REF!,#REF!,#REF!,#REF!,#REF!,#REF!,#REF!,#REF!,#REF!,#REF!,#REF!</definedName>
    <definedName name="__APW_RESTORE_DATA57__" hidden="1">#REF!,#REF!,#REF!,#REF!,#REF!,#REF!,#REF!,#REF!,#REF!,#REF!,#REF!,#REF!,#REF!,#REF!,#REF!</definedName>
    <definedName name="__APW_RESTORE_DATA570__" hidden="1">#REF!,#REF!,#REF!,#REF!,#REF!,#REF!,#REF!,#REF!,#REF!,#REF!,#REF!,#REF!,#REF!,#REF!,#REF!</definedName>
    <definedName name="__APW_RESTORE_DATA571__" hidden="1">#REF!,#REF!</definedName>
    <definedName name="__APW_RESTORE_DATA572__" hidden="1">#REF!,#REF!,#REF!,#REF!,#REF!,#REF!,#REF!,#REF!,#REF!,#REF!,#REF!,#REF!,#REF!,#REF!,#REF!</definedName>
    <definedName name="__APW_RESTORE_DATA573__" hidden="1">#REF!,#REF!,#REF!,#REF!,#REF!,#REF!,#REF!,#REF!,#REF!,#REF!,#REF!,#REF!,#REF!,#REF!,#REF!</definedName>
    <definedName name="__APW_RESTORE_DATA574__" hidden="1">#REF!,#REF!,#REF!,#REF!,#REF!,#REF!,#REF!,#REF!,#REF!,#REF!,#REF!,#REF!,#REF!,#REF!,#REF!</definedName>
    <definedName name="__APW_RESTORE_DATA575__" hidden="1">#REF!,#REF!,#REF!,#REF!,#REF!,#REF!</definedName>
    <definedName name="__APW_RESTORE_DATA576__" hidden="1">#REF!</definedName>
    <definedName name="__APW_RESTORE_DATA577__" hidden="1">#REF!,#REF!,#REF!,#REF!,#REF!,#REF!,#REF!,#REF!,#REF!,#REF!,#REF!,#REF!,#REF!,#REF!,#REF!,#REF!</definedName>
    <definedName name="__APW_RESTORE_DATA578__" hidden="1">#REF!,#REF!,#REF!,#REF!,#REF!,#REF!,#REF!,#REF!,#REF!,#REF!,#REF!,#REF!,#REF!,#REF!,#REF!,#REF!</definedName>
    <definedName name="__APW_RESTORE_DATA579__" hidden="1">#REF!,#REF!,#REF!,#REF!,#REF!,#REF!,#REF!,#REF!,#REF!,#REF!,#REF!,#REF!,#REF!,#REF!,#REF!,#REF!</definedName>
    <definedName name="__APW_RESTORE_DATA58__" hidden="1">#REF!,#REF!,#REF!,#REF!,#REF!,#REF!,#REF!,#REF!,#REF!,#REF!,#REF!,#REF!,#REF!,#REF!,#REF!,#REF!</definedName>
    <definedName name="__APW_RESTORE_DATA580__" hidden="1">#REF!,#REF!,#REF!,#REF!,#REF!,#REF!,#REF!,#REF!,#REF!,#REF!,#REF!,#REF!,#REF!,#REF!,#REF!,#REF!</definedName>
    <definedName name="__APW_RESTORE_DATA581__" hidden="1">#REF!,#REF!,#REF!,#REF!,#REF!,#REF!,#REF!,#REF!,#REF!,#REF!,#REF!,#REF!,#REF!,#REF!,#REF!,#REF!</definedName>
    <definedName name="__APW_RESTORE_DATA582__" hidden="1">#REF!,#REF!,#REF!,#REF!,#REF!,#REF!,#REF!,#REF!,#REF!,#REF!,#REF!,#REF!,#REF!,#REF!,#REF!,#REF!</definedName>
    <definedName name="__APW_RESTORE_DATA583__" hidden="1">#REF!,#REF!,#REF!,#REF!,#REF!,#REF!,#REF!,#REF!,#REF!,#REF!,#REF!,#REF!,#REF!,#REF!,#REF!</definedName>
    <definedName name="__APW_RESTORE_DATA584__" hidden="1">#REF!,#REF!,#REF!,#REF!,#REF!,#REF!,#REF!,#REF!,#REF!,#REF!,#REF!,#REF!,#REF!,#REF!,#REF!</definedName>
    <definedName name="__APW_RESTORE_DATA585__" hidden="1">#REF!,#REF!,#REF!,#REF!,#REF!,#REF!,#REF!,#REF!,#REF!,#REF!,#REF!,#REF!,#REF!,#REF!,#REF!</definedName>
    <definedName name="__APW_RESTORE_DATA586__" hidden="1">#REF!,#REF!</definedName>
    <definedName name="__APW_RESTORE_DATA587__" hidden="1">#REF!,#REF!</definedName>
    <definedName name="__APW_RESTORE_DATA588__" hidden="1">#REF!,#REF!,#REF!,#REF!,#REF!,#REF!,#REF!,#REF!,#REF!,#REF!,#REF!,#REF!,#REF!,#REF!,#REF!</definedName>
    <definedName name="__APW_RESTORE_DATA589__" hidden="1">#REF!,#REF!,#REF!,#REF!,#REF!,#REF!,#REF!,#REF!,#REF!,#REF!,#REF!,#REF!,#REF!,#REF!,#REF!</definedName>
    <definedName name="__APW_RESTORE_DATA59__" hidden="1">#REF!,#REF!,#REF!,#REF!,#REF!,#REF!,#REF!,#REF!,#REF!,#REF!,#REF!,#REF!,#REF!,#REF!,#REF!</definedName>
    <definedName name="__APW_RESTORE_DATA590__" hidden="1">#REF!,#REF!,#REF!,#REF!,#REF!,#REF!,#REF!,#REF!,#REF!,#REF!,#REF!,#REF!,#REF!,#REF!,#REF!</definedName>
    <definedName name="__APW_RESTORE_DATA591__" hidden="1">#REF!,#REF!,#REF!,#REF!,#REF!,#REF!,#REF!,#REF!,#REF!,#REF!,#REF!,#REF!,#REF!,#REF!,#REF!</definedName>
    <definedName name="__APW_RESTORE_DATA592__" hidden="1">#REF!,#REF!,#REF!,#REF!,#REF!,#REF!,#REF!,#REF!,#REF!,#REF!,#REF!,#REF!,#REF!,#REF!,#REF!</definedName>
    <definedName name="__APW_RESTORE_DATA593__" hidden="1">#REF!,#REF!,#REF!,#REF!,#REF!,#REF!,#REF!,#REF!,#REF!,#REF!,#REF!,#REF!,#REF!,#REF!,#REF!</definedName>
    <definedName name="__APW_RESTORE_DATA594__" hidden="1">#REF!,#REF!,#REF!,#REF!,#REF!,#REF!,#REF!,#REF!,#REF!,#REF!,#REF!,#REF!,#REF!,#REF!,#REF!</definedName>
    <definedName name="__APW_RESTORE_DATA595__" hidden="1">#REF!,#REF!,#REF!,#REF!,#REF!,#REF!,#REF!,#REF!,#REF!,#REF!,#REF!,#REF!,#REF!,#REF!,#REF!</definedName>
    <definedName name="__APW_RESTORE_DATA596__" hidden="1">#REF!,#REF!,#REF!,#REF!,#REF!,#REF!,#REF!,#REF!,#REF!,#REF!,#REF!,#REF!,#REF!,#REF!,#REF!</definedName>
    <definedName name="__APW_RESTORE_DATA597__" hidden="1">#REF!,#REF!,#REF!,#REF!,#REF!,#REF!,#REF!,#REF!,#REF!,#REF!,#REF!,#REF!,#REF!,#REF!,#REF!</definedName>
    <definedName name="__APW_RESTORE_DATA598__" hidden="1">#REF!,#REF!,#REF!,#REF!,#REF!,#REF!,#REF!,#REF!,#REF!,#REF!,#REF!,#REF!,#REF!,#REF!,#REF!</definedName>
    <definedName name="__APW_RESTORE_DATA599__" hidden="1">#REF!,#REF!,#REF!,#REF!,#REF!,#REF!,#REF!,#REF!,#REF!,#REF!,#REF!,#REF!,#REF!,#REF!,#REF!</definedName>
    <definedName name="__APW_RESTORE_DATA6__" hidden="1">#REF!</definedName>
    <definedName name="__APW_RESTORE_DATA60__" hidden="1">#REF!,#REF!,#REF!,#REF!,#REF!,#REF!,#REF!,#REF!,#REF!,#REF!,#REF!,#REF!,#REF!,#REF!,#REF!,#REF!</definedName>
    <definedName name="__APW_RESTORE_DATA600__" hidden="1">#REF!,#REF!</definedName>
    <definedName name="__APW_RESTORE_DATA601__" hidden="1">#REF!,#REF!,#REF!,#REF!,#REF!,#REF!,#REF!,#REF!,#REF!,#REF!,#REF!,#REF!,#REF!,#REF!,#REF!</definedName>
    <definedName name="__APW_RESTORE_DATA602__" hidden="1">#REF!,#REF!,#REF!,#REF!,#REF!,#REF!,#REF!,#REF!,#REF!,#REF!,#REF!,#REF!,#REF!,#REF!,#REF!</definedName>
    <definedName name="__APW_RESTORE_DATA603__" hidden="1">#REF!,#REF!,#REF!,#REF!,#REF!,#REF!,#REF!,#REF!,#REF!,#REF!,#REF!,#REF!,#REF!,#REF!,#REF!</definedName>
    <definedName name="__APW_RESTORE_DATA604__" hidden="1">#REF!,#REF!,#REF!,#REF!,#REF!,#REF!,#REF!,#REF!,#REF!,#REF!,#REF!,#REF!,#REF!,#REF!,#REF!</definedName>
    <definedName name="__APW_RESTORE_DATA605__" hidden="1">#REF!,#REF!</definedName>
    <definedName name="__APW_RESTORE_DATA606__" hidden="1">#REF!,#REF!,#REF!,#REF!,#REF!,#REF!,#REF!,#REF!,#REF!,#REF!,#REF!,#REF!,#REF!,#REF!,#REF!</definedName>
    <definedName name="__APW_RESTORE_DATA607__" hidden="1">#REF!,#REF!,#REF!,#REF!,#REF!,#REF!,#REF!,#REF!,#REF!,#REF!,#REF!,#REF!,#REF!,#REF!,#REF!</definedName>
    <definedName name="__APW_RESTORE_DATA608__" hidden="1">#REF!,#REF!,#REF!,#REF!,#REF!,#REF!,#REF!,#REF!,#REF!,#REF!,#REF!,#REF!,#REF!,#REF!,#REF!</definedName>
    <definedName name="__APW_RESTORE_DATA609__" hidden="1">#REF!,#REF!,#REF!,#REF!,#REF!,#REF!,#REF!,#REF!,#REF!,#REF!,#REF!,#REF!,#REF!,#REF!,#REF!</definedName>
    <definedName name="__APW_RESTORE_DATA61__" hidden="1">#REF!,#REF!,#REF!,#REF!,#REF!,#REF!,#REF!,#REF!,#REF!,#REF!,#REF!,#REF!,#REF!,#REF!,#REF!</definedName>
    <definedName name="__APW_RESTORE_DATA610__" hidden="1">#REF!,#REF!</definedName>
    <definedName name="__APW_RESTORE_DATA611__" hidden="1">#REF!,#REF!,#REF!,#REF!,#REF!,#REF!</definedName>
    <definedName name="__APW_RESTORE_DATA612__" hidden="1">#REF!,#REF!,#REF!,#REF!,#REF!,#REF!,#REF!,#REF!,#REF!,#REF!,#REF!,#REF!,#REF!,#REF!,#REF!,#REF!</definedName>
    <definedName name="__APW_RESTORE_DATA613__" hidden="1">#REF!,#REF!,#REF!,#REF!,#REF!,#REF!,#REF!,#REF!,#REF!,#REF!,#REF!,#REF!,#REF!,#REF!,#REF!,#REF!</definedName>
    <definedName name="__APW_RESTORE_DATA614__" hidden="1">#REF!,#REF!,#REF!,#REF!,#REF!,#REF!,#REF!,#REF!,#REF!,#REF!,#REF!,#REF!,#REF!,#REF!,#REF!,#REF!</definedName>
    <definedName name="__APW_RESTORE_DATA615__" hidden="1">#REF!,#REF!,#REF!,#REF!,#REF!,#REF!,#REF!,#REF!,#REF!,#REF!,#REF!,#REF!,#REF!,#REF!,#REF!,#REF!</definedName>
    <definedName name="__APW_RESTORE_DATA616__" hidden="1">#REF!,#REF!,#REF!,#REF!,#REF!,#REF!,#REF!,#REF!,#REF!,#REF!,#REF!,#REF!,#REF!,#REF!,#REF!,#REF!</definedName>
    <definedName name="__APW_RESTORE_DATA617__" hidden="1">#REF!,#REF!,#REF!,#REF!,#REF!,#REF!,#REF!,#REF!,#REF!,#REF!,#REF!,#REF!,#REF!,#REF!,#REF!,#REF!</definedName>
    <definedName name="__APW_RESTORE_DATA618__" hidden="1">#REF!,#REF!,#REF!,#REF!,#REF!,#REF!,#REF!,#REF!,#REF!,#REF!,#REF!,#REF!,#REF!,#REF!,#REF!</definedName>
    <definedName name="__APW_RESTORE_DATA619__" hidden="1">#REF!,#REF!,#REF!,#REF!,#REF!,#REF!,#REF!,#REF!,#REF!,#REF!,#REF!,#REF!,#REF!,#REF!,#REF!</definedName>
    <definedName name="__APW_RESTORE_DATA62__" hidden="1">#REF!,#REF!,#REF!,#REF!,#REF!,#REF!,#REF!,#REF!,#REF!,#REF!,#REF!,#REF!,#REF!,#REF!,#REF!</definedName>
    <definedName name="__APW_RESTORE_DATA620__" hidden="1">#REF!,#REF!,#REF!,#REF!,#REF!,#REF!,#REF!,#REF!,#REF!,#REF!,#REF!,#REF!,#REF!,#REF!,#REF!</definedName>
    <definedName name="__APW_RESTORE_DATA621__" hidden="1">#REF!,#REF!,#REF!,#REF!,#REF!,#REF!,#REF!,#REF!,#REF!,#REF!,#REF!,#REF!,#REF!,#REF!,#REF!</definedName>
    <definedName name="__APW_RESTORE_DATA622__" hidden="1">#REF!,#REF!,#REF!,#REF!,#REF!,#REF!,#REF!,#REF!,#REF!,#REF!,#REF!,#REF!,#REF!,#REF!,#REF!</definedName>
    <definedName name="__APW_RESTORE_DATA623__" hidden="1">#REF!,#REF!,#REF!,#REF!,#REF!,#REF!,#REF!,#REF!,#REF!,#REF!,#REF!,#REF!,#REF!,#REF!,#REF!</definedName>
    <definedName name="__APW_RESTORE_DATA624__" hidden="1">#REF!,#REF!,#REF!,#REF!,#REF!,#REF!,#REF!,#REF!,#REF!,#REF!,#REF!,#REF!,#REF!,#REF!,#REF!</definedName>
    <definedName name="__APW_RESTORE_DATA625__" hidden="1">#REF!,#REF!</definedName>
    <definedName name="__APW_RESTORE_DATA626__" hidden="1">#REF!,#REF!</definedName>
    <definedName name="__APW_RESTORE_DATA627__" hidden="1">#REF!,#REF!,#REF!,#REF!,#REF!,#REF!,#REF!,#REF!,#REF!,#REF!,#REF!,#REF!,#REF!,#REF!,#REF!</definedName>
    <definedName name="__APW_RESTORE_DATA628__" hidden="1">#REF!,#REF!,#REF!,#REF!,#REF!,#REF!,#REF!,#REF!,#REF!,#REF!,#REF!,#REF!,#REF!,#REF!,#REF!</definedName>
    <definedName name="__APW_RESTORE_DATA629__" hidden="1">#REF!,#REF!,#REF!,#REF!,#REF!,#REF!,#REF!,#REF!,#REF!,#REF!,#REF!,#REF!,#REF!,#REF!,#REF!</definedName>
    <definedName name="__APW_RESTORE_DATA63__" hidden="1">#REF!,#REF!,#REF!,#REF!,#REF!,#REF!,#REF!,#REF!,#REF!,#REF!,#REF!,#REF!,#REF!,#REF!,#REF!</definedName>
    <definedName name="__APW_RESTORE_DATA630__" hidden="1">#REF!,#REF!,#REF!,#REF!,#REF!,#REF!,#REF!,#REF!,#REF!,#REF!,#REF!,#REF!,#REF!,#REF!,#REF!</definedName>
    <definedName name="__APW_RESTORE_DATA631__" hidden="1">#REF!,#REF!,#REF!,#REF!,#REF!,#REF!,#REF!,#REF!,#REF!,#REF!,#REF!,#REF!,#REF!,#REF!,#REF!</definedName>
    <definedName name="__APW_RESTORE_DATA632__" hidden="1">#REF!,#REF!,#REF!,#REF!,#REF!,#REF!,#REF!,#REF!,#REF!,#REF!,#REF!,#REF!,#REF!,#REF!,#REF!</definedName>
    <definedName name="__APW_RESTORE_DATA633__" hidden="1">#REF!,#REF!,#REF!,#REF!,#REF!,#REF!,#REF!,#REF!,#REF!,#REF!,#REF!,#REF!,#REF!,#REF!,#REF!</definedName>
    <definedName name="__APW_RESTORE_DATA634__" hidden="1">#REF!,#REF!,#REF!,#REF!,#REF!,#REF!,#REF!,#REF!,#REF!,#REF!,#REF!,#REF!,#REF!,#REF!,#REF!</definedName>
    <definedName name="__APW_RESTORE_DATA635__" hidden="1">#REF!,#REF!,#REF!,#REF!,#REF!,#REF!,#REF!,#REF!,#REF!,#REF!,#REF!,#REF!,#REF!,#REF!,#REF!</definedName>
    <definedName name="__APW_RESTORE_DATA636__" hidden="1">#REF!,#REF!,#REF!,#REF!,#REF!,#REF!,#REF!,#REF!,#REF!,#REF!,#REF!,#REF!,#REF!,#REF!,#REF!</definedName>
    <definedName name="__APW_RESTORE_DATA637__" hidden="1">#REF!,#REF!,#REF!,#REF!,#REF!,#REF!,#REF!,#REF!,#REF!,#REF!,#REF!,#REF!,#REF!,#REF!,#REF!</definedName>
    <definedName name="__APW_RESTORE_DATA638__" hidden="1">#REF!,#REF!,#REF!,#REF!,#REF!,#REF!,#REF!,#REF!,#REF!,#REF!,#REF!,#REF!,#REF!,#REF!,#REF!</definedName>
    <definedName name="__APW_RESTORE_DATA639__" hidden="1">#REF!,#REF!</definedName>
    <definedName name="__APW_RESTORE_DATA64__" hidden="1">#REF!,#REF!,#REF!,#REF!,#REF!,#REF!,#REF!,#REF!,#REF!,#REF!,#REF!,#REF!,#REF!,#REF!,#REF!</definedName>
    <definedName name="__APW_RESTORE_DATA640__" hidden="1">#REF!,#REF!,#REF!,#REF!,#REF!,#REF!,#REF!,#REF!,#REF!,#REF!,#REF!,#REF!,#REF!,#REF!,#REF!</definedName>
    <definedName name="__APW_RESTORE_DATA641__" hidden="1">#REF!,#REF!,#REF!,#REF!,#REF!,#REF!,#REF!,#REF!,#REF!,#REF!,#REF!,#REF!,#REF!,#REF!,#REF!</definedName>
    <definedName name="__APW_RESTORE_DATA642__" hidden="1">#REF!,#REF!,#REF!,#REF!,#REF!,#REF!,#REF!,#REF!,#REF!,#REF!,#REF!,#REF!,#REF!,#REF!,#REF!</definedName>
    <definedName name="__APW_RESTORE_DATA643__" hidden="1">#REF!,#REF!,#REF!,#REF!,#REF!,#REF!,#REF!,#REF!,#REF!,#REF!,#REF!,#REF!,#REF!,#REF!,#REF!</definedName>
    <definedName name="__APW_RESTORE_DATA644__" hidden="1">#REF!,#REF!</definedName>
    <definedName name="__APW_RESTORE_DATA645__" hidden="1">#REF!,#REF!,#REF!,#REF!,#REF!,#REF!,#REF!,#REF!,#REF!,#REF!,#REF!,#REF!,#REF!,#REF!,#REF!</definedName>
    <definedName name="__APW_RESTORE_DATA646__" hidden="1">#REF!,#REF!,#REF!,#REF!,#REF!,#REF!</definedName>
    <definedName name="__APW_RESTORE_DATA647__" hidden="1">#REF!,#REF!,#REF!,#REF!,#REF!,#REF!,#REF!,#REF!,#REF!,#REF!,#REF!,#REF!,#REF!,#REF!,#REF!,#REF!</definedName>
    <definedName name="__APW_RESTORE_DATA648__" hidden="1">#REF!,#REF!,#REF!,#REF!,#REF!,#REF!,#REF!,#REF!,#REF!,#REF!,#REF!,#REF!,#REF!,#REF!,#REF!,#REF!</definedName>
    <definedName name="__APW_RESTORE_DATA649__" hidden="1">#REF!,#REF!</definedName>
    <definedName name="__APW_RESTORE_DATA65__" hidden="1">#REF!,#REF!,#REF!,#REF!,#REF!,#REF!,#REF!,#REF!,#REF!,#REF!,#REF!,#REF!,#REF!,#REF!,#REF!</definedName>
    <definedName name="__APW_RESTORE_DATA650__" hidden="1">#REF!,#REF!,#REF!,#REF!,#REF!,#REF!,#REF!,#REF!,#REF!,#REF!,#REF!,#REF!,#REF!,#REF!,#REF!,#REF!</definedName>
    <definedName name="__APW_RESTORE_DATA651__" hidden="1">#REF!,#REF!,#REF!,#REF!,#REF!,#REF!,#REF!,#REF!,#REF!,#REF!,#REF!,#REF!,#REF!,#REF!,#REF!,#REF!</definedName>
    <definedName name="__APW_RESTORE_DATA652__" hidden="1">#REF!,#REF!,#REF!,#REF!,#REF!,#REF!,#REF!,#REF!,#REF!,#REF!,#REF!,#REF!,#REF!,#REF!,#REF!,#REF!</definedName>
    <definedName name="__APW_RESTORE_DATA653__" hidden="1">#REF!,#REF!,#REF!,#REF!,#REF!,#REF!,#REF!,#REF!,#REF!,#REF!,#REF!,#REF!,#REF!,#REF!,#REF!</definedName>
    <definedName name="__APW_RESTORE_DATA654__" hidden="1">#REF!,#REF!,#REF!,#REF!,#REF!,#REF!,#REF!,#REF!,#REF!,#REF!,#REF!,#REF!,#REF!,#REF!,#REF!</definedName>
    <definedName name="__APW_RESTORE_DATA655__" hidden="1">#REF!,#REF!,#REF!,#REF!,#REF!,#REF!,#REF!,#REF!,#REF!,#REF!,#REF!,#REF!,#REF!,#REF!,#REF!</definedName>
    <definedName name="__APW_RESTORE_DATA656__" hidden="1">#REF!,#REF!,#REF!,#REF!,#REF!,#REF!,#REF!,#REF!,#REF!,#REF!,#REF!,#REF!,#REF!,#REF!,#REF!</definedName>
    <definedName name="__APW_RESTORE_DATA657__" hidden="1">#REF!,#REF!,#REF!,#REF!,#REF!,#REF!,#REF!,#REF!,#REF!,#REF!,#REF!,#REF!,#REF!,#REF!,#REF!</definedName>
    <definedName name="__APW_RESTORE_DATA658__" hidden="1">#REF!,#REF!,#REF!,#REF!,#REF!,#REF!,#REF!,#REF!,#REF!,#REF!,#REF!,#REF!,#REF!,#REF!,#REF!</definedName>
    <definedName name="__APW_RESTORE_DATA659__" hidden="1">#REF!,#REF!,#REF!,#REF!,#REF!,#REF!,#REF!,#REF!,#REF!,#REF!,#REF!,#REF!,#REF!,#REF!,#REF!</definedName>
    <definedName name="__APW_RESTORE_DATA66__" hidden="1">#REF!,#REF!,#REF!,#REF!,#REF!,#REF!,#REF!,#REF!,#REF!,#REF!,#REF!,#REF!,#REF!,#REF!,#REF!</definedName>
    <definedName name="__APW_RESTORE_DATA660__" hidden="1">#REF!,#REF!,#REF!,#REF!,#REF!,#REF!,#REF!,#REF!,#REF!,#REF!,#REF!,#REF!,#REF!,#REF!,#REF!</definedName>
    <definedName name="__APW_RESTORE_DATA661__" hidden="1">#REF!,#REF!,#REF!,#REF!,#REF!,#REF!,#REF!,#REF!,#REF!,#REF!,#REF!,#REF!,#REF!,#REF!,#REF!</definedName>
    <definedName name="__APW_RESTORE_DATA662__" hidden="1">#REF!,#REF!,#REF!,#REF!,#REF!,#REF!,#REF!,#REF!,#REF!,#REF!,#REF!,#REF!,#REF!,#REF!,#REF!</definedName>
    <definedName name="__APW_RESTORE_DATA663__" hidden="1">#REF!,#REF!,#REF!,#REF!,#REF!,#REF!,#REF!,#REF!,#REF!,#REF!,#REF!,#REF!,#REF!,#REF!,#REF!</definedName>
    <definedName name="__APW_RESTORE_DATA664__" hidden="1">#REF!,#REF!</definedName>
    <definedName name="__APW_RESTORE_DATA665__" hidden="1">#REF!,#REF!</definedName>
    <definedName name="__APW_RESTORE_DATA666__" hidden="1">#REF!,#REF!,#REF!,#REF!,#REF!,#REF!,#REF!,#REF!,#REF!,#REF!,#REF!,#REF!,#REF!,#REF!,#REF!</definedName>
    <definedName name="__APW_RESTORE_DATA667__" hidden="1">#REF!,#REF!,#REF!,#REF!,#REF!,#REF!,#REF!,#REF!,#REF!,#REF!,#REF!,#REF!,#REF!,#REF!,#REF!</definedName>
    <definedName name="__APW_RESTORE_DATA668__" hidden="1">#REF!,#REF!,#REF!,#REF!,#REF!,#REF!,#REF!,#REF!,#REF!,#REF!,#REF!,#REF!,#REF!,#REF!,#REF!</definedName>
    <definedName name="__APW_RESTORE_DATA669__" hidden="1">#REF!,#REF!,#REF!,#REF!,#REF!,#REF!,#REF!,#REF!,#REF!,#REF!,#REF!,#REF!,#REF!,#REF!,#REF!</definedName>
    <definedName name="__APW_RESTORE_DATA67__" hidden="1">#REF!,#REF!,#REF!,#REF!,#REF!,#REF!,#REF!,#REF!,#REF!,#REF!,#REF!,#REF!,#REF!,#REF!,#REF!</definedName>
    <definedName name="__APW_RESTORE_DATA670__" hidden="1">#REF!,#REF!,#REF!,#REF!,#REF!,#REF!,#REF!,#REF!,#REF!,#REF!,#REF!,#REF!,#REF!,#REF!,#REF!</definedName>
    <definedName name="__APW_RESTORE_DATA671__" hidden="1">#REF!,#REF!,#REF!,#REF!,#REF!,#REF!,#REF!,#REF!,#REF!,#REF!,#REF!,#REF!,#REF!,#REF!,#REF!</definedName>
    <definedName name="__APW_RESTORE_DATA672__" hidden="1">#REF!,#REF!,#REF!,#REF!,#REF!,#REF!,#REF!,#REF!,#REF!,#REF!,#REF!,#REF!,#REF!,#REF!,#REF!</definedName>
    <definedName name="__APW_RESTORE_DATA673__" hidden="1">#REF!,#REF!,#REF!,#REF!,#REF!,#REF!,#REF!,#REF!,#REF!,#REF!,#REF!,#REF!,#REF!,#REF!,#REF!</definedName>
    <definedName name="__APW_RESTORE_DATA674__" hidden="1">#REF!,#REF!,#REF!,#REF!,#REF!,#REF!,#REF!,#REF!,#REF!,#REF!,#REF!,#REF!,#REF!,#REF!,#REF!</definedName>
    <definedName name="__APW_RESTORE_DATA675__" hidden="1">#REF!,#REF!,#REF!,#REF!,#REF!,#REF!,#REF!,#REF!,#REF!,#REF!,#REF!,#REF!,#REF!,#REF!,#REF!</definedName>
    <definedName name="__APW_RESTORE_DATA676__" hidden="1">#REF!,#REF!,#REF!,#REF!,#REF!,#REF!,#REF!,#REF!,#REF!,#REF!,#REF!,#REF!,#REF!,#REF!,#REF!</definedName>
    <definedName name="__APW_RESTORE_DATA677__" hidden="1">#REF!,#REF!,#REF!,#REF!,#REF!,#REF!,#REF!,#REF!,#REF!,#REF!,#REF!,#REF!,#REF!,#REF!,#REF!</definedName>
    <definedName name="__APW_RESTORE_DATA678__" hidden="1">#REF!,#REF!,#REF!,#REF!,#REF!,#REF!,#REF!,#REF!,#REF!,#REF!,#REF!,#REF!,#REF!,#REF!,#REF!</definedName>
    <definedName name="__APW_RESTORE_DATA679__" hidden="1">#REF!,#REF!,#REF!,#REF!,#REF!,#REF!,#REF!,#REF!,#REF!,#REF!,#REF!,#REF!,#REF!,#REF!,#REF!</definedName>
    <definedName name="__APW_RESTORE_DATA68__" hidden="1">#REF!,#REF!,#REF!,#REF!,#REF!,#REF!,#REF!,#REF!,#REF!,#REF!,#REF!,#REF!,#REF!,#REF!,#REF!</definedName>
    <definedName name="__APW_RESTORE_DATA680__" hidden="1">#REF!,#REF!,#REF!,#REF!,#REF!,#REF!,#REF!,#REF!,#REF!,#REF!,#REF!,#REF!,#REF!,#REF!,#REF!</definedName>
    <definedName name="__APW_RESTORE_DATA681__" hidden="1">#REF!,#REF!,#REF!,#REF!,#REF!,#REF!</definedName>
    <definedName name="__APW_RESTORE_DATA682__" hidden="1">#REF!,#REF!,#REF!,#REF!,#REF!,#REF!,#REF!,#REF!,#REF!,#REF!,#REF!,#REF!,#REF!,#REF!,#REF!,#REF!</definedName>
    <definedName name="__APW_RESTORE_DATA683__" hidden="1">#REF!,#REF!,#REF!,#REF!,#REF!,#REF!,#REF!,#REF!,#REF!,#REF!,#REF!,#REF!,#REF!,#REF!,#REF!,#REF!</definedName>
    <definedName name="__APW_RESTORE_DATA684__" hidden="1">#REF!,#REF!,#REF!,#REF!,#REF!,#REF!,#REF!,#REF!,#REF!,#REF!,#REF!,#REF!,#REF!,#REF!,#REF!,#REF!</definedName>
    <definedName name="__APW_RESTORE_DATA685__" hidden="1">#REF!,#REF!,#REF!,#REF!,#REF!,#REF!,#REF!,#REF!,#REF!,#REF!,#REF!,#REF!,#REF!,#REF!,#REF!,#REF!</definedName>
    <definedName name="__APW_RESTORE_DATA686__" hidden="1">#REF!,#REF!,#REF!,#REF!,#REF!,#REF!,#REF!,#REF!,#REF!,#REF!,#REF!,#REF!,#REF!,#REF!,#REF!,#REF!</definedName>
    <definedName name="__APW_RESTORE_DATA687__" hidden="1">#REF!,#REF!,#REF!,#REF!,#REF!,#REF!,#REF!,#REF!,#REF!,#REF!,#REF!,#REF!,#REF!,#REF!,#REF!,#REF!</definedName>
    <definedName name="__APW_RESTORE_DATA688__" hidden="1">#REF!,#REF!,#REF!,#REF!,#REF!,#REF!,#REF!,#REF!,#REF!,#REF!,#REF!,#REF!,#REF!,#REF!,#REF!</definedName>
    <definedName name="__APW_RESTORE_DATA689__" hidden="1">#REF!,#REF!,#REF!,#REF!,#REF!,#REF!,#REF!,#REF!,#REF!,#REF!,#REF!,#REF!,#REF!,#REF!,#REF!</definedName>
    <definedName name="__APW_RESTORE_DATA69__" hidden="1">#REF!,#REF!,#REF!,#REF!,#REF!,#REF!,#REF!,#REF!,#REF!,#REF!,#REF!,#REF!,#REF!,#REF!,#REF!</definedName>
    <definedName name="__APW_RESTORE_DATA690__" hidden="1">#REF!,#REF!,#REF!,#REF!,#REF!,#REF!,#REF!,#REF!,#REF!,#REF!,#REF!,#REF!,#REF!,#REF!,#REF!</definedName>
    <definedName name="__APW_RESTORE_DATA691__" hidden="1">#REF!,#REF!,#REF!,#REF!,#REF!,#REF!,#REF!,#REF!,#REF!,#REF!,#REF!,#REF!,#REF!,#REF!,#REF!</definedName>
    <definedName name="__APW_RESTORE_DATA692__" hidden="1">#REF!,#REF!,#REF!,#REF!,#REF!,#REF!,#REF!,#REF!,#REF!,#REF!,#REF!,#REF!,#REF!,#REF!,#REF!</definedName>
    <definedName name="__APW_RESTORE_DATA693__" hidden="1">#REF!,#REF!,#REF!,#REF!,#REF!,#REF!,#REF!,#REF!,#REF!,#REF!,#REF!,#REF!,#REF!,#REF!,#REF!</definedName>
    <definedName name="__APW_RESTORE_DATA694__" hidden="1">#REF!,#REF!,#REF!,#REF!,#REF!,#REF!,#REF!,#REF!,#REF!,#REF!,#REF!,#REF!,#REF!,#REF!,#REF!</definedName>
    <definedName name="__APW_RESTORE_DATA695__" hidden="1">#REF!,#REF!,#REF!,#REF!,#REF!,#REF!,#REF!,#REF!,#REF!,#REF!,#REF!,#REF!,#REF!,#REF!,#REF!</definedName>
    <definedName name="__APW_RESTORE_DATA696__" hidden="1">#REF!,#REF!,#REF!,#REF!,#REF!,#REF!,#REF!,#REF!,#REF!,#REF!,#REF!,#REF!,#REF!,#REF!,#REF!</definedName>
    <definedName name="__APW_RESTORE_DATA697__" hidden="1">#REF!,#REF!,#REF!,#REF!,#REF!,#REF!,#REF!,#REF!,#REF!,#REF!,#REF!,#REF!,#REF!,#REF!,#REF!</definedName>
    <definedName name="__APW_RESTORE_DATA698__" hidden="1">#REF!,#REF!,#REF!,#REF!,#REF!,#REF!,#REF!,#REF!,#REF!,#REF!,#REF!,#REF!,#REF!,#REF!,#REF!</definedName>
    <definedName name="__APW_RESTORE_DATA699__" hidden="1">#REF!,#REF!,#REF!,#REF!,#REF!,#REF!,#REF!,#REF!,#REF!,#REF!,#REF!,#REF!,#REF!,#REF!,#REF!</definedName>
    <definedName name="__APW_RESTORE_DATA7__" hidden="1">#REF!</definedName>
    <definedName name="__APW_RESTORE_DATA70__" hidden="1">#REF!,#REF!,#REF!,#REF!,#REF!,#REF!,#REF!,#REF!,#REF!,#REF!,#REF!,#REF!,#REF!,#REF!,#REF!</definedName>
    <definedName name="__APW_RESTORE_DATA700__" hidden="1">#REF!,#REF!,#REF!,#REF!,#REF!,#REF!,#REF!,#REF!,#REF!,#REF!,#REF!,#REF!,#REF!,#REF!,#REF!</definedName>
    <definedName name="__APW_RESTORE_DATA701__" hidden="1">#REF!,#REF!,#REF!,#REF!,#REF!,#REF!,#REF!,#REF!,#REF!,#REF!,#REF!,#REF!,#REF!,#REF!,#REF!</definedName>
    <definedName name="__APW_RESTORE_DATA702__" hidden="1">#REF!,#REF!,#REF!,#REF!,#REF!,#REF!,#REF!,#REF!,#REF!,#REF!,#REF!,#REF!,#REF!,#REF!,#REF!</definedName>
    <definedName name="__APW_RESTORE_DATA703__" hidden="1">#REF!,#REF!,#REF!,#REF!,#REF!,#REF!,#REF!,#REF!,#REF!,#REF!,#REF!,#REF!,#REF!,#REF!,#REF!</definedName>
    <definedName name="__APW_RESTORE_DATA704__" hidden="1">#REF!,#REF!,#REF!,#REF!,#REF!,#REF!,#REF!,#REF!,#REF!,#REF!,#REF!,#REF!,#REF!,#REF!,#REF!</definedName>
    <definedName name="__APW_RESTORE_DATA705__" hidden="1">#REF!,#REF!,#REF!,#REF!,#REF!,#REF!,#REF!,#REF!,#REF!,#REF!,#REF!,#REF!,#REF!,#REF!,#REF!</definedName>
    <definedName name="__APW_RESTORE_DATA706__" hidden="1">#REF!,#REF!,#REF!,#REF!,#REF!,#REF!,#REF!,#REF!,#REF!,#REF!,#REF!,#REF!,#REF!,#REF!,#REF!</definedName>
    <definedName name="__APW_RESTORE_DATA707__" hidden="1">#REF!,#REF!,#REF!,#REF!,#REF!,#REF!,#REF!,#REF!,#REF!,#REF!,#REF!,#REF!,#REF!,#REF!,#REF!</definedName>
    <definedName name="__APW_RESTORE_DATA708__" hidden="1">#REF!,#REF!,#REF!,#REF!,#REF!,#REF!,#REF!,#REF!,#REF!,#REF!,#REF!,#REF!,#REF!,#REF!,#REF!</definedName>
    <definedName name="__APW_RESTORE_DATA709__" hidden="1">#REF!,#REF!,#REF!,#REF!,#REF!,#REF!,#REF!,#REF!,#REF!,#REF!,#REF!,#REF!,#REF!,#REF!,#REF!</definedName>
    <definedName name="__APW_RESTORE_DATA71__" hidden="1">#REF!,#REF!,#REF!,#REF!,#REF!,#REF!,#REF!,#REF!,#REF!,#REF!,#REF!,#REF!,#REF!,#REF!,#REF!</definedName>
    <definedName name="__APW_RESTORE_DATA710__" hidden="1">#REF!,#REF!,#REF!,#REF!,#REF!,#REF!,#REF!,#REF!,#REF!,#REF!,#REF!,#REF!,#REF!,#REF!,#REF!</definedName>
    <definedName name="__APW_RESTORE_DATA711__" hidden="1">#REF!,#REF!,#REF!,#REF!,#REF!,#REF!,#REF!,#REF!,#REF!,#REF!,#REF!,#REF!,#REF!,#REF!,#REF!</definedName>
    <definedName name="__APW_RESTORE_DATA712__" hidden="1">#REF!,#REF!,#REF!,#REF!,#REF!,#REF!,#REF!,#REF!,#REF!,#REF!,#REF!,#REF!,#REF!,#REF!,#REF!</definedName>
    <definedName name="__APW_RESTORE_DATA713__" hidden="1">#REF!,#REF!,#REF!,#REF!,#REF!,#REF!,#REF!,#REF!,#REF!,#REF!,#REF!,#REF!,#REF!,#REF!,#REF!</definedName>
    <definedName name="__APW_RESTORE_DATA714__" hidden="1">#REF!,#REF!,#REF!,#REF!,#REF!,#REF!,#REF!,#REF!,#REF!,#REF!,#REF!,#REF!,#REF!,#REF!,#REF!</definedName>
    <definedName name="__APW_RESTORE_DATA715__" hidden="1">#REF!,#REF!,#REF!,#REF!,#REF!,#REF!,#REF!,#REF!,#REF!,#REF!,#REF!,#REF!,#REF!,#REF!,#REF!</definedName>
    <definedName name="__APW_RESTORE_DATA716__" hidden="1">#REF!,#REF!,#REF!,#REF!,#REF!,#REF!</definedName>
    <definedName name="__APW_RESTORE_DATA717__" hidden="1">#REF!</definedName>
    <definedName name="__APW_RESTORE_DATA718__" hidden="1">#REF!</definedName>
    <definedName name="__APW_RESTORE_DATA719__" hidden="1">#REF!,#REF!</definedName>
    <definedName name="__APW_RESTORE_DATA72__" hidden="1">#REF!,#REF!,#REF!,#REF!,#REF!,#REF!,#REF!,#REF!,#REF!,#REF!,#REF!,#REF!,#REF!,#REF!,#REF!</definedName>
    <definedName name="__APW_RESTORE_DATA720__" hidden="1">#REF!</definedName>
    <definedName name="__APW_RESTORE_DATA721__" hidden="1">#REF!,#REF!,#REF!,#REF!,#REF!,#REF!,#REF!,#REF!,#REF!,#REF!,#REF!,#REF!,#REF!,#REF!,#REF!,#REF!</definedName>
    <definedName name="__APW_RESTORE_DATA722__" hidden="1">#REF!,#REF!,#REF!,#REF!,#REF!,#REF!,#REF!,#REF!,#REF!,#REF!,#REF!,#REF!,#REF!,#REF!,#REF!,#REF!</definedName>
    <definedName name="__APW_RESTORE_DATA723__" hidden="1">#REF!,#REF!,#REF!,#REF!,#REF!,#REF!,#REF!,#REF!,#REF!,#REF!,#REF!,#REF!,#REF!,#REF!,#REF!,#REF!</definedName>
    <definedName name="__APW_RESTORE_DATA724__" hidden="1">#REF!,#REF!,#REF!,#REF!,#REF!,#REF!,#REF!,#REF!,#REF!,#REF!,#REF!,#REF!,#REF!,#REF!,#REF!,#REF!</definedName>
    <definedName name="__APW_RESTORE_DATA725__" hidden="1">#REF!,#REF!,#REF!,#REF!,#REF!,#REF!,#REF!,#REF!,#REF!,#REF!,#REF!,#REF!,#REF!,#REF!,#REF!,#REF!</definedName>
    <definedName name="__APW_RESTORE_DATA726__" hidden="1">#REF!,#REF!,#REF!,#REF!,#REF!,#REF!,#REF!,#REF!,#REF!,#REF!,#REF!,#REF!,#REF!,#REF!,#REF!,#REF!</definedName>
    <definedName name="__APW_RESTORE_DATA727__" hidden="1">#REF!,#REF!,#REF!,#REF!,#REF!,#REF!,#REF!,#REF!,#REF!,#REF!,#REF!,#REF!,#REF!,#REF!,#REF!</definedName>
    <definedName name="__APW_RESTORE_DATA728__" hidden="1">#REF!,#REF!,#REF!,#REF!,#REF!,#REF!,#REF!,#REF!,#REF!,#REF!,#REF!,#REF!,#REF!,#REF!,#REF!</definedName>
    <definedName name="__APW_RESTORE_DATA729__" hidden="1">#REF!,#REF!,#REF!,#REF!,#REF!,#REF!,#REF!,#REF!,#REF!,#REF!,#REF!,#REF!,#REF!,#REF!,#REF!</definedName>
    <definedName name="__APW_RESTORE_DATA73__" hidden="1">#REF!,#REF!,#REF!,#REF!,#REF!,#REF!,#REF!,#REF!,#REF!,#REF!,#REF!,#REF!,#REF!,#REF!,#REF!</definedName>
    <definedName name="__APW_RESTORE_DATA730__" hidden="1">#REF!,#REF!,#REF!,#REF!,#REF!,#REF!,#REF!,#REF!,#REF!,#REF!,#REF!,#REF!,#REF!,#REF!,#REF!</definedName>
    <definedName name="__APW_RESTORE_DATA731__" hidden="1">#REF!,#REF!,#REF!,#REF!,#REF!,#REF!,#REF!,#REF!,#REF!,#REF!,#REF!,#REF!,#REF!,#REF!,#REF!</definedName>
    <definedName name="__APW_RESTORE_DATA732__" hidden="1">#REF!,#REF!,#REF!,#REF!,#REF!,#REF!,#REF!,#REF!,#REF!,#REF!,#REF!,#REF!,#REF!,#REF!,#REF!</definedName>
    <definedName name="__APW_RESTORE_DATA733__" hidden="1">#REF!,#REF!,#REF!,#REF!,#REF!,#REF!,#REF!,#REF!,#REF!,#REF!,#REF!,#REF!,#REF!,#REF!,#REF!</definedName>
    <definedName name="__APW_RESTORE_DATA734__" hidden="1">#REF!,#REF!,#REF!,#REF!,#REF!,#REF!,#REF!,#REF!,#REF!,#REF!,#REF!,#REF!,#REF!,#REF!,#REF!</definedName>
    <definedName name="__APW_RESTORE_DATA735__" hidden="1">#REF!,#REF!,#REF!,#REF!,#REF!,#REF!,#REF!,#REF!,#REF!,#REF!,#REF!,#REF!,#REF!,#REF!,#REF!</definedName>
    <definedName name="__APW_RESTORE_DATA736__" hidden="1">#REF!,#REF!,#REF!,#REF!,#REF!,#REF!,#REF!,#REF!,#REF!,#REF!,#REF!,#REF!,#REF!,#REF!,#REF!</definedName>
    <definedName name="__APW_RESTORE_DATA737__" hidden="1">#REF!,#REF!,#REF!,#REF!,#REF!,#REF!,#REF!,#REF!,#REF!,#REF!,#REF!,#REF!,#REF!,#REF!,#REF!</definedName>
    <definedName name="__APW_RESTORE_DATA738__" hidden="1">#REF!,#REF!,#REF!,#REF!,#REF!,#REF!,#REF!,#REF!,#REF!,#REF!,#REF!,#REF!,#REF!,#REF!,#REF!</definedName>
    <definedName name="__APW_RESTORE_DATA739__" hidden="1">#REF!,#REF!,#REF!,#REF!,#REF!,#REF!,#REF!,#REF!,#REF!,#REF!,#REF!,#REF!,#REF!,#REF!,#REF!</definedName>
    <definedName name="__APW_RESTORE_DATA74__" hidden="1">#REF!,#REF!,#REF!,#REF!,#REF!,#REF!,#REF!</definedName>
    <definedName name="__APW_RESTORE_DATA740__" hidden="1">#REF!,#REF!,#REF!,#REF!,#REF!,#REF!,#REF!,#REF!,#REF!,#REF!,#REF!,#REF!,#REF!,#REF!,#REF!</definedName>
    <definedName name="__APW_RESTORE_DATA741__" hidden="1">#REF!,#REF!,#REF!,#REF!,#REF!,#REF!,#REF!,#REF!,#REF!,#REF!,#REF!,#REF!,#REF!,#REF!,#REF!</definedName>
    <definedName name="__APW_RESTORE_DATA742__" hidden="1">#REF!,#REF!,#REF!,#REF!,#REF!,#REF!,#REF!,#REF!,#REF!,#REF!,#REF!,#REF!,#REF!,#REF!,#REF!</definedName>
    <definedName name="__APW_RESTORE_DATA743__" hidden="1">#REF!,#REF!,#REF!,#REF!,#REF!,#REF!,#REF!,#REF!,#REF!,#REF!,#REF!,#REF!,#REF!,#REF!,#REF!</definedName>
    <definedName name="__APW_RESTORE_DATA744__" hidden="1">#REF!,#REF!,#REF!,#REF!,#REF!,#REF!,#REF!,#REF!,#REF!,#REF!,#REF!,#REF!,#REF!,#REF!,#REF!</definedName>
    <definedName name="__APW_RESTORE_DATA745__" hidden="1">#REF!,#REF!,#REF!,#REF!,#REF!,#REF!,#REF!,#REF!,#REF!,#REF!,#REF!,#REF!,#REF!,#REF!,#REF!</definedName>
    <definedName name="__APW_RESTORE_DATA746__" hidden="1">#REF!,#REF!,#REF!,#REF!,#REF!,#REF!,#REF!,#REF!,#REF!,#REF!,#REF!,#REF!,#REF!,#REF!,#REF!</definedName>
    <definedName name="__APW_RESTORE_DATA747__" hidden="1">#REF!,#REF!,#REF!,#REF!,#REF!,#REF!,#REF!,#REF!,#REF!,#REF!,#REF!,#REF!,#REF!,#REF!,#REF!</definedName>
    <definedName name="__APW_RESTORE_DATA748__" hidden="1">#REF!,#REF!,#REF!,#REF!,#REF!,#REF!,#REF!,#REF!,#REF!,#REF!,#REF!,#REF!,#REF!,#REF!,#REF!</definedName>
    <definedName name="__APW_RESTORE_DATA749__" hidden="1">#REF!,#REF!,#REF!,#REF!,#REF!,#REF!,#REF!,#REF!,#REF!,#REF!,#REF!,#REF!,#REF!,#REF!,#REF!</definedName>
    <definedName name="__APW_RESTORE_DATA75__" hidden="1">#REF!,#REF!,#REF!,#REF!,#REF!,#REF!,#REF!,#REF!,#REF!,#REF!,#REF!,#REF!,#REF!,#REF!,#REF!,#REF!</definedName>
    <definedName name="__APW_RESTORE_DATA750__" hidden="1">#REF!,#REF!,#REF!,#REF!,#REF!,#REF!,#REF!,#REF!,#REF!,#REF!,#REF!,#REF!,#REF!,#REF!,#REF!</definedName>
    <definedName name="__APW_RESTORE_DATA751__" hidden="1">#REF!,#REF!,#REF!,#REF!,#REF!,#REF!,#REF!,#REF!,#REF!,#REF!,#REF!,#REF!,#REF!,#REF!,#REF!</definedName>
    <definedName name="__APW_RESTORE_DATA752__" hidden="1">#REF!,#REF!,#REF!,#REF!,#REF!,#REF!,#REF!,#REF!,#REF!,#REF!,#REF!,#REF!,#REF!,#REF!,#REF!</definedName>
    <definedName name="__APW_RESTORE_DATA753__" hidden="1">#REF!,#REF!,#REF!,#REF!,#REF!,#REF!,#REF!,#REF!,#REF!,#REF!,#REF!,#REF!,#REF!,#REF!,#REF!</definedName>
    <definedName name="__APW_RESTORE_DATA754__" hidden="1">#REF!,#REF!,#REF!,#REF!,#REF!,#REF!,#REF!,#REF!,#REF!,#REF!,#REF!,#REF!,#REF!,#REF!,#REF!</definedName>
    <definedName name="__APW_RESTORE_DATA755__" hidden="1">#REF!,#REF!,#REF!,#REF!,#REF!,#REF!</definedName>
    <definedName name="__APW_RESTORE_DATA756__" hidden="1">#REF!,#REF!,#REF!,#REF!,#REF!,#REF!,#REF!,#REF!,#REF!,#REF!,#REF!,#REF!,#REF!,#REF!,#REF!,#REF!</definedName>
    <definedName name="__APW_RESTORE_DATA757__" hidden="1">#REF!,#REF!,#REF!,#REF!,#REF!,#REF!,#REF!,#REF!,#REF!,#REF!,#REF!,#REF!,#REF!,#REF!,#REF!,#REF!</definedName>
    <definedName name="__APW_RESTORE_DATA758__" hidden="1">#REF!,#REF!,#REF!,#REF!,#REF!,#REF!,#REF!,#REF!,#REF!,#REF!,#REF!,#REF!,#REF!,#REF!,#REF!,#REF!</definedName>
    <definedName name="__APW_RESTORE_DATA759__" hidden="1">#REF!,#REF!,#REF!,#REF!,#REF!,#REF!,#REF!,#REF!,#REF!,#REF!,#REF!,#REF!,#REF!,#REF!,#REF!,#REF!</definedName>
    <definedName name="__APW_RESTORE_DATA76__" hidden="1">#REF!,#REF!</definedName>
    <definedName name="__APW_RESTORE_DATA760__" hidden="1">#REF!,#REF!,#REF!,#REF!,#REF!,#REF!,#REF!,#REF!,#REF!,#REF!,#REF!,#REF!,#REF!,#REF!,#REF!,#REF!</definedName>
    <definedName name="__APW_RESTORE_DATA761__" hidden="1">#REF!,#REF!,#REF!,#REF!,#REF!,#REF!,#REF!,#REF!,#REF!,#REF!,#REF!,#REF!,#REF!,#REF!,#REF!,#REF!</definedName>
    <definedName name="__APW_RESTORE_DATA762__" hidden="1">#REF!,#REF!,#REF!,#REF!,#REF!,#REF!,#REF!,#REF!,#REF!,#REF!,#REF!,#REF!,#REF!,#REF!,#REF!</definedName>
    <definedName name="__APW_RESTORE_DATA763__" hidden="1">#REF!,#REF!,#REF!,#REF!,#REF!,#REF!,#REF!,#REF!,#REF!,#REF!,#REF!,#REF!,#REF!,#REF!,#REF!</definedName>
    <definedName name="__APW_RESTORE_DATA764__" hidden="1">#REF!,#REF!,#REF!,#REF!,#REF!,#REF!,#REF!,#REF!,#REF!,#REF!,#REF!,#REF!,#REF!,#REF!,#REF!</definedName>
    <definedName name="__APW_RESTORE_DATA765__" hidden="1">#REF!,#REF!,#REF!,#REF!,#REF!,#REF!,#REF!,#REF!,#REF!,#REF!,#REF!,#REF!,#REF!,#REF!,#REF!</definedName>
    <definedName name="__APW_RESTORE_DATA766__" hidden="1">#REF!,#REF!,#REF!,#REF!,#REF!,#REF!,#REF!,#REF!,#REF!,#REF!,#REF!,#REF!,#REF!,#REF!,#REF!</definedName>
    <definedName name="__APW_RESTORE_DATA767__" hidden="1">#REF!,#REF!,#REF!,#REF!,#REF!,#REF!,#REF!,#REF!,#REF!,#REF!,#REF!,#REF!,#REF!,#REF!,#REF!</definedName>
    <definedName name="__APW_RESTORE_DATA768__" hidden="1">#REF!,#REF!,#REF!,#REF!,#REF!,#REF!,#REF!,#REF!,#REF!,#REF!,#REF!,#REF!,#REF!,#REF!,#REF!</definedName>
    <definedName name="__APW_RESTORE_DATA769__" hidden="1">#REF!,#REF!,#REF!,#REF!,#REF!,#REF!,#REF!,#REF!,#REF!,#REF!,#REF!,#REF!,#REF!,#REF!,#REF!</definedName>
    <definedName name="__APW_RESTORE_DATA77__" hidden="1">#REF!,#REF!</definedName>
    <definedName name="__APW_RESTORE_DATA770__" hidden="1">#REF!,#REF!,#REF!,#REF!,#REF!,#REF!,#REF!,#REF!,#REF!,#REF!,#REF!,#REF!,#REF!,#REF!,#REF!</definedName>
    <definedName name="__APW_RESTORE_DATA771__" hidden="1">#REF!,#REF!,#REF!,#REF!,#REF!,#REF!,#REF!,#REF!,#REF!,#REF!,#REF!,#REF!,#REF!,#REF!,#REF!</definedName>
    <definedName name="__APW_RESTORE_DATA772__" hidden="1">#REF!,#REF!,#REF!,#REF!,#REF!,#REF!,#REF!,#REF!,#REF!,#REF!,#REF!,#REF!,#REF!,#REF!,#REF!</definedName>
    <definedName name="__APW_RESTORE_DATA773__" hidden="1">#REF!,#REF!,#REF!,#REF!,#REF!,#REF!,#REF!,#REF!,#REF!,#REF!,#REF!,#REF!,#REF!,#REF!,#REF!</definedName>
    <definedName name="__APW_RESTORE_DATA774__" hidden="1">#REF!,#REF!,#REF!,#REF!,#REF!,#REF!,#REF!,#REF!,#REF!,#REF!,#REF!,#REF!,#REF!,#REF!,#REF!</definedName>
    <definedName name="__APW_RESTORE_DATA775__" hidden="1">#REF!,#REF!,#REF!,#REF!,#REF!,#REF!,#REF!,#REF!,#REF!,#REF!,#REF!,#REF!,#REF!,#REF!,#REF!</definedName>
    <definedName name="__APW_RESTORE_DATA776__" hidden="1">#REF!,#REF!,#REF!,#REF!,#REF!,#REF!,#REF!,#REF!,#REF!,#REF!,#REF!,#REF!,#REF!,#REF!,#REF!</definedName>
    <definedName name="__APW_RESTORE_DATA777__" hidden="1">#REF!,#REF!,#REF!,#REF!,#REF!,#REF!,#REF!,#REF!,#REF!,#REF!,#REF!,#REF!,#REF!,#REF!,#REF!</definedName>
    <definedName name="__APW_RESTORE_DATA778__" hidden="1">#REF!,#REF!,#REF!,#REF!,#REF!,#REF!,#REF!,#REF!,#REF!,#REF!,#REF!,#REF!,#REF!,#REF!,#REF!</definedName>
    <definedName name="__APW_RESTORE_DATA779__" hidden="1">#REF!,#REF!,#REF!,#REF!,#REF!,#REF!,#REF!,#REF!,#REF!,#REF!,#REF!,#REF!,#REF!,#REF!,#REF!</definedName>
    <definedName name="__APW_RESTORE_DATA78__" hidden="1">#REF!,#REF!,#REF!,#REF!,#REF!,#REF!,#REF!,#REF!,#REF!,#REF!,#REF!,#REF!,#REF!,#REF!,#REF!,#REF!</definedName>
    <definedName name="__APW_RESTORE_DATA780__" hidden="1">#REF!,#REF!,#REF!,#REF!,#REF!,#REF!,#REF!,#REF!,#REF!,#REF!,#REF!,#REF!,#REF!,#REF!,#REF!</definedName>
    <definedName name="__APW_RESTORE_DATA781__" hidden="1">#REF!,#REF!,#REF!,#REF!,#REF!,#REF!,#REF!,#REF!,#REF!,#REF!,#REF!,#REF!,#REF!,#REF!,#REF!</definedName>
    <definedName name="__APW_RESTORE_DATA782__" hidden="1">#REF!,#REF!,#REF!,#REF!,#REF!,#REF!,#REF!,#REF!,#REF!,#REF!,#REF!,#REF!,#REF!,#REF!,#REF!</definedName>
    <definedName name="__APW_RESTORE_DATA783__" hidden="1">#REF!,#REF!,#REF!,#REF!,#REF!,#REF!,#REF!,#REF!,#REF!,#REF!,#REF!,#REF!,#REF!,#REF!,#REF!</definedName>
    <definedName name="__APW_RESTORE_DATA784__" hidden="1">#REF!,#REF!,#REF!,#REF!,#REF!,#REF!,#REF!,#REF!,#REF!,#REF!,#REF!,#REF!,#REF!,#REF!,#REF!</definedName>
    <definedName name="__APW_RESTORE_DATA785__" hidden="1">#REF!,#REF!,#REF!,#REF!,#REF!,#REF!,#REF!,#REF!,#REF!,#REF!,#REF!,#REF!,#REF!,#REF!,#REF!</definedName>
    <definedName name="__APW_RESTORE_DATA786__" hidden="1">#REF!,#REF!,#REF!,#REF!,#REF!,#REF!,#REF!,#REF!,#REF!,#REF!,#REF!,#REF!,#REF!,#REF!,#REF!</definedName>
    <definedName name="__APW_RESTORE_DATA787__" hidden="1">#REF!,#REF!,#REF!,#REF!,#REF!,#REF!,#REF!,#REF!,#REF!,#REF!,#REF!,#REF!,#REF!,#REF!,#REF!</definedName>
    <definedName name="__APW_RESTORE_DATA788__" hidden="1">#REF!,#REF!,#REF!,#REF!,#REF!,#REF!,#REF!,#REF!,#REF!,#REF!,#REF!,#REF!,#REF!,#REF!,#REF!</definedName>
    <definedName name="__APW_RESTORE_DATA789__" hidden="1">#REF!,#REF!,#REF!,#REF!,#REF!,#REF!,#REF!,#REF!,#REF!,#REF!,#REF!,#REF!,#REF!,#REF!,#REF!</definedName>
    <definedName name="__APW_RESTORE_DATA79__" hidden="1">#REF!,#REF!,#REF!,#REF!,#REF!,#REF!,#REF!,#REF!,#REF!,#REF!,#REF!,#REF!,#REF!,#REF!,#REF!,#REF!</definedName>
    <definedName name="__APW_RESTORE_DATA790__" hidden="1">#REF!,#REF!,#REF!,#REF!,#REF!,#REF!</definedName>
    <definedName name="__APW_RESTORE_DATA791__" hidden="1">#REF!,#REF!,#REF!,#REF!,#REF!,#REF!,#REF!,#REF!,#REF!,#REF!,#REF!,#REF!,#REF!,#REF!,#REF!,#REF!</definedName>
    <definedName name="__APW_RESTORE_DATA792__" hidden="1">#REF!,#REF!,#REF!,#REF!,#REF!,#REF!,#REF!,#REF!,#REF!,#REF!,#REF!,#REF!,#REF!,#REF!,#REF!,#REF!</definedName>
    <definedName name="__APW_RESTORE_DATA793__" hidden="1">#REF!,#REF!,#REF!,#REF!,#REF!,#REF!,#REF!,#REF!,#REF!,#REF!,#REF!,#REF!,#REF!,#REF!,#REF!,#REF!</definedName>
    <definedName name="__APW_RESTORE_DATA794__" hidden="1">#REF!,#REF!,#REF!,#REF!,#REF!,#REF!,#REF!,#REF!,#REF!,#REF!,#REF!,#REF!,#REF!,#REF!,#REF!,#REF!</definedName>
    <definedName name="__APW_RESTORE_DATA795__" hidden="1">#REF!,#REF!,#REF!,#REF!,#REF!,#REF!,#REF!,#REF!,#REF!,#REF!,#REF!,#REF!,#REF!,#REF!,#REF!,#REF!</definedName>
    <definedName name="__APW_RESTORE_DATA796__" hidden="1">#REF!,#REF!,#REF!,#REF!,#REF!,#REF!,#REF!,#REF!,#REF!,#REF!,#REF!,#REF!,#REF!,#REF!,#REF!,#REF!</definedName>
    <definedName name="__APW_RESTORE_DATA797__" hidden="1">#REF!,#REF!,#REF!,#REF!,#REF!,#REF!,#REF!,#REF!,#REF!,#REF!,#REF!,#REF!,#REF!,#REF!,#REF!</definedName>
    <definedName name="__APW_RESTORE_DATA798__" hidden="1">#REF!,#REF!,#REF!,#REF!,#REF!,#REF!,#REF!,#REF!,#REF!,#REF!,#REF!,#REF!,#REF!,#REF!,#REF!</definedName>
    <definedName name="__APW_RESTORE_DATA799__" hidden="1">#REF!,#REF!,#REF!,#REF!,#REF!,#REF!,#REF!,#REF!,#REF!,#REF!,#REF!,#REF!,#REF!,#REF!,#REF!</definedName>
    <definedName name="__APW_RESTORE_DATA8__" hidden="1">#REF!</definedName>
    <definedName name="__APW_RESTORE_DATA80__" hidden="1">#REF!,#REF!,#REF!,#REF!,#REF!,#REF!,#REF!,#REF!,#REF!,#REF!,#REF!,#REF!,#REF!,#REF!,#REF!,#REF!</definedName>
    <definedName name="__APW_RESTORE_DATA800__" hidden="1">#REF!,#REF!,#REF!,#REF!,#REF!,#REF!,#REF!,#REF!,#REF!,#REF!,#REF!,#REF!,#REF!,#REF!,#REF!</definedName>
    <definedName name="__APW_RESTORE_DATA801__" hidden="1">#REF!,#REF!,#REF!,#REF!,#REF!,#REF!,#REF!,#REF!,#REF!,#REF!,#REF!,#REF!,#REF!,#REF!,#REF!</definedName>
    <definedName name="__APW_RESTORE_DATA802__" hidden="1">#REF!,#REF!,#REF!,#REF!,#REF!,#REF!,#REF!,#REF!,#REF!,#REF!,#REF!,#REF!,#REF!,#REF!,#REF!</definedName>
    <definedName name="__APW_RESTORE_DATA803__" hidden="1">#REF!,#REF!,#REF!,#REF!,#REF!,#REF!,#REF!,#REF!,#REF!,#REF!,#REF!,#REF!,#REF!,#REF!,#REF!</definedName>
    <definedName name="__APW_RESTORE_DATA804__" hidden="1">#REF!,#REF!,#REF!,#REF!,#REF!,#REF!,#REF!,#REF!,#REF!,#REF!,#REF!,#REF!,#REF!,#REF!,#REF!</definedName>
    <definedName name="__APW_RESTORE_DATA805__" hidden="1">#REF!,#REF!,#REF!,#REF!,#REF!,#REF!,#REF!,#REF!,#REF!,#REF!,#REF!,#REF!,#REF!,#REF!,#REF!</definedName>
    <definedName name="__APW_RESTORE_DATA806__" hidden="1">#REF!,#REF!,#REF!,#REF!,#REF!,#REF!,#REF!,#REF!,#REF!,#REF!,#REF!,#REF!,#REF!,#REF!,#REF!</definedName>
    <definedName name="__APW_RESTORE_DATA807__" hidden="1">#REF!,#REF!,#REF!,#REF!,#REF!,#REF!,#REF!,#REF!,#REF!,#REF!,#REF!,#REF!,#REF!,#REF!,#REF!</definedName>
    <definedName name="__APW_RESTORE_DATA808__" hidden="1">#REF!,#REF!,#REF!,#REF!,#REF!,#REF!,#REF!,#REF!,#REF!,#REF!,#REF!,#REF!,#REF!,#REF!,#REF!</definedName>
    <definedName name="__APW_RESTORE_DATA809__" hidden="1">#REF!,#REF!,#REF!,#REF!,#REF!,#REF!,#REF!,#REF!,#REF!,#REF!,#REF!,#REF!,#REF!,#REF!,#REF!</definedName>
    <definedName name="__APW_RESTORE_DATA81__" hidden="1">#REF!,#REF!,#REF!,#REF!,#REF!,#REF!,#REF!,#REF!,#REF!,#REF!,#REF!,#REF!,#REF!,#REF!,#REF!</definedName>
    <definedName name="__APW_RESTORE_DATA810__" hidden="1">#REF!,#REF!,#REF!,#REF!,#REF!,#REF!,#REF!,#REF!,#REF!,#REF!,#REF!,#REF!,#REF!,#REF!,#REF!</definedName>
    <definedName name="__APW_RESTORE_DATA811__" hidden="1">#REF!,#REF!,#REF!,#REF!,#REF!,#REF!,#REF!,#REF!,#REF!,#REF!,#REF!,#REF!,#REF!,#REF!,#REF!</definedName>
    <definedName name="__APW_RESTORE_DATA812__" hidden="1">#REF!,#REF!,#REF!,#REF!,#REF!,#REF!,#REF!,#REF!,#REF!,#REF!,#REF!,#REF!,#REF!,#REF!,#REF!</definedName>
    <definedName name="__APW_RESTORE_DATA813__" hidden="1">#REF!,#REF!,#REF!,#REF!,#REF!,#REF!,#REF!,#REF!,#REF!,#REF!,#REF!,#REF!,#REF!,#REF!,#REF!</definedName>
    <definedName name="__APW_RESTORE_DATA814__" hidden="1">#REF!,#REF!,#REF!,#REF!,#REF!,#REF!,#REF!,#REF!,#REF!,#REF!,#REF!,#REF!,#REF!,#REF!,#REF!</definedName>
    <definedName name="__APW_RESTORE_DATA815__" hidden="1">#REF!,#REF!,#REF!,#REF!,#REF!,#REF!,#REF!,#REF!,#REF!,#REF!,#REF!,#REF!,#REF!,#REF!,#REF!</definedName>
    <definedName name="__APW_RESTORE_DATA816__" hidden="1">#REF!,#REF!,#REF!,#REF!,#REF!,#REF!,#REF!,#REF!,#REF!,#REF!,#REF!,#REF!,#REF!,#REF!,#REF!</definedName>
    <definedName name="__APW_RESTORE_DATA817__" hidden="1">#REF!,#REF!,#REF!,#REF!,#REF!,#REF!,#REF!,#REF!,#REF!,#REF!,#REF!,#REF!,#REF!,#REF!,#REF!</definedName>
    <definedName name="__APW_RESTORE_DATA818__" hidden="1">#REF!,#REF!,#REF!,#REF!,#REF!,#REF!,#REF!,#REF!,#REF!,#REF!,#REF!,#REF!,#REF!,#REF!,#REF!</definedName>
    <definedName name="__APW_RESTORE_DATA819__" hidden="1">#REF!,#REF!,#REF!,#REF!,#REF!,#REF!,#REF!,#REF!,#REF!,#REF!,#REF!,#REF!,#REF!,#REF!,#REF!</definedName>
    <definedName name="__APW_RESTORE_DATA82__" hidden="1">#REF!,#REF!,#REF!,#REF!,#REF!,#REF!,#REF!,#REF!,#REF!,#REF!,#REF!,#REF!,#REF!,#REF!,#REF!</definedName>
    <definedName name="__APW_RESTORE_DATA820__" hidden="1">#REF!,#REF!,#REF!,#REF!,#REF!,#REF!,#REF!,#REF!,#REF!,#REF!,#REF!,#REF!,#REF!,#REF!,#REF!</definedName>
    <definedName name="__APW_RESTORE_DATA821__" hidden="1">#REF!,#REF!,#REF!,#REF!,#REF!,#REF!,#REF!,#REF!,#REF!,#REF!,#REF!,#REF!,#REF!,#REF!,#REF!</definedName>
    <definedName name="__APW_RESTORE_DATA822__" hidden="1">#REF!,#REF!,#REF!,#REF!,#REF!,#REF!,#REF!,#REF!,#REF!,#REF!,#REF!,#REF!,#REF!,#REF!,#REF!</definedName>
    <definedName name="__APW_RESTORE_DATA823__" hidden="1">#REF!,#REF!,#REF!,#REF!,#REF!,#REF!,#REF!,#REF!,#REF!,#REF!,#REF!,#REF!,#REF!,#REF!,#REF!</definedName>
    <definedName name="__APW_RESTORE_DATA824__" hidden="1">#REF!,#REF!,#REF!,#REF!,#REF!,#REF!,#REF!,#REF!,#REF!,#REF!,#REF!,#REF!,#REF!,#REF!,#REF!</definedName>
    <definedName name="__APW_RESTORE_DATA825__" hidden="1">#REF!,#REF!,#REF!,#REF!,#REF!,#REF!</definedName>
    <definedName name="__APW_RESTORE_DATA826__" hidden="1">#REF!,#REF!,#REF!,#REF!,#REF!,#REF!,#REF!,#REF!,#REF!,#REF!,#REF!,#REF!,#REF!,#REF!,#REF!,#REF!</definedName>
    <definedName name="__APW_RESTORE_DATA827__" hidden="1">#REF!,#REF!,#REF!,#REF!,#REF!,#REF!,#REF!,#REF!,#REF!,#REF!,#REF!,#REF!,#REF!,#REF!,#REF!,#REF!</definedName>
    <definedName name="__APW_RESTORE_DATA828__" hidden="1">#REF!,#REF!,#REF!,#REF!,#REF!,#REF!,#REF!,#REF!,#REF!,#REF!,#REF!,#REF!,#REF!,#REF!,#REF!,#REF!</definedName>
    <definedName name="__APW_RESTORE_DATA829__" hidden="1">#REF!,#REF!,#REF!,#REF!,#REF!,#REF!,#REF!,#REF!,#REF!,#REF!,#REF!,#REF!,#REF!,#REF!,#REF!,#REF!</definedName>
    <definedName name="__APW_RESTORE_DATA83__" hidden="1">#REF!,#REF!,#REF!,#REF!,#REF!,#REF!,#REF!,#REF!,#REF!,#REF!,#REF!,#REF!,#REF!,#REF!,#REF!</definedName>
    <definedName name="__APW_RESTORE_DATA830__" hidden="1">#REF!,#REF!,#REF!,#REF!,#REF!,#REF!,#REF!,#REF!,#REF!,#REF!,#REF!,#REF!,#REF!,#REF!,#REF!,#REF!</definedName>
    <definedName name="__APW_RESTORE_DATA831__" hidden="1">#REF!,#REF!,#REF!,#REF!,#REF!,#REF!,#REF!,#REF!,#REF!,#REF!,#REF!,#REF!,#REF!,#REF!,#REF!,#REF!</definedName>
    <definedName name="__APW_RESTORE_DATA832__" hidden="1">#REF!,#REF!,#REF!,#REF!,#REF!,#REF!,#REF!,#REF!,#REF!,#REF!,#REF!,#REF!,#REF!,#REF!,#REF!</definedName>
    <definedName name="__APW_RESTORE_DATA833__" hidden="1">#REF!,#REF!,#REF!,#REF!,#REF!,#REF!,#REF!,#REF!,#REF!,#REF!,#REF!,#REF!,#REF!,#REF!,#REF!</definedName>
    <definedName name="__APW_RESTORE_DATA834__" hidden="1">#REF!,#REF!,#REF!,#REF!,#REF!,#REF!,#REF!,#REF!,#REF!,#REF!,#REF!,#REF!,#REF!,#REF!,#REF!</definedName>
    <definedName name="__APW_RESTORE_DATA835__" hidden="1">#REF!,#REF!,#REF!,#REF!,#REF!,#REF!,#REF!,#REF!,#REF!,#REF!,#REF!,#REF!,#REF!,#REF!,#REF!</definedName>
    <definedName name="__APW_RESTORE_DATA836__" hidden="1">#REF!,#REF!,#REF!,#REF!,#REF!,#REF!,#REF!,#REF!,#REF!,#REF!,#REF!,#REF!,#REF!,#REF!,#REF!</definedName>
    <definedName name="__APW_RESTORE_DATA837__" hidden="1">#REF!,#REF!,#REF!,#REF!,#REF!,#REF!,#REF!,#REF!,#REF!,#REF!,#REF!,#REF!,#REF!,#REF!,#REF!</definedName>
    <definedName name="__APW_RESTORE_DATA838__" hidden="1">#REF!,#REF!,#REF!,#REF!,#REF!,#REF!,#REF!,#REF!,#REF!,#REF!,#REF!,#REF!,#REF!,#REF!,#REF!</definedName>
    <definedName name="__APW_RESTORE_DATA839__" hidden="1">#REF!,#REF!,#REF!,#REF!,#REF!,#REF!,#REF!,#REF!,#REF!,#REF!,#REF!,#REF!,#REF!,#REF!,#REF!</definedName>
    <definedName name="__APW_RESTORE_DATA84__" hidden="1">#REF!,#REF!,#REF!,#REF!,#REF!,#REF!,#REF!,#REF!,#REF!,#REF!,#REF!,#REF!,#REF!,#REF!,#REF!</definedName>
    <definedName name="__APW_RESTORE_DATA840__" hidden="1">#REF!,#REF!,#REF!,#REF!,#REF!,#REF!,#REF!,#REF!,#REF!,#REF!,#REF!,#REF!,#REF!,#REF!,#REF!</definedName>
    <definedName name="__APW_RESTORE_DATA841__" hidden="1">#REF!,#REF!,#REF!,#REF!,#REF!,#REF!,#REF!,#REF!,#REF!,#REF!,#REF!,#REF!,#REF!,#REF!,#REF!</definedName>
    <definedName name="__APW_RESTORE_DATA842__" hidden="1">#REF!,#REF!,#REF!,#REF!,#REF!,#REF!,#REF!,#REF!,#REF!,#REF!,#REF!,#REF!,#REF!,#REF!,#REF!</definedName>
    <definedName name="__APW_RESTORE_DATA843__" hidden="1">#REF!,#REF!,#REF!,#REF!,#REF!,#REF!,#REF!,#REF!,#REF!,#REF!,#REF!,#REF!,#REF!,#REF!,#REF!</definedName>
    <definedName name="__APW_RESTORE_DATA844__" hidden="1">#REF!,#REF!,#REF!,#REF!,#REF!,#REF!,#REF!,#REF!,#REF!,#REF!,#REF!,#REF!,#REF!,#REF!,#REF!</definedName>
    <definedName name="__APW_RESTORE_DATA845__" hidden="1">#REF!,#REF!,#REF!,#REF!,#REF!,#REF!,#REF!,#REF!,#REF!,#REF!,#REF!,#REF!,#REF!,#REF!,#REF!</definedName>
    <definedName name="__APW_RESTORE_DATA846__" hidden="1">#REF!,#REF!,#REF!,#REF!,#REF!,#REF!,#REF!,#REF!,#REF!,#REF!,#REF!,#REF!,#REF!,#REF!,#REF!</definedName>
    <definedName name="__APW_RESTORE_DATA847__" hidden="1">#REF!,#REF!,#REF!,#REF!,#REF!,#REF!,#REF!,#REF!,#REF!,#REF!,#REF!,#REF!,#REF!,#REF!,#REF!</definedName>
    <definedName name="__APW_RESTORE_DATA848__" hidden="1">#REF!,#REF!,#REF!,#REF!,#REF!,#REF!,#REF!,#REF!,#REF!,#REF!,#REF!,#REF!,#REF!,#REF!,#REF!</definedName>
    <definedName name="__APW_RESTORE_DATA849__" hidden="1">#REF!,#REF!,#REF!,#REF!,#REF!,#REF!,#REF!,#REF!,#REF!,#REF!,#REF!,#REF!,#REF!,#REF!,#REF!</definedName>
    <definedName name="__APW_RESTORE_DATA85__" hidden="1">#REF!,#REF!,#REF!,#REF!,#REF!,#REF!,#REF!,#REF!,#REF!,#REF!,#REF!,#REF!,#REF!,#REF!,#REF!</definedName>
    <definedName name="__APW_RESTORE_DATA850__" hidden="1">#REF!,#REF!,#REF!,#REF!,#REF!,#REF!,#REF!,#REF!,#REF!,#REF!,#REF!,#REF!,#REF!,#REF!,#REF!</definedName>
    <definedName name="__APW_RESTORE_DATA851__" hidden="1">#REF!,#REF!,#REF!,#REF!,#REF!,#REF!,#REF!,#REF!,#REF!,#REF!,#REF!,#REF!,#REF!,#REF!,#REF!</definedName>
    <definedName name="__APW_RESTORE_DATA852__" hidden="1">#REF!,#REF!,#REF!,#REF!,#REF!,#REF!,#REF!,#REF!,#REF!,#REF!,#REF!,#REF!,#REF!,#REF!,#REF!</definedName>
    <definedName name="__APW_RESTORE_DATA853__" hidden="1">#REF!,#REF!,#REF!,#REF!,#REF!,#REF!,#REF!,#REF!,#REF!,#REF!,#REF!,#REF!,#REF!,#REF!,#REF!</definedName>
    <definedName name="__APW_RESTORE_DATA854__" hidden="1">#REF!,#REF!,#REF!,#REF!,#REF!,#REF!,#REF!,#REF!,#REF!,#REF!,#REF!,#REF!,#REF!,#REF!,#REF!</definedName>
    <definedName name="__APW_RESTORE_DATA855__" hidden="1">#REF!,#REF!,#REF!,#REF!,#REF!,#REF!,#REF!,#REF!,#REF!,#REF!,#REF!,#REF!,#REF!,#REF!,#REF!</definedName>
    <definedName name="__APW_RESTORE_DATA856__" hidden="1">#REF!,#REF!,#REF!,#REF!,#REF!,#REF!,#REF!,#REF!,#REF!,#REF!,#REF!,#REF!,#REF!,#REF!,#REF!</definedName>
    <definedName name="__APW_RESTORE_DATA857__" hidden="1">#REF!,#REF!,#REF!,#REF!,#REF!,#REF!,#REF!,#REF!,#REF!,#REF!,#REF!,#REF!,#REF!,#REF!,#REF!</definedName>
    <definedName name="__APW_RESTORE_DATA858__" hidden="1">#REF!,#REF!,#REF!,#REF!,#REF!,#REF!,#REF!,#REF!,#REF!,#REF!,#REF!,#REF!,#REF!,#REF!,#REF!</definedName>
    <definedName name="__APW_RESTORE_DATA859__" hidden="1">#REF!,#REF!,#REF!,#REF!,#REF!,#REF!,#REF!,#REF!,#REF!,#REF!,#REF!,#REF!,#REF!,#REF!,#REF!</definedName>
    <definedName name="__APW_RESTORE_DATA86__" hidden="1">#REF!,#REF!,#REF!,#REF!,#REF!,#REF!,#REF!,#REF!,#REF!,#REF!,#REF!,#REF!,#REF!,#REF!,#REF!</definedName>
    <definedName name="__APW_RESTORE_DATA860__" hidden="1">#REF!,#REF!,#REF!,#REF!,#REF!,#REF!</definedName>
    <definedName name="__APW_RESTORE_DATA861__" hidden="1">#REF!</definedName>
    <definedName name="__APW_RESTORE_DATA862__" hidden="1">#REF!</definedName>
    <definedName name="__APW_RESTORE_DATA863__" hidden="1">#REF!</definedName>
    <definedName name="__APW_RESTORE_DATA864__" hidden="1">#REF!</definedName>
    <definedName name="__APW_RESTORE_DATA865__" hidden="1">#REF!,#REF!,#REF!,#REF!,#REF!,#REF!,#REF!,#REF!,#REF!,#REF!,#REF!,#REF!,#REF!,#REF!,#REF!,#REF!</definedName>
    <definedName name="__APW_RESTORE_DATA866__" hidden="1">#REF!,#REF!,#REF!,#REF!,#REF!,#REF!,#REF!,#REF!,#REF!,#REF!,#REF!,#REF!,#REF!,#REF!,#REF!,#REF!</definedName>
    <definedName name="__APW_RESTORE_DATA867__" hidden="1">#REF!,#REF!,#REF!,#REF!,#REF!,#REF!,#REF!,#REF!,#REF!,#REF!,#REF!,#REF!,#REF!,#REF!,#REF!,#REF!</definedName>
    <definedName name="__APW_RESTORE_DATA868__" hidden="1">#REF!,#REF!,#REF!,#REF!,#REF!,#REF!,#REF!,#REF!,#REF!,#REF!,#REF!,#REF!,#REF!,#REF!,#REF!,#REF!</definedName>
    <definedName name="__APW_RESTORE_DATA869__" hidden="1">#REF!,#REF!,#REF!,#REF!,#REF!,#REF!,#REF!,#REF!,#REF!,#REF!,#REF!,#REF!,#REF!,#REF!,#REF!,#REF!</definedName>
    <definedName name="__APW_RESTORE_DATA87__" hidden="1">#REF!,#REF!,#REF!,#REF!,#REF!,#REF!,#REF!,#REF!,#REF!,#REF!,#REF!,#REF!,#REF!,#REF!,#REF!</definedName>
    <definedName name="__APW_RESTORE_DATA870__" hidden="1">#REF!,#REF!,#REF!,#REF!,#REF!,#REF!,#REF!,#REF!,#REF!,#REF!,#REF!,#REF!,#REF!,#REF!,#REF!,#REF!</definedName>
    <definedName name="__APW_RESTORE_DATA871__" hidden="1">#REF!,#REF!,#REF!,#REF!,#REF!,#REF!,#REF!,#REF!,#REF!,#REF!,#REF!,#REF!,#REF!,#REF!,#REF!</definedName>
    <definedName name="__APW_RESTORE_DATA872__" hidden="1">#REF!,#REF!,#REF!,#REF!,#REF!,#REF!,#REF!,#REF!,#REF!,#REF!,#REF!,#REF!,#REF!,#REF!,#REF!</definedName>
    <definedName name="__APW_RESTORE_DATA873__" hidden="1">#REF!,#REF!,#REF!,#REF!,#REF!,#REF!,#REF!,#REF!,#REF!,#REF!,#REF!,#REF!,#REF!,#REF!,#REF!</definedName>
    <definedName name="__APW_RESTORE_DATA874__" hidden="1">#REF!,#REF!,#REF!,#REF!,#REF!,#REF!,#REF!,#REF!,#REF!,#REF!,#REF!,#REF!,#REF!,#REF!,#REF!</definedName>
    <definedName name="__APW_RESTORE_DATA875__" hidden="1">#REF!,#REF!,#REF!,#REF!,#REF!,#REF!,#REF!,#REF!,#REF!,#REF!,#REF!,#REF!,#REF!,#REF!,#REF!</definedName>
    <definedName name="__APW_RESTORE_DATA876__" hidden="1">#REF!,#REF!,#REF!,#REF!,#REF!,#REF!,#REF!,#REF!,#REF!,#REF!,#REF!,#REF!,#REF!,#REF!,#REF!</definedName>
    <definedName name="__APW_RESTORE_DATA877__" hidden="1">#REF!,#REF!,#REF!,#REF!,#REF!,#REF!,#REF!,#REF!,#REF!,#REF!,#REF!,#REF!,#REF!,#REF!,#REF!</definedName>
    <definedName name="__APW_RESTORE_DATA878__" hidden="1">#REF!,#REF!,#REF!,#REF!,#REF!,#REF!,#REF!,#REF!,#REF!,#REF!,#REF!,#REF!,#REF!,#REF!,#REF!</definedName>
    <definedName name="__APW_RESTORE_DATA879__" hidden="1">#REF!,#REF!,#REF!,#REF!,#REF!,#REF!,#REF!,#REF!,#REF!,#REF!,#REF!,#REF!,#REF!,#REF!,#REF!</definedName>
    <definedName name="__APW_RESTORE_DATA88__" hidden="1">#REF!,#REF!,#REF!,#REF!,#REF!,#REF!,#REF!,#REF!,#REF!,#REF!,#REF!,#REF!,#REF!,#REF!,#REF!</definedName>
    <definedName name="__APW_RESTORE_DATA880__" hidden="1">#REF!,#REF!,#REF!,#REF!,#REF!,#REF!,#REF!,#REF!,#REF!,#REF!,#REF!,#REF!,#REF!,#REF!,#REF!</definedName>
    <definedName name="__APW_RESTORE_DATA881__" hidden="1">#REF!,#REF!,#REF!,#REF!,#REF!,#REF!,#REF!,#REF!,#REF!,#REF!,#REF!,#REF!,#REF!,#REF!,#REF!</definedName>
    <definedName name="__APW_RESTORE_DATA882__" hidden="1">#REF!,#REF!,#REF!,#REF!,#REF!,#REF!,#REF!,#REF!,#REF!,#REF!,#REF!,#REF!,#REF!,#REF!,#REF!</definedName>
    <definedName name="__APW_RESTORE_DATA883__" hidden="1">#REF!,#REF!,#REF!,#REF!,#REF!,#REF!,#REF!,#REF!,#REF!,#REF!,#REF!,#REF!,#REF!,#REF!,#REF!</definedName>
    <definedName name="__APW_RESTORE_DATA884__" hidden="1">#REF!,#REF!,#REF!,#REF!,#REF!,#REF!,#REF!,#REF!,#REF!,#REF!,#REF!,#REF!,#REF!,#REF!,#REF!</definedName>
    <definedName name="__APW_RESTORE_DATA885__" hidden="1">#REF!,#REF!,#REF!,#REF!,#REF!,#REF!,#REF!,#REF!,#REF!,#REF!,#REF!,#REF!,#REF!,#REF!,#REF!</definedName>
    <definedName name="__APW_RESTORE_DATA886__" hidden="1">#REF!,#REF!,#REF!,#REF!,#REF!,#REF!,#REF!,#REF!,#REF!,#REF!,#REF!,#REF!,#REF!,#REF!,#REF!</definedName>
    <definedName name="__APW_RESTORE_DATA887__" hidden="1">#REF!,#REF!,#REF!,#REF!,#REF!,#REF!,#REF!,#REF!,#REF!,#REF!,#REF!,#REF!,#REF!,#REF!,#REF!</definedName>
    <definedName name="__APW_RESTORE_DATA888__" hidden="1">#REF!,#REF!,#REF!,#REF!,#REF!,#REF!,#REF!,#REF!,#REF!,#REF!,#REF!,#REF!,#REF!,#REF!,#REF!</definedName>
    <definedName name="__APW_RESTORE_DATA889__" hidden="1">#REF!,#REF!,#REF!,#REF!,#REF!,#REF!,#REF!,#REF!,#REF!,#REF!,#REF!,#REF!,#REF!,#REF!,#REF!</definedName>
    <definedName name="__APW_RESTORE_DATA89__" hidden="1">#REF!,#REF!,#REF!,#REF!,#REF!,#REF!,#REF!,#REF!,#REF!,#REF!,#REF!,#REF!,#REF!,#REF!,#REF!</definedName>
    <definedName name="__APW_RESTORE_DATA890__" hidden="1">#REF!,#REF!,#REF!,#REF!,#REF!,#REF!,#REF!,#REF!,#REF!,#REF!,#REF!,#REF!,#REF!,#REF!,#REF!</definedName>
    <definedName name="__APW_RESTORE_DATA891__" hidden="1">#REF!,#REF!,#REF!,#REF!,#REF!,#REF!,#REF!,#REF!,#REF!,#REF!,#REF!,#REF!,#REF!,#REF!,#REF!</definedName>
    <definedName name="__APW_RESTORE_DATA892__" hidden="1">#REF!,#REF!,#REF!,#REF!,#REF!,#REF!,#REF!,#REF!,#REF!,#REF!,#REF!,#REF!,#REF!,#REF!,#REF!</definedName>
    <definedName name="__APW_RESTORE_DATA893__" hidden="1">#REF!,#REF!,#REF!,#REF!,#REF!,#REF!,#REF!,#REF!,#REF!,#REF!,#REF!,#REF!,#REF!,#REF!,#REF!</definedName>
    <definedName name="__APW_RESTORE_DATA894__" hidden="1">#REF!,#REF!,#REF!,#REF!,#REF!,#REF!,#REF!,#REF!,#REF!,#REF!,#REF!,#REF!,#REF!,#REF!,#REF!</definedName>
    <definedName name="__APW_RESTORE_DATA895__" hidden="1">#REF!,#REF!,#REF!,#REF!,#REF!,#REF!,#REF!,#REF!,#REF!,#REF!,#REF!,#REF!,#REF!,#REF!,#REF!</definedName>
    <definedName name="__APW_RESTORE_DATA896__" hidden="1">#REF!,#REF!,#REF!,#REF!,#REF!,#REF!,#REF!,#REF!,#REF!,#REF!,#REF!,#REF!,#REF!,#REF!,#REF!</definedName>
    <definedName name="__APW_RESTORE_DATA897__" hidden="1">#REF!,#REF!,#REF!,#REF!,#REF!,#REF!,#REF!,#REF!,#REF!,#REF!,#REF!,#REF!,#REF!,#REF!,#REF!</definedName>
    <definedName name="__APW_RESTORE_DATA898__" hidden="1">#REF!,#REF!,#REF!,#REF!,#REF!,#REF!,#REF!,#REF!,#REF!,#REF!,#REF!,#REF!,#REF!,#REF!,#REF!</definedName>
    <definedName name="__APW_RESTORE_DATA899__" hidden="1">#REF!,#REF!,#REF!,#REF!,#REF!,#REF!</definedName>
    <definedName name="__APW_RESTORE_DATA9__" hidden="1">#REF!</definedName>
    <definedName name="__APW_RESTORE_DATA90__" hidden="1">#REF!,#REF!</definedName>
    <definedName name="__APW_RESTORE_DATA900__" hidden="1">#REF!,#REF!,#REF!,#REF!,#REF!,#REF!,#REF!,#REF!,#REF!,#REF!,#REF!,#REF!,#REF!,#REF!,#REF!,#REF!</definedName>
    <definedName name="__APW_RESTORE_DATA901__" hidden="1">#REF!,#REF!,#REF!,#REF!,#REF!,#REF!,#REF!,#REF!,#REF!,#REF!,#REF!,#REF!,#REF!,#REF!,#REF!,#REF!</definedName>
    <definedName name="__APW_RESTORE_DATA902__" hidden="1">#REF!,#REF!,#REF!,#REF!,#REF!,#REF!,#REF!,#REF!,#REF!,#REF!,#REF!,#REF!,#REF!,#REF!,#REF!,#REF!</definedName>
    <definedName name="__APW_RESTORE_DATA903__" hidden="1">#REF!,#REF!,#REF!,#REF!,#REF!,#REF!,#REF!,#REF!,#REF!,#REF!,#REF!,#REF!,#REF!,#REF!,#REF!,#REF!</definedName>
    <definedName name="__APW_RESTORE_DATA904__" hidden="1">#REF!,#REF!,#REF!,#REF!,#REF!,#REF!,#REF!,#REF!,#REF!,#REF!,#REF!,#REF!,#REF!,#REF!,#REF!,#REF!</definedName>
    <definedName name="__APW_RESTORE_DATA905__" hidden="1">#REF!,#REF!,#REF!,#REF!,#REF!,#REF!,#REF!,#REF!,#REF!,#REF!,#REF!,#REF!,#REF!,#REF!,#REF!,#REF!</definedName>
    <definedName name="__APW_RESTORE_DATA906__" hidden="1">#REF!,#REF!,#REF!,#REF!,#REF!,#REF!,#REF!,#REF!,#REF!,#REF!,#REF!,#REF!,#REF!,#REF!,#REF!</definedName>
    <definedName name="__APW_RESTORE_DATA907__" hidden="1">#REF!,#REF!,#REF!,#REF!,#REF!,#REF!,#REF!,#REF!,#REF!,#REF!,#REF!,#REF!,#REF!,#REF!,#REF!</definedName>
    <definedName name="__APW_RESTORE_DATA908__" hidden="1">#REF!,#REF!,#REF!,#REF!,#REF!,#REF!,#REF!,#REF!,#REF!,#REF!,#REF!,#REF!,#REF!,#REF!,#REF!</definedName>
    <definedName name="__APW_RESTORE_DATA909__" hidden="1">#REF!,#REF!,#REF!,#REF!,#REF!,#REF!,#REF!,#REF!,#REF!,#REF!,#REF!,#REF!,#REF!,#REF!,#REF!</definedName>
    <definedName name="__APW_RESTORE_DATA91__" hidden="1">#REF!,#REF!,#REF!,#REF!,#REF!,#REF!,#REF!,#REF!,#REF!,#REF!,#REF!,#REF!,#REF!,#REF!,#REF!</definedName>
    <definedName name="__APW_RESTORE_DATA910__" hidden="1">#REF!,#REF!,#REF!,#REF!,#REF!,#REF!,#REF!,#REF!,#REF!,#REF!,#REF!,#REF!,#REF!,#REF!,#REF!</definedName>
    <definedName name="__APW_RESTORE_DATA911__" hidden="1">#REF!,#REF!,#REF!,#REF!,#REF!,#REF!,#REF!,#REF!,#REF!,#REF!,#REF!,#REF!,#REF!,#REF!,#REF!</definedName>
    <definedName name="__APW_RESTORE_DATA912__" hidden="1">#REF!,#REF!,#REF!,#REF!,#REF!,#REF!,#REF!,#REF!,#REF!,#REF!,#REF!,#REF!,#REF!,#REF!,#REF!</definedName>
    <definedName name="__APW_RESTORE_DATA913__" hidden="1">#REF!,#REF!,#REF!,#REF!,#REF!,#REF!,#REF!,#REF!,#REF!,#REF!,#REF!,#REF!,#REF!,#REF!,#REF!</definedName>
    <definedName name="__APW_RESTORE_DATA914__" hidden="1">#REF!,#REF!,#REF!,#REF!,#REF!,#REF!,#REF!,#REF!,#REF!,#REF!,#REF!,#REF!,#REF!,#REF!,#REF!</definedName>
    <definedName name="__APW_RESTORE_DATA915__" hidden="1">#REF!,#REF!,#REF!,#REF!,#REF!,#REF!,#REF!,#REF!,#REF!,#REF!,#REF!,#REF!,#REF!,#REF!,#REF!</definedName>
    <definedName name="__APW_RESTORE_DATA916__" hidden="1">#REF!,#REF!,#REF!,#REF!,#REF!,#REF!,#REF!,#REF!,#REF!,#REF!,#REF!,#REF!,#REF!,#REF!,#REF!</definedName>
    <definedName name="__APW_RESTORE_DATA917__" hidden="1">#REF!,#REF!,#REF!,#REF!,#REF!,#REF!,#REF!,#REF!,#REF!,#REF!,#REF!,#REF!,#REF!,#REF!,#REF!</definedName>
    <definedName name="__APW_RESTORE_DATA918__" hidden="1">#REF!,#REF!,#REF!,#REF!,#REF!,#REF!,#REF!,#REF!,#REF!,#REF!,#REF!,#REF!,#REF!,#REF!,#REF!</definedName>
    <definedName name="__APW_RESTORE_DATA919__" hidden="1">#REF!,#REF!,#REF!,#REF!,#REF!,#REF!,#REF!,#REF!,#REF!,#REF!,#REF!,#REF!,#REF!,#REF!,#REF!</definedName>
    <definedName name="__APW_RESTORE_DATA92__" hidden="1">#REF!,#REF!,#REF!,#REF!,#REF!,#REF!,#REF!,#REF!,#REF!,#REF!,#REF!,#REF!,#REF!,#REF!,#REF!</definedName>
    <definedName name="__APW_RESTORE_DATA920__" hidden="1">#REF!,#REF!,#REF!,#REF!,#REF!,#REF!,#REF!,#REF!,#REF!,#REF!,#REF!,#REF!,#REF!,#REF!,#REF!</definedName>
    <definedName name="__APW_RESTORE_DATA921__" hidden="1">#REF!,#REF!,#REF!,#REF!,#REF!,#REF!,#REF!,#REF!,#REF!,#REF!,#REF!,#REF!,#REF!,#REF!,#REF!</definedName>
    <definedName name="__APW_RESTORE_DATA922__" hidden="1">#REF!,#REF!,#REF!,#REF!,#REF!,#REF!,#REF!,#REF!,#REF!,#REF!,#REF!,#REF!,#REF!,#REF!,#REF!</definedName>
    <definedName name="__APW_RESTORE_DATA923__" hidden="1">#REF!,#REF!,#REF!,#REF!,#REF!,#REF!,#REF!,#REF!,#REF!,#REF!,#REF!,#REF!,#REF!,#REF!,#REF!</definedName>
    <definedName name="__APW_RESTORE_DATA924__" hidden="1">#REF!,#REF!,#REF!,#REF!,#REF!,#REF!,#REF!,#REF!,#REF!,#REF!,#REF!,#REF!,#REF!,#REF!,#REF!</definedName>
    <definedName name="__APW_RESTORE_DATA925__" hidden="1">#REF!,#REF!,#REF!,#REF!,#REF!,#REF!,#REF!,#REF!,#REF!,#REF!,#REF!,#REF!,#REF!,#REF!,#REF!</definedName>
    <definedName name="__APW_RESTORE_DATA926__" hidden="1">#REF!,#REF!,#REF!,#REF!,#REF!,#REF!,#REF!,#REF!,#REF!,#REF!,#REF!,#REF!,#REF!,#REF!,#REF!</definedName>
    <definedName name="__APW_RESTORE_DATA927__" hidden="1">#REF!,#REF!,#REF!,#REF!,#REF!,#REF!,#REF!,#REF!,#REF!,#REF!,#REF!,#REF!,#REF!,#REF!,#REF!</definedName>
    <definedName name="__APW_RESTORE_DATA928__" hidden="1">#REF!,#REF!,#REF!,#REF!,#REF!,#REF!,#REF!,#REF!,#REF!,#REF!,#REF!,#REF!,#REF!,#REF!,#REF!</definedName>
    <definedName name="__APW_RESTORE_DATA929__" hidden="1">#REF!,#REF!,#REF!,#REF!,#REF!,#REF!,#REF!,#REF!,#REF!,#REF!,#REF!,#REF!,#REF!,#REF!,#REF!</definedName>
    <definedName name="__APW_RESTORE_DATA93__" hidden="1">#REF!,#REF!,#REF!,#REF!,#REF!,#REF!,#REF!,#REF!,#REF!,#REF!,#REF!,#REF!,#REF!,#REF!,#REF!</definedName>
    <definedName name="__APW_RESTORE_DATA930__" hidden="1">#REF!,#REF!,#REF!,#REF!,#REF!,#REF!,#REF!,#REF!,#REF!,#REF!,#REF!,#REF!,#REF!,#REF!,#REF!</definedName>
    <definedName name="__APW_RESTORE_DATA931__" hidden="1">#REF!,#REF!,#REF!,#REF!,#REF!,#REF!,#REF!,#REF!,#REF!,#REF!,#REF!,#REF!,#REF!,#REF!,#REF!</definedName>
    <definedName name="__APW_RESTORE_DATA932__" hidden="1">#REF!,#REF!,#REF!,#REF!,#REF!,#REF!,#REF!,#REF!,#REF!,#REF!,#REF!,#REF!,#REF!,#REF!,#REF!</definedName>
    <definedName name="__APW_RESTORE_DATA933__" hidden="1">#REF!,#REF!,#REF!,#REF!,#REF!,#REF!,#REF!,#REF!,#REF!,#REF!,#REF!,#REF!,#REF!,#REF!,#REF!</definedName>
    <definedName name="__APW_RESTORE_DATA934__" hidden="1">#REF!,#REF!,#REF!,#REF!,#REF!,#REF!</definedName>
    <definedName name="__APW_RESTORE_DATA935__" hidden="1">#REF!,#REF!,#REF!,#REF!,#REF!,#REF!,#REF!,#REF!,#REF!,#REF!,#REF!,#REF!,#REF!,#REF!,#REF!,#REF!</definedName>
    <definedName name="__APW_RESTORE_DATA936__" hidden="1">#REF!,#REF!,#REF!,#REF!,#REF!,#REF!,#REF!,#REF!,#REF!,#REF!,#REF!,#REF!,#REF!,#REF!,#REF!,#REF!</definedName>
    <definedName name="__APW_RESTORE_DATA937__" hidden="1">#REF!,#REF!,#REF!,#REF!,#REF!,#REF!,#REF!,#REF!,#REF!,#REF!,#REF!,#REF!,#REF!,#REF!,#REF!,#REF!</definedName>
    <definedName name="__APW_RESTORE_DATA938__" hidden="1">#REF!,#REF!,#REF!,#REF!,#REF!,#REF!,#REF!,#REF!,#REF!,#REF!,#REF!,#REF!,#REF!,#REF!,#REF!,#REF!</definedName>
    <definedName name="__APW_RESTORE_DATA939__" hidden="1">#REF!,#REF!,#REF!,#REF!,#REF!,#REF!,#REF!,#REF!,#REF!,#REF!,#REF!,#REF!,#REF!,#REF!,#REF!,#REF!</definedName>
    <definedName name="__APW_RESTORE_DATA94__" hidden="1">#REF!,#REF!,#REF!,#REF!,#REF!,#REF!,#REF!,#REF!,#REF!,#REF!,#REF!,#REF!,#REF!,#REF!,#REF!</definedName>
    <definedName name="__APW_RESTORE_DATA940__" hidden="1">#REF!,#REF!,#REF!,#REF!,#REF!,#REF!,#REF!,#REF!,#REF!,#REF!,#REF!,#REF!,#REF!,#REF!,#REF!,#REF!</definedName>
    <definedName name="__APW_RESTORE_DATA941__" hidden="1">#REF!,#REF!,#REF!,#REF!,#REF!,#REF!,#REF!,#REF!,#REF!,#REF!,#REF!,#REF!,#REF!,#REF!,#REF!</definedName>
    <definedName name="__APW_RESTORE_DATA942__" hidden="1">#REF!,#REF!,#REF!,#REF!,#REF!,#REF!,#REF!,#REF!,#REF!,#REF!,#REF!,#REF!,#REF!,#REF!,#REF!</definedName>
    <definedName name="__APW_RESTORE_DATA943__" hidden="1">#REF!,#REF!,#REF!,#REF!,#REF!,#REF!,#REF!,#REF!,#REF!,#REF!,#REF!,#REF!,#REF!,#REF!,#REF!</definedName>
    <definedName name="__APW_RESTORE_DATA944__" hidden="1">#REF!,#REF!,#REF!,#REF!,#REF!,#REF!,#REF!,#REF!,#REF!,#REF!,#REF!,#REF!,#REF!,#REF!,#REF!</definedName>
    <definedName name="__APW_RESTORE_DATA945__" hidden="1">#REF!,#REF!,#REF!,#REF!,#REF!,#REF!,#REF!,#REF!,#REF!,#REF!,#REF!,#REF!,#REF!,#REF!,#REF!</definedName>
    <definedName name="__APW_RESTORE_DATA946__" hidden="1">#REF!,#REF!,#REF!,#REF!,#REF!,#REF!,#REF!,#REF!,#REF!,#REF!,#REF!,#REF!,#REF!,#REF!,#REF!</definedName>
    <definedName name="__APW_RESTORE_DATA947__" hidden="1">#REF!,#REF!,#REF!,#REF!,#REF!,#REF!,#REF!,#REF!,#REF!,#REF!,#REF!,#REF!,#REF!,#REF!,#REF!</definedName>
    <definedName name="__APW_RESTORE_DATA948__" hidden="1">#REF!,#REF!,#REF!,#REF!,#REF!,#REF!,#REF!,#REF!,#REF!,#REF!,#REF!,#REF!,#REF!,#REF!,#REF!</definedName>
    <definedName name="__APW_RESTORE_DATA949__" hidden="1">#REF!,#REF!,#REF!,#REF!,#REF!,#REF!,#REF!,#REF!,#REF!,#REF!,#REF!,#REF!,#REF!,#REF!,#REF!</definedName>
    <definedName name="__APW_RESTORE_DATA95__" hidden="1">#REF!,#REF!</definedName>
    <definedName name="__APW_RESTORE_DATA950__" hidden="1">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hidden="1">#REF!,#REF!,#REF!,#REF!,#REF!,#REF!,#REF!,#REF!,#REF!,#REF!,#REF!,#REF!,#REF!,#REF!,#REF!</definedName>
    <definedName name="__APW_RESTORE_DATA96__" hidden="1">#REF!,#REF!,#REF!,#REF!,#REF!,#REF!,#REF!,#REF!,#REF!,#REF!,#REF!,#REF!,#REF!,#REF!,#REF!</definedName>
    <definedName name="__APW_RESTORE_DATA960__" hidden="1">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hidden="1">#REF!,#REF!,#REF!,#REF!,#REF!,#REF!,#REF!,#REF!,#REF!,#REF!,#REF!,#REF!,#REF!,#REF!,#REF!</definedName>
    <definedName name="__APW_RESTORE_DATA963__" hidden="1">#REF!,#REF!,#REF!,#REF!,#REF!,#REF!,#REF!,#REF!,#REF!,#REF!,#REF!,#REF!,#REF!,#REF!,#REF!</definedName>
    <definedName name="__APW_RESTORE_DATA964__" hidden="1">#REF!,#REF!,#REF!,#REF!,#REF!,#REF!,#REF!,#REF!,#REF!,#REF!,#REF!,#REF!,#REF!,#REF!,#REF!</definedName>
    <definedName name="__APW_RESTORE_DATA965__" hidden="1">#REF!,#REF!,#REF!,#REF!,#REF!,#REF!,#REF!,#REF!,#REF!,#REF!,#REF!,#REF!,#REF!,#REF!,#REF!</definedName>
    <definedName name="__APW_RESTORE_DATA966__" hidden="1">#REF!,#REF!,#REF!,#REF!,#REF!,#REF!,#REF!,#REF!,#REF!,#REF!,#REF!,#REF!,#REF!,#REF!,#REF!</definedName>
    <definedName name="__APW_RESTORE_DATA967__" hidden="1">#REF!,#REF!,#REF!,#REF!,#REF!,#REF!,#REF!,#REF!,#REF!,#REF!,#REF!,#REF!,#REF!,#REF!,#REF!</definedName>
    <definedName name="__APW_RESTORE_DATA968__" hidden="1">#REF!,#REF!,#REF!,#REF!,#REF!,#REF!,#REF!,#REF!,#REF!,#REF!,#REF!,#REF!,#REF!,#REF!,#REF!</definedName>
    <definedName name="__APW_RESTORE_DATA969__" hidden="1">#REF!,#REF!,#REF!,#REF!,#REF!,#REF!</definedName>
    <definedName name="__APW_RESTORE_DATA97__" hidden="1">#REF!,#REF!,#REF!,#REF!,#REF!,#REF!,#REF!,#REF!,#REF!,#REF!,#REF!,#REF!,#REF!,#REF!,#REF!</definedName>
    <definedName name="__APW_RESTORE_DATA970__" hidden="1">#REF!,#REF!,#REF!,#REF!,#REF!,#REF!,#REF!,#REF!,#REF!,#REF!,#REF!,#REF!,#REF!,#REF!,#REF!,#REF!</definedName>
    <definedName name="__APW_RESTORE_DATA971__" hidden="1">#REF!,#REF!,#REF!,#REF!,#REF!,#REF!,#REF!,#REF!,#REF!,#REF!,#REF!,#REF!,#REF!,#REF!,#REF!,#REF!</definedName>
    <definedName name="__APW_RESTORE_DATA972__" hidden="1">#REF!,#REF!,#REF!,#REF!,#REF!,#REF!,#REF!,#REF!,#REF!,#REF!,#REF!,#REF!,#REF!,#REF!,#REF!,#REF!</definedName>
    <definedName name="__APW_RESTORE_DATA973__" hidden="1">#REF!,#REF!,#REF!,#REF!,#REF!,#REF!,#REF!,#REF!,#REF!,#REF!,#REF!,#REF!,#REF!,#REF!,#REF!,#REF!</definedName>
    <definedName name="__APW_RESTORE_DATA974__" hidden="1">#REF!,#REF!,#REF!,#REF!,#REF!,#REF!,#REF!,#REF!,#REF!,#REF!,#REF!,#REF!,#REF!,#REF!,#REF!,#REF!</definedName>
    <definedName name="__APW_RESTORE_DATA975__" hidden="1">#REF!,#REF!,#REF!,#REF!,#REF!,#REF!,#REF!,#REF!,#REF!,#REF!,#REF!,#REF!,#REF!,#REF!,#REF!,#REF!</definedName>
    <definedName name="__APW_RESTORE_DATA976__" hidden="1">#REF!,#REF!,#REF!,#REF!,#REF!,#REF!,#REF!,#REF!,#REF!,#REF!,#REF!,#REF!,#REF!,#REF!,#REF!</definedName>
    <definedName name="__APW_RESTORE_DATA977__" hidden="1">#REF!,#REF!,#REF!,#REF!,#REF!,#REF!,#REF!,#REF!,#REF!,#REF!,#REF!,#REF!,#REF!,#REF!,#REF!</definedName>
    <definedName name="__APW_RESTORE_DATA978__" hidden="1">#REF!,#REF!,#REF!,#REF!,#REF!,#REF!,#REF!,#REF!,#REF!,#REF!,#REF!,#REF!,#REF!,#REF!,#REF!</definedName>
    <definedName name="__APW_RESTORE_DATA979__" hidden="1">#REF!,#REF!,#REF!,#REF!,#REF!,#REF!,#REF!,#REF!,#REF!,#REF!,#REF!,#REF!,#REF!,#REF!,#REF!</definedName>
    <definedName name="__APW_RESTORE_DATA98__" hidden="1">#REF!,#REF!,#REF!,#REF!,#REF!,#REF!,#REF!,#REF!,#REF!,#REF!,#REF!,#REF!,#REF!,#REF!,#REF!</definedName>
    <definedName name="__APW_RESTORE_DATA980__" hidden="1">#REF!,#REF!,#REF!,#REF!,#REF!,#REF!,#REF!,#REF!,#REF!,#REF!,#REF!,#REF!,#REF!,#REF!,#REF!</definedName>
    <definedName name="__APW_RESTORE_DATA981__" hidden="1">#REF!,#REF!,#REF!,#REF!,#REF!,#REF!,#REF!,#REF!,#REF!,#REF!,#REF!,#REF!,#REF!,#REF!,#REF!</definedName>
    <definedName name="__APW_RESTORE_DATA982__" hidden="1">#REF!,#REF!,#REF!,#REF!,#REF!,#REF!,#REF!,#REF!,#REF!,#REF!,#REF!,#REF!,#REF!,#REF!,#REF!</definedName>
    <definedName name="__APW_RESTORE_DATA983__" hidden="1">#REF!,#REF!,#REF!,#REF!,#REF!,#REF!,#REF!,#REF!,#REF!,#REF!,#REF!,#REF!,#REF!,#REF!,#REF!</definedName>
    <definedName name="__APW_RESTORE_DATA984__" hidden="1">#REF!,#REF!,#REF!,#REF!,#REF!,#REF!,#REF!,#REF!,#REF!,#REF!,#REF!,#REF!,#REF!,#REF!,#REF!</definedName>
    <definedName name="__APW_RESTORE_DATA985__" hidden="1">#REF!,#REF!,#REF!,#REF!,#REF!,#REF!,#REF!,#REF!,#REF!,#REF!,#REF!,#REF!,#REF!,#REF!,#REF!</definedName>
    <definedName name="__APW_RESTORE_DATA986__" hidden="1">#REF!,#REF!,#REF!,#REF!,#REF!,#REF!,#REF!,#REF!,#REF!,#REF!,#REF!,#REF!,#REF!,#REF!,#REF!</definedName>
    <definedName name="__APW_RESTORE_DATA987__" hidden="1">#REF!,#REF!,#REF!,#REF!,#REF!,#REF!,#REF!,#REF!,#REF!,#REF!,#REF!,#REF!,#REF!,#REF!,#REF!</definedName>
    <definedName name="__APW_RESTORE_DATA988__" hidden="1">#REF!,#REF!,#REF!,#REF!,#REF!,#REF!,#REF!,#REF!,#REF!,#REF!,#REF!,#REF!,#REF!,#REF!,#REF!</definedName>
    <definedName name="__APW_RESTORE_DATA989__" hidden="1">#REF!,#REF!,#REF!,#REF!,#REF!,#REF!,#REF!,#REF!,#REF!,#REF!,#REF!,#REF!,#REF!,#REF!,#REF!</definedName>
    <definedName name="__APW_RESTORE_DATA99__" hidden="1">#REF!,#REF!,#REF!,#REF!,#REF!,#REF!,#REF!,#REF!,#REF!,#REF!,#REF!,#REF!,#REF!,#REF!,#REF!</definedName>
    <definedName name="__APW_RESTORE_DATA990__" hidden="1">#REF!,#REF!,#REF!,#REF!,#REF!,#REF!,#REF!,#REF!,#REF!,#REF!,#REF!,#REF!,#REF!,#REF!,#REF!</definedName>
    <definedName name="__APW_RESTORE_DATA991__" hidden="1">#REF!,#REF!,#REF!,#REF!,#REF!,#REF!,#REF!,#REF!,#REF!,#REF!,#REF!,#REF!,#REF!,#REF!,#REF!</definedName>
    <definedName name="__APW_RESTORE_DATA992__" hidden="1">#REF!,#REF!,#REF!,#REF!,#REF!,#REF!,#REF!,#REF!,#REF!,#REF!,#REF!,#REF!,#REF!,#REF!,#REF!</definedName>
    <definedName name="__APW_RESTORE_DATA993__" hidden="1">#REF!,#REF!,#REF!,#REF!,#REF!,#REF!,#REF!,#REF!,#REF!,#REF!,#REF!,#REF!,#REF!,#REF!,#REF!</definedName>
    <definedName name="__APW_RESTORE_DATA994__" hidden="1">#REF!,#REF!,#REF!,#REF!,#REF!,#REF!,#REF!,#REF!,#REF!,#REF!,#REF!,#REF!,#REF!,#REF!,#REF!</definedName>
    <definedName name="__APW_RESTORE_DATA995__" hidden="1">#REF!,#REF!,#REF!,#REF!,#REF!,#REF!,#REF!,#REF!,#REF!,#REF!,#REF!,#REF!,#REF!,#REF!,#REF!</definedName>
    <definedName name="__APW_RESTORE_DATA996__" hidden="1">#REF!,#REF!,#REF!,#REF!,#REF!,#REF!,#REF!,#REF!,#REF!,#REF!,#REF!,#REF!,#REF!,#REF!,#REF!</definedName>
    <definedName name="__APW_RESTORE_DATA997__" hidden="1">#REF!,#REF!,#REF!,#REF!,#REF!,#REF!,#REF!,#REF!,#REF!,#REF!,#REF!,#REF!,#REF!,#REF!,#REF!</definedName>
    <definedName name="__APW_RESTORE_DATA998__" hidden="1">#REF!,#REF!,#REF!,#REF!,#REF!,#REF!,#REF!,#REF!,#REF!,#REF!,#REF!,#REF!,#REF!,#REF!,#REF!</definedName>
    <definedName name="__APW_RESTORE_DATA999__" hidden="1">#REF!,#REF!,#REF!,#REF!,#REF!,#REF!,#REF!,#REF!,#REF!,#REF!,#REF!,#REF!,#REF!,#REF!,#REF!</definedName>
    <definedName name="__APW_RESTORE_HYPERLINK0__" hidden="1">#REF!</definedName>
    <definedName name="__APW_RESTORE_HYPERLINK1__" hidden="1">#REF!</definedName>
    <definedName name="__APW_RESTORE_HYPERLINK10__" hidden="1">#REF!</definedName>
    <definedName name="__APW_RESTORE_HYPERLINK100__" hidden="1">#REF!</definedName>
    <definedName name="__APW_RESTORE_HYPERLINK101__" hidden="1">#REF!</definedName>
    <definedName name="__APW_RESTORE_HYPERLINK102__" hidden="1">#REF!</definedName>
    <definedName name="__APW_RESTORE_HYPERLINK103__" hidden="1">#REF!</definedName>
    <definedName name="__APW_RESTORE_HYPERLINK104__" hidden="1">#REF!</definedName>
    <definedName name="__APW_RESTORE_HYPERLINK105__" hidden="1">#REF!</definedName>
    <definedName name="__APW_RESTORE_HYPERLINK106__" hidden="1">#REF!</definedName>
    <definedName name="__APW_RESTORE_HYPERLINK107__" hidden="1">#REF!</definedName>
    <definedName name="__APW_RESTORE_HYPERLINK108__" hidden="1">#REF!</definedName>
    <definedName name="__APW_RESTORE_HYPERLINK109__" hidden="1">#REF!</definedName>
    <definedName name="__APW_RESTORE_HYPERLINK11__" hidden="1">#REF!</definedName>
    <definedName name="__APW_RESTORE_HYPERLINK110__" hidden="1">#REF!</definedName>
    <definedName name="__APW_RESTORE_HYPERLINK111__" hidden="1">#REF!</definedName>
    <definedName name="__APW_RESTORE_HYPERLINK112__" hidden="1">#REF!</definedName>
    <definedName name="__APW_RESTORE_HYPERLINK113__" hidden="1">#REF!</definedName>
    <definedName name="__APW_RESTORE_HYPERLINK114__" hidden="1">#REF!</definedName>
    <definedName name="__APW_RESTORE_HYPERLINK115__" hidden="1">#REF!</definedName>
    <definedName name="__APW_RESTORE_HYPERLINK116__" hidden="1">#REF!</definedName>
    <definedName name="__APW_RESTORE_HYPERLINK117__" hidden="1">#REF!</definedName>
    <definedName name="__APW_RESTORE_HYPERLINK118__" hidden="1">#REF!</definedName>
    <definedName name="__APW_RESTORE_HYPERLINK12__" hidden="1">#REF!</definedName>
    <definedName name="__APW_RESTORE_HYPERLINK13__" hidden="1">#REF!</definedName>
    <definedName name="__APW_RESTORE_HYPERLINK14__" hidden="1">#REF!</definedName>
    <definedName name="__APW_RESTORE_HYPERLINK15__" hidden="1">#REF!</definedName>
    <definedName name="__APW_RESTORE_HYPERLINK16__" hidden="1">#REF!</definedName>
    <definedName name="__APW_RESTORE_HYPERLINK17__" hidden="1">#REF!</definedName>
    <definedName name="__APW_RESTORE_HYPERLINK18__" hidden="1">#REF!</definedName>
    <definedName name="__APW_RESTORE_HYPERLINK19__" hidden="1">#REF!</definedName>
    <definedName name="__APW_RESTORE_HYPERLINK2__" hidden="1">#REF!</definedName>
    <definedName name="__APW_RESTORE_HYPERLINK20__" hidden="1">#REF!</definedName>
    <definedName name="__APW_RESTORE_HYPERLINK21__" hidden="1">#REF!</definedName>
    <definedName name="__APW_RESTORE_HYPERLINK22__" hidden="1">#REF!</definedName>
    <definedName name="__APW_RESTORE_HYPERLINK23__" hidden="1">#REF!</definedName>
    <definedName name="__APW_RESTORE_HYPERLINK24__" hidden="1">#REF!</definedName>
    <definedName name="__APW_RESTORE_HYPERLINK25__" hidden="1">#REF!</definedName>
    <definedName name="__APW_RESTORE_HYPERLINK26__" hidden="1">#REF!</definedName>
    <definedName name="__APW_RESTORE_HYPERLINK27__" hidden="1">#REF!</definedName>
    <definedName name="__APW_RESTORE_HYPERLINK28__" hidden="1">#REF!</definedName>
    <definedName name="__APW_RESTORE_HYPERLINK29__" hidden="1">#REF!</definedName>
    <definedName name="__APW_RESTORE_HYPERLINK3__" hidden="1">#REF!</definedName>
    <definedName name="__APW_RESTORE_HYPERLINK30__" hidden="1">#REF!</definedName>
    <definedName name="__APW_RESTORE_HYPERLINK31__" hidden="1">#REF!</definedName>
    <definedName name="__APW_RESTORE_HYPERLINK32__" hidden="1">#REF!</definedName>
    <definedName name="__APW_RESTORE_HYPERLINK33__" hidden="1">#REF!</definedName>
    <definedName name="__APW_RESTORE_HYPERLINK34__" hidden="1">#REF!</definedName>
    <definedName name="__APW_RESTORE_HYPERLINK35__" hidden="1">#REF!</definedName>
    <definedName name="__APW_RESTORE_HYPERLINK36__" hidden="1">#REF!</definedName>
    <definedName name="__APW_RESTORE_HYPERLINK37__" hidden="1">#REF!</definedName>
    <definedName name="__APW_RESTORE_HYPERLINK38__" hidden="1">#REF!</definedName>
    <definedName name="__APW_RESTORE_HYPERLINK39__" hidden="1">#REF!</definedName>
    <definedName name="__APW_RESTORE_HYPERLINK4__" hidden="1">#REF!</definedName>
    <definedName name="__APW_RESTORE_HYPERLINK40__" hidden="1">#REF!</definedName>
    <definedName name="__APW_RESTORE_HYPERLINK41__" hidden="1">#REF!</definedName>
    <definedName name="__APW_RESTORE_HYPERLINK42__" hidden="1">#REF!</definedName>
    <definedName name="__APW_RESTORE_HYPERLINK43__" hidden="1">#REF!</definedName>
    <definedName name="__APW_RESTORE_HYPERLINK44__" hidden="1">#REF!</definedName>
    <definedName name="__APW_RESTORE_HYPERLINK45__" hidden="1">#REF!</definedName>
    <definedName name="__APW_RESTORE_HYPERLINK46__" hidden="1">#REF!</definedName>
    <definedName name="__APW_RESTORE_HYPERLINK47__" hidden="1">#REF!</definedName>
    <definedName name="__APW_RESTORE_HYPERLINK48__" hidden="1">#REF!</definedName>
    <definedName name="__APW_RESTORE_HYPERLINK49__" hidden="1">#REF!</definedName>
    <definedName name="__APW_RESTORE_HYPERLINK5__" hidden="1">#REF!</definedName>
    <definedName name="__APW_RESTORE_HYPERLINK50__" hidden="1">#REF!</definedName>
    <definedName name="__APW_RESTORE_HYPERLINK51__" hidden="1">#REF!</definedName>
    <definedName name="__APW_RESTORE_HYPERLINK52__" hidden="1">#REF!</definedName>
    <definedName name="__APW_RESTORE_HYPERLINK53__" hidden="1">#REF!</definedName>
    <definedName name="__APW_RESTORE_HYPERLINK54__" hidden="1">#REF!</definedName>
    <definedName name="__APW_RESTORE_HYPERLINK55__" hidden="1">#REF!</definedName>
    <definedName name="__APW_RESTORE_HYPERLINK56__" hidden="1">#REF!</definedName>
    <definedName name="__APW_RESTORE_HYPERLINK57__" hidden="1">#REF!</definedName>
    <definedName name="__APW_RESTORE_HYPERLINK58__" hidden="1">#REF!</definedName>
    <definedName name="__APW_RESTORE_HYPERLINK59__" hidden="1">#REF!</definedName>
    <definedName name="__APW_RESTORE_HYPERLINK6__" hidden="1">#REF!</definedName>
    <definedName name="__APW_RESTORE_HYPERLINK60__" hidden="1">#REF!</definedName>
    <definedName name="__APW_RESTORE_HYPERLINK61__" hidden="1">#REF!</definedName>
    <definedName name="__APW_RESTORE_HYPERLINK62__" hidden="1">#REF!</definedName>
    <definedName name="__APW_RESTORE_HYPERLINK63__" hidden="1">#REF!</definedName>
    <definedName name="__APW_RESTORE_HYPERLINK64__" hidden="1">#REF!</definedName>
    <definedName name="__APW_RESTORE_HYPERLINK65__" hidden="1">#REF!</definedName>
    <definedName name="__APW_RESTORE_HYPERLINK66__" hidden="1">#REF!</definedName>
    <definedName name="__APW_RESTORE_HYPERLINK67__" hidden="1">#REF!</definedName>
    <definedName name="__APW_RESTORE_HYPERLINK68__" hidden="1">#REF!</definedName>
    <definedName name="__APW_RESTORE_HYPERLINK69__" hidden="1">#REF!</definedName>
    <definedName name="__APW_RESTORE_HYPERLINK7__" hidden="1">#REF!</definedName>
    <definedName name="__APW_RESTORE_HYPERLINK70__" hidden="1">#REF!</definedName>
    <definedName name="__APW_RESTORE_HYPERLINK71__" hidden="1">#REF!</definedName>
    <definedName name="__APW_RESTORE_HYPERLINK72__" hidden="1">#REF!</definedName>
    <definedName name="__APW_RESTORE_HYPERLINK73__" hidden="1">#REF!</definedName>
    <definedName name="__APW_RESTORE_HYPERLINK74__" hidden="1">#REF!</definedName>
    <definedName name="__APW_RESTORE_HYPERLINK75__" hidden="1">#REF!</definedName>
    <definedName name="__APW_RESTORE_HYPERLINK76__" hidden="1">#REF!</definedName>
    <definedName name="__APW_RESTORE_HYPERLINK77__" hidden="1">#REF!</definedName>
    <definedName name="__APW_RESTORE_HYPERLINK78__" hidden="1">#REF!</definedName>
    <definedName name="__APW_RESTORE_HYPERLINK79__" hidden="1">#REF!</definedName>
    <definedName name="__APW_RESTORE_HYPERLINK8__" hidden="1">#REF!</definedName>
    <definedName name="__APW_RESTORE_HYPERLINK80__" hidden="1">#REF!</definedName>
    <definedName name="__APW_RESTORE_HYPERLINK81__" hidden="1">#REF!</definedName>
    <definedName name="__APW_RESTORE_HYPERLINK82__" hidden="1">#REF!</definedName>
    <definedName name="__APW_RESTORE_HYPERLINK83__" hidden="1">#REF!</definedName>
    <definedName name="__APW_RESTORE_HYPERLINK84__" hidden="1">#REF!</definedName>
    <definedName name="__APW_RESTORE_HYPERLINK85__" hidden="1">#REF!</definedName>
    <definedName name="__APW_RESTORE_HYPERLINK86__" hidden="1">#REF!</definedName>
    <definedName name="__APW_RESTORE_HYPERLINK87__" hidden="1">#REF!</definedName>
    <definedName name="__APW_RESTORE_HYPERLINK88__" hidden="1">#REF!</definedName>
    <definedName name="__APW_RESTORE_HYPERLINK89__" hidden="1">#REF!</definedName>
    <definedName name="__APW_RESTORE_HYPERLINK9__" hidden="1">#REF!</definedName>
    <definedName name="__APW_RESTORE_HYPERLINK90__" hidden="1">#REF!</definedName>
    <definedName name="__APW_RESTORE_HYPERLINK91__" hidden="1">#REF!</definedName>
    <definedName name="__APW_RESTORE_HYPERLINK92__" hidden="1">#REF!</definedName>
    <definedName name="__APW_RESTORE_HYPERLINK93__" hidden="1">#REF!</definedName>
    <definedName name="__APW_RESTORE_HYPERLINK94__" hidden="1">#REF!</definedName>
    <definedName name="__APW_RESTORE_HYPERLINK95__" hidden="1">#REF!</definedName>
    <definedName name="__APW_RESTORE_HYPERLINK96__" hidden="1">#REF!</definedName>
    <definedName name="__APW_RESTORE_HYPERLINK97__" hidden="1">#REF!</definedName>
    <definedName name="__APW_RESTORE_HYPERLINK98__" hidden="1">#REF!</definedName>
    <definedName name="__APW_RESTORE_HYPERLINK99__" hidden="1">#REF!</definedName>
    <definedName name="__aro30" hidden="1">{#N/A,#N/A,FALSE,"Staffnos &amp; cost"}</definedName>
    <definedName name="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b1" hidden="1">Word</definedName>
    <definedName name="__b111" hidden="1">{#N/A,#N/A,FALSE,"Pharm";#N/A,#N/A,FALSE,"WWCM"}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IO1" hidden="1">{"toc1",#N/A,FALSE,"TOC";"cover",#N/A,FALSE,"Cover";"ts1",#N/A,FALSE,"Transaction Summary";"ei3",#N/A,FALSE,"Earnings Impact";"ad3",#N/A,FALSE,"accretion dilution"}</definedName>
    <definedName name="__bud3" hidden="1">{"budget95",#N/A,TRUE,"Tabelle1";"Tab1",#N/A,TRUE,"Tabelle2"}</definedName>
    <definedName name="__c" hidden="1">{"budget95",#N/A,TRUE,"Tabelle1";"Tab1",#N/A,TRUE,"Tabelle2"}</definedName>
    <definedName name="__CAP10" hidden="1">{"LC",#N/A,FALSE,"FC-15 Cap Expend"}</definedName>
    <definedName name="__Co50" hidden="1">{#N/A,"DR",FALSE,"increm pf";#N/A,"MAMSI",FALSE,"increm pf";#N/A,"MAXI",FALSE,"increm pf";#N/A,"PCAM",FALSE,"increm pf";#N/A,"PHSV",FALSE,"increm pf";#N/A,"SIE",FALSE,"increm pf"}</definedName>
    <definedName name="__cum1" hidden="1">{"SCM_Detail",#N/A,FALSE,"SCM";"SCM_Top",#N/A,FALSE,"SCM"}</definedName>
    <definedName name="__CuN3" hidden="1">{#N/A,#N/A,FALSE,"WOBE_DE.XLS";#N/A,#N/A,FALSE,"WOB_1.XLS";#N/A,#N/A,FALSE,"WOB_2.XLS";#N/A,#N/A,FALSE,"WOB_3.XLS";#N/A,#N/A,FALSE,"WOB_4.XLS";#N/A,#N/A,FALSE,"WOB_5.XLS"}</definedName>
    <definedName name="__d1" hidden="1">{#N/A,#N/A,FALSE,"bel";#N/A,#N/A,FALSE,"neth"}</definedName>
    <definedName name="_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F4" hidden="1">#REF!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P6434" hidden="1">{"TOTALDPAK",#N/A,FALSE,"DPAK PRODUCTION";"HADPAK",#N/A,FALSE,"DPAK PRODUCTION";"PSIDPAK",#N/A,FALSE,"DPAK PRODUCTION"}</definedName>
    <definedName name="__dsd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_dwa1" hidden="1">{#N/A,"PURCHM",FALSE,"Business Analysis";#N/A,"SPADD",FALSE,"Business Analysis"}</definedName>
    <definedName name="__eo2" hidden="1">{"'B1'!$B$3:$E$3"}</definedName>
    <definedName name="__eo4" hidden="1">{"'B1'!$B$3:$E$3"}</definedName>
    <definedName name="__eu93" hidden="1">{"Comp_of_Price_Effect",#N/A,FALSE,"QTRDPVAR"}</definedName>
    <definedName name="__ew10" hidden="1">{"'B1'!$B$3:$E$3"}</definedName>
    <definedName name="__ew2" hidden="1">{"'B1'!$B$3:$E$3"}</definedName>
    <definedName name="__ew3" hidden="1">{"'B1'!$B$3:$E$3"}</definedName>
    <definedName name="__ew4" hidden="1">{"'B1'!$B$3:$E$3"}</definedName>
    <definedName name="__ew5" hidden="1">{"'B1'!$B$3:$E$3"}</definedName>
    <definedName name="__ew6" hidden="1">{"'B1'!$B$3:$E$3"}</definedName>
    <definedName name="__ew8" hidden="1">{"'B1'!$B$3:$E$3"}</definedName>
    <definedName name="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FDS_HYPERLINK_TOGGLE_STATE__" hidden="1">"ON"</definedName>
    <definedName name="__FDS_UNIQUE_RANGE_ID_GENERATOR_COUNTER" hidden="1">2</definedName>
    <definedName name="__FDS_USED_FOR_REUSING_RANGE_IDS_RECYCLE" hidden="1">{2129,1901,1644,1624,1795,2136,2137}</definedName>
    <definedName name="__fy97" hidden="1">{#N/A,#N/A,FALSE,"FY97";#N/A,#N/A,FALSE,"FY98";#N/A,#N/A,FALSE,"FY99";#N/A,#N/A,FALSE,"FY00";#N/A,#N/A,FALSE,"FY01"}</definedName>
    <definedName name="__G1" hidden="1">{"'Future Reviews'!$A$1:$D$58"}</definedName>
    <definedName name="__gh1" hidden="1">{"'Data'!$A$1:$D$17"}</definedName>
    <definedName name="__guv1" hidden="1">{"K GuV o. Kommentar",#N/A,FALSE,"Kaufhof"}</definedName>
    <definedName name="__guv3" hidden="1">{"K GuV o. Kommentar",#N/A,FALSE,"Kaufhof"}</definedName>
    <definedName name="__hk01" hidden="1">{"budget95",#N/A,TRUE,"Tabelle1";"Tab1",#N/A,TRUE,"Tabelle2"}</definedName>
    <definedName name="__i3" hidden="1">{"vue1",#N/A,FALSE,"synthese";"vue2",#N/A,FALSE,"synthese"}</definedName>
    <definedName name="__IntlFixup" hidden="1">TRUE</definedName>
    <definedName name="__IntlFixupTable" hidden="1">#REF!</definedName>
    <definedName name="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 hidden="1">#REF!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M6" hidden="1">{"SUMM",#N/A,TRUE,"C";"ACT_PROD",#N/A,TRUE,"A";"ACT_SHIP",#N/A,TRUE,"A";"BP_YLD",#N/A,TRUE,"B";"ACTZ_PROD",#N/A,TRUE,"D";"ACTZ_SHIP",#N/A,TRUE,"D";"ACTZ_YLD",#N/A,TRUE,"E";"CPSI_PROD",#N/A,TRUE,"F";"CPSI_SHIP",#N/A,TRUE,"F"}</definedName>
    <definedName name="__Mar08" hidden="1">{#N/A,#N/A,FALSE,"Aging Summary";#N/A,#N/A,FALSE,"Ratio Analysis";#N/A,#N/A,FALSE,"Test 120 Day Accts";#N/A,#N/A,FALSE,"Tickmarks"}</definedName>
    <definedName name="__mno9" hidden="1">{"detail",#N/A,FALSE,"mfg";"summary",#N/A,FALSE,"mfg"}</definedName>
    <definedName name="__mw2" hidden="1">{"budget95",#N/A,TRUE,"Tabelle1";"Tab1",#N/A,TRUE,"Tabelle2"}</definedName>
    <definedName name="__mw3" hidden="1">{"budget95",#N/A,TRUE,"Tabelle1";"Tab1",#N/A,TRUE,"Tabelle2"}</definedName>
    <definedName name="__n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__na2" hidden="1">{"'SIVA Pricing Model'!$A$1:$F$39"}</definedName>
    <definedName name="__na3" hidden="1">{"'SIVA Pricing Model'!$A$1:$F$39"}</definedName>
    <definedName name="__new1" hidden="1">{#N/A,#N/A,FALSE,"Pharm";#N/A,#N/A,FALSE,"WWCM"}</definedName>
    <definedName name="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new3" hidden="1">{"FY98Q1 nvs",#N/A,FALSE,"FY98 - Q1";"FY98Q2 nvs",#N/A,FALSE,"FY98 - Q2";"FY98Q3 nvs",#N/A,FALSE,"FY98 - Q3";"FY98Q4 nvs",#N/A,FALSE,"FY98 - Q4"}</definedName>
    <definedName name="__new4" hidden="1">{"INPUT",#N/A,FALSE,"REVENUE AND GM ";"CONTROL",#N/A,FALSE,"REVENUE AND GM ";"SWITCH",#N/A,FALSE,"REVENUE AND GM ";"OUTPUT",#N/A,FALSE,"REVENUE AND GM ";"TOTAL",#N/A,FALSE,"REVENUE AND GM "}</definedName>
    <definedName name="__new5" hidden="1">{"FY97Total",#N/A,FALSE,"FY97 - Total";"FY98Total",#N/A,FALSE,"FY98 - Total"}</definedName>
    <definedName name="__new6" hidden="1">{"FY97Q1",#N/A,FALSE,"FY97 - Q1";"FY97Q2",#N/A,FALSE,"FY97 - Q2";"FY97Q3",#N/A,FALSE,"FY97 - Q3";"FY97Q4",#N/A,FALSE,"FY97 - Q4"}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ld3" hidden="1">{0,FALSE,4.45014771701848E-308,0}</definedName>
    <definedName name="__OSX2" hidden="1">{"Area1",#N/A,FALSE,"OREWACC";"Area2",#N/A,FALSE,"OREWACC"}</definedName>
    <definedName name="__P2" hidden="1">{#N/A,#N/A,FALSE,"단축1";#N/A,#N/A,FALSE,"단축2";#N/A,#N/A,FALSE,"단축3";#N/A,#N/A,FALSE,"장축";#N/A,#N/A,FALSE,"4WD"}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234" hidden="1">#N/A</definedName>
    <definedName name="__q3" hidden="1">#REF!</definedName>
    <definedName name="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r" hidden="1">{"consolidated",#N/A,FALSE,"Sheet1";"cms",#N/A,FALSE,"Sheet1";"fse",#N/A,FALSE,"Sheet1"}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s" hidden="1">{"SCM_Detail",#N/A,FALSE,"SCM";"SCM_Top",#N/A,FALSE,"SCM"}</definedName>
    <definedName name="__s1" hidden="1">#N/A</definedName>
    <definedName name="__s2" hidden="1">#N/A</definedName>
    <definedName name="__s3" hidden="1">#N/A</definedName>
    <definedName name="__s34" hidden="1">{"QTD_GENERALH2",#N/A,FALSE,"QTD"}</definedName>
    <definedName name="__s4" hidden="1">#N/A</definedName>
    <definedName name="__s5" hidden="1">#N/A</definedName>
    <definedName name="__s6" hidden="1">#N/A</definedName>
    <definedName name="__sd34" hidden="1">{"QTD",#N/A,FALSE,"SUM"}</definedName>
    <definedName name="__SDW1" hidden="1">#REF!</definedName>
    <definedName name="__sdy001" hidden="1">{#N/A,#N/A,FALSE,"PrintM"}</definedName>
    <definedName name="__sdy01" hidden="1">{#N/A,#N/A,FALSE,"PrintM"}</definedName>
    <definedName name="__sdy1" hidden="1">{#N/A,#N/A,FALSE,"PrintM"}</definedName>
    <definedName name="__t1" hidden="1">{#N/A,#N/A,FALSE,"1996PL";#N/A,#N/A,FALSE,"1997PL";#N/A,#N/A,FALSE,"1998PL";#N/A,#N/A,FALSE,"1999PL"}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EM6434" hidden="1">{"ALLOCATION1",#N/A,FALSE,"EXPENSE ALLOCATIONS";"ALLOCATION2",#N/A,FALSE,"EXPENSE ALLOCATIONS";"ALLOCATION3",#N/A,FALSE,"EXPENSE ALLOCATIONS";"ALLOCATION4",#N/A,FALSE,"EXPENSE ALLOCATIONS"}</definedName>
    <definedName name="__tes2" hidden="1">{"'Expense Details'!$A$1:$AM$222"}</definedName>
    <definedName name="__Tes6" hidden="1">{"'SIVA Pricing Model'!$A$1:$F$39"}</definedName>
    <definedName name="__tm1" hidden="1">{#N/A,#N/A,FALSE,"Pharm";#N/A,#N/A,FALSE,"WWCM"}</definedName>
    <definedName name="__tom11" hidden="1">{"'Demand Units'!$Z$2:$AF$53"}</definedName>
    <definedName name="__tu7" hidden="1">{"sales",#N/A,FALSE,"Sales";"sales existing",#N/A,FALSE,"Sales";"sales rd1",#N/A,FALSE,"Sales";"sales rd2",#N/A,FALSE,"Sales"}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m3" hidden="1">{"vue1",#N/A,FALSE,"synthese";"vue2",#N/A,FALSE,"synthese"}</definedName>
    <definedName name="__wrn02" hidden="1">{#N/A,#N/A,FALSE,"Sheet2"}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wrn2" hidden="1">{"vue1",#N/A,FALSE,"synthese";"vue2",#N/A,FALSE,"synthese"}</definedName>
    <definedName name="__wrn3" hidden="1">{"vue1",#N/A,FALSE,"synthese";"vue2",#N/A,FALSE,"synthese"}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XG2" hidden="1">{#N/A,#N/A,FALSE,"단축1";#N/A,#N/A,FALSE,"단축2";#N/A,#N/A,FALSE,"단축3";#N/A,#N/A,FALSE,"장축";#N/A,#N/A,FALSE,"4WD"}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z" hidden="1">{"mgmt forecast",#N/A,FALSE,"Mgmt Forecast";"dcf table",#N/A,FALSE,"Mgmt Forecast";"sensitivity",#N/A,FALSE,"Mgmt Forecast";"table inputs",#N/A,FALSE,"Mgmt Forecast";"calculations",#N/A,FALSE,"Mgmt Forecast"}</definedName>
    <definedName name="__z10" hidden="1">{"'Future Reviews'!$A$1:$D$58"}</definedName>
    <definedName name="__z11" hidden="1">{"'Future Reviews'!$A$1:$D$58"}</definedName>
    <definedName name="__z12" hidden="1">{"'Future Reviews'!$A$1:$D$58"}</definedName>
    <definedName name="__z13" hidden="1">{"'Future Reviews'!$A$1:$D$58"}</definedName>
    <definedName name="__z2" hidden="1">{"'Future Reviews'!$A$1:$D$58"}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{"'Future Reviews'!$A$1:$D$58"}</definedName>
    <definedName name="__z4" hidden="1">{"'Future Reviews'!$A$1:$D$58"}</definedName>
    <definedName name="__z5" hidden="1">{"'Future Reviews'!$A$1:$D$58"}</definedName>
    <definedName name="__z6" hidden="1">{"'Future Reviews'!$A$1:$D$58"}</definedName>
    <definedName name="__z7" hidden="1">{"'Future Reviews'!$A$1:$D$58"}</definedName>
    <definedName name="__z8" hidden="1">{"'Future Reviews'!$A$1:$D$58"}</definedName>
    <definedName name="__z9" hidden="1">{"'Future Reviews'!$A$1:$D$58"}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1__123Graph_A__MW_VS_HR" hidden="1">#REF!</definedName>
    <definedName name="_1__123Graph_ACHART_1" hidden="1">#REF!</definedName>
    <definedName name="_1__123Graph_AChart_1A" hidden="1">#REF!</definedName>
    <definedName name="_1__FDSAUDITLINK__" hidden="1">{"fdsup://directions/FAT Viewer?action=UPDATE&amp;creator=factset&amp;DYN_ARGS=TRUE&amp;DOC_NAME=FAT:FQL_AUDITING_CLIENT_TEMPLATE.FAT&amp;display_string=Audit&amp;VAR:KEY=RUVWZSXWJY&amp;VAR:QUERY=RkZfRU5UUlBSX1ZBTF9EQUlMWSgtNkFNLC02QU0sLCwsJ0RJTCcp&amp;WINDOW=FIRST_POPUP&amp;HEIGHT=450&amp;WI","DTH=450&amp;START_MAXIMIZED=FALSE&amp;VAR:CALENDAR=FIVEDAY&amp;VAR:SYMBOL=B1HMC7&amp;VAR:INDEX=0"}</definedName>
    <definedName name="_1_0_0_K" hidden="1">#REF!</definedName>
    <definedName name="_10__123Graph_ACHART_1" hidden="1">#N/A</definedName>
    <definedName name="_10__123Graph_BCAPITAL_BY_OEM" hidden="1">#REF!</definedName>
    <definedName name="_10__123Graph_BCHART_2" hidden="1">#REF!</definedName>
    <definedName name="_10__123Graph_BCHART_3" hidden="1">#REF!</definedName>
    <definedName name="_10__123Graph_BCHART_4" hidden="1">#REF!</definedName>
    <definedName name="_10__123Graph_CCHART_1" hidden="1">#REF!</definedName>
    <definedName name="_10__123Graph_CCHART_3" hidden="1">#REF!</definedName>
    <definedName name="_10__123Graph_DChart_2A" hidden="1">#REF!</definedName>
    <definedName name="_10__123Graph_LBL_ACHART_2" hidden="1">#REF!</definedName>
    <definedName name="_1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0__123Graph_DCHART_4" hidden="1">#N/A</definedName>
    <definedName name="_100__123Graph_Dｸﾞﾗﾌ_2" hidden="1">#REF!</definedName>
    <definedName name="_10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1__123Graph_DCHART_6" hidden="1">#N/A</definedName>
    <definedName name="_10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1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1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1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1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1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1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1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__123Graph_DCHART_7" hidden="1">#N/A</definedName>
    <definedName name="_102__123Graph_Dｸﾞﾗﾌ_3" hidden="1">#REF!</definedName>
    <definedName name="_10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2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2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2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7__FDSAUDITLINK__" hidden="1">{"fdsup://Directions/FactSet Auditing Viewer?action=AUDIT_VALUE&amp;DB=129&amp;ID1=69037010&amp;VALUEID=03501&amp;SDATE=2009&amp;PERIODTYPE=ANN_STD&amp;window=popup_no_bar&amp;width=385&amp;height=120&amp;START_MAXIMIZED=FALSE&amp;creator=factset&amp;display_string=Audit"}</definedName>
    <definedName name="_1028__FDSAUDITLINK__" hidden="1">{"fdsup://Directions/FactSet Auditing Viewer?action=AUDIT_VALUE&amp;DB=129&amp;ID1=49918410&amp;VALUEID=03501&amp;SDATE=2009&amp;PERIODTYPE=ANN_STD&amp;window=popup_no_bar&amp;width=385&amp;height=120&amp;START_MAXIMIZED=FALSE&amp;creator=factset&amp;display_string=Audit"}</definedName>
    <definedName name="_1029__FDSAUDITLINK__" hidden="1">{"fdsup://Directions/FactSet Auditing Viewer?action=AUDIT_VALUE&amp;DB=129&amp;ID1=26224110&amp;VALUEID=03501&amp;SDATE=2009&amp;PERIODTYPE=ANN_STD&amp;window=popup_no_bar&amp;width=385&amp;height=120&amp;START_MAXIMIZED=FALSE&amp;creator=factset&amp;display_string=Audit"}</definedName>
    <definedName name="_103__123Graph_DCHART_8" hidden="1">#N/A</definedName>
    <definedName name="_10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30__FDSAUDITLINK__" hidden="1">{"fdsup://Directions/FactSet Auditing Viewer?action=AUDIT_VALUE&amp;DB=129&amp;ID1=B1G3JK&amp;VALUEID=03501&amp;SDATE=2009&amp;PERIODTYPE=ANN_STD&amp;window=popup_no_bar&amp;width=385&amp;height=120&amp;START_MAXIMIZED=FALSE&amp;creator=factset&amp;display_string=Audit"}</definedName>
    <definedName name="_1031__FDSAUDITLINK__" hidden="1">{"fdsup://Directions/FactSet Auditing Viewer?action=AUDIT_VALUE&amp;DB=129&amp;ID1=09578R10&amp;VALUEID=03501&amp;SDATE=2009&amp;PERIODTYPE=ANN_STD&amp;window=popup_no_bar&amp;width=385&amp;height=120&amp;START_MAXIMIZED=FALSE&amp;creator=factset&amp;display_string=Audit"}</definedName>
    <definedName name="_1032__FDSAUDITLINK__" hidden="1">{"fdsup://Directions/FactSet Auditing Viewer?action=AUDIT_VALUE&amp;DB=129&amp;ID1=B4YC9W&amp;VALUEID=03501&amp;SDATE=2009&amp;PERIODTYPE=ANN_STD&amp;window=popup_no_bar&amp;width=385&amp;height=120&amp;START_MAXIMIZED=FALSE&amp;creator=factset&amp;display_string=Audit"}</definedName>
    <definedName name="_1033__FDSAUDITLINK__" hidden="1">{"fdsup://Directions/FactSet Auditing Viewer?action=AUDIT_VALUE&amp;DB=129&amp;ID1=B292RC&amp;VALUEID=03501&amp;SDATE=2009&amp;PERIODTYPE=ANN_STD&amp;window=popup_no_bar&amp;width=385&amp;height=120&amp;START_MAXIMIZED=FALSE&amp;creator=factset&amp;display_string=Audit"}</definedName>
    <definedName name="_1034__FDSAUDITLINK__" hidden="1">{"fdsup://Directions/FactSet Auditing Viewer?action=AUDIT_VALUE&amp;DB=129&amp;ID1=309272&amp;VALUEID=03501&amp;SDATE=2009&amp;PERIODTYPE=ANN_STD&amp;window=popup_no_bar&amp;width=385&amp;height=120&amp;START_MAXIMIZED=FALSE&amp;creator=factset&amp;display_string=Audit"}</definedName>
    <definedName name="_103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3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3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3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3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4__123Graph_DCHART_9" hidden="1">#N/A</definedName>
    <definedName name="_10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4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5__123Graph_DINVAR_A" hidden="1">#N/A</definedName>
    <definedName name="_105__123Graph_LBL_ACHART_4" hidden="1">#REF!</definedName>
    <definedName name="_10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6__123Graph_DSS5_A" hidden="1">#N/A</definedName>
    <definedName name="_106__123Graph_Dｸﾞﾗﾌ_4" hidden="1">#REF!</definedName>
    <definedName name="_10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7__123Graph_DSS6_B" hidden="1">#N/A</definedName>
    <definedName name="_10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8__123Graph_DSS7_A" hidden="1">#N/A</definedName>
    <definedName name="_10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9__123Graph_E_Chart_1A" hidden="1">#N/A</definedName>
    <definedName name="_10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ALA642C761" hidden="1">#N/A</definedName>
    <definedName name="_10IQ_FHLB_DUE_CY" hidden="1">"c2082"</definedName>
    <definedName name="_10wrn.²Ä1­Ó¤ë1_Ü20¤H." hidden="1">{#N/A,#N/A,FALSE,"²Ä1­Ó¤ë"}</definedName>
    <definedName name="_11__123Graph_ACHART_1" hidden="1">#REF!</definedName>
    <definedName name="_11__123Graph_ACHART_2" hidden="1">#REF!</definedName>
    <definedName name="_11__123Graph_Aｸﾞﾗﾌ_1" hidden="1">#REF!</definedName>
    <definedName name="_11__123Graph_BCHART_5" hidden="1">#REF!</definedName>
    <definedName name="_11__123Graph_BHR_BY_OEM" hidden="1">#REF!</definedName>
    <definedName name="_11__123Graph_CCHART_8" hidden="1">#REF!</definedName>
    <definedName name="_11__123Graph_DCHART_2" hidden="1">#REF!</definedName>
    <definedName name="_11__123Graph_LBL_ACHART_3" hidden="1">#REF!</definedName>
    <definedName name="_11__123Graph_XCHART_1" hidden="1">#REF!</definedName>
    <definedName name="_1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0__123Graph_ECHART_10" hidden="1">#N/A</definedName>
    <definedName name="_110__123Graph_Eｸﾞﾗﾌ_1" hidden="1">#REF!</definedName>
    <definedName name="_11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1__123Graph_ECHART_11" hidden="1">#N/A</definedName>
    <definedName name="_111__123Graph_Eｸﾞﾗﾌ_2" hidden="1">#REF!</definedName>
    <definedName name="_11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2__123Graph_ECHART_12" hidden="1">#N/A</definedName>
    <definedName name="_112__123Graph_LBL_BCHART_3" hidden="1">#REF!</definedName>
    <definedName name="_11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3__123Graph_ECHART_13" hidden="1">#N/A</definedName>
    <definedName name="_113__123Graph_Eｸﾞﾗﾌ_3" hidden="1">#REF!</definedName>
    <definedName name="_11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4__123Graph_ECHART_14" hidden="1">#N/A</definedName>
    <definedName name="_11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5__123Graph_ECHART_15" hidden="1">#N/A</definedName>
    <definedName name="_11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5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5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5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5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5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__123Graph_ECHART_16" hidden="1">#N/A</definedName>
    <definedName name="_11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6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1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2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3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4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5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6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7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8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9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__123Graph_ECHART_17" hidden="1">#N/A</definedName>
    <definedName name="_117__123Graph_Eｸﾞﾗﾌ_4" hidden="1">#REF!</definedName>
    <definedName name="_11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70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1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2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__123Graph_ECHART_18" hidden="1">#N/A</definedName>
    <definedName name="_11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8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9__123Graph_ECHART_4" hidden="1">#N/A</definedName>
    <definedName name="_119__123Graph_LBL_BCHART_4" hidden="1">#REF!</definedName>
    <definedName name="_11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9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ALA642C761" hidden="1">#N/A</definedName>
    <definedName name="_12__123Graph_AC04C_ALL_T1" hidden="1">#REF!</definedName>
    <definedName name="_12__123Graph_ACHART_2" hidden="1">#REF!</definedName>
    <definedName name="_12__123Graph_ACHART_3" hidden="1">#REF!</definedName>
    <definedName name="_12__123Graph_Aｸﾞﾗﾌ_2" hidden="1">#REF!</definedName>
    <definedName name="_12__123Graph_BCHART_3" hidden="1">#REF!</definedName>
    <definedName name="_12__123Graph_BCHART_8" hidden="1">#REF!</definedName>
    <definedName name="_12__123Graph_BUNIT_BY_OEM" hidden="1">#REF!</definedName>
    <definedName name="_12__123Graph_CCHART_2" hidden="1">#REF!</definedName>
    <definedName name="_12__123Graph_DCHART_1" hidden="1">#REF!</definedName>
    <definedName name="_12__123Graph_DCHART_3" hidden="1">#REF!</definedName>
    <definedName name="_12__123Graph_LBL_DCHART_1" hidden="1">#REF!</definedName>
    <definedName name="_12__123Graph_XChart_1A" hidden="1">#REF!</definedName>
    <definedName name="_1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0__123Graph_ECHART_6" hidden="1">#N/A</definedName>
    <definedName name="_120__123Graph_Fｸﾞﾗﾌ_3" hidden="1">#REF!</definedName>
    <definedName name="_12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1__123Graph_ECHART_7" hidden="1">#N/A</definedName>
    <definedName name="_12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2__123Graph_ECHART_8" hidden="1">#N/A</definedName>
    <definedName name="_12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3__123Graph_ECHART_9" hidden="1">#N/A</definedName>
    <definedName name="_12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3Graph" hidden="1">#REF!</definedName>
    <definedName name="_123Graph_C" hidden="1">#REF!</definedName>
    <definedName name="_123Graph_Eグラフ4" hidden="1">#REF!</definedName>
    <definedName name="_124__123Graph_F_Chart_1A" hidden="1">#N/A</definedName>
    <definedName name="_12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5__123Graph_FCHART_10" hidden="1">#N/A</definedName>
    <definedName name="_12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6__123Graph_FCHART_11" hidden="1">#N/A</definedName>
    <definedName name="_126__123Graph_LBL_CCHART_3" hidden="1">#REF!</definedName>
    <definedName name="_12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7__123Graph_FCHART_12" hidden="1">#N/A</definedName>
    <definedName name="_12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7____S" hidden="1">#REF!</definedName>
    <definedName name="_128__123Graph_FCHART_13" hidden="1">#N/A</definedName>
    <definedName name="_12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8__0_S" hidden="1">#N/A</definedName>
    <definedName name="_129__123Graph_FCHART_14" hidden="1">#N/A</definedName>
    <definedName name="_129__FDSAUDITLINK__" hidden="1">{"fdsup://directions/FAT Viewer?action=UPDATE&amp;creator=factset&amp;DYN_ARGS=TRUE&amp;DOC_NAME=FAT:FQL_AUDITING_CLIENT_TEMPLATE.FAT&amp;display_string=Audit&amp;VAR:KEY=PMZSNUXCRE&amp;VAR:QUERY=RkZfRUJJVERBX0lCKEFOTiwyMDA3LCwsUkYsRVVSKQ==&amp;WINDOW=FIRST_POPUP&amp;HEIGHT=450&amp;WIDTH=450&amp;","START_MAXIMIZED=FALSE&amp;VAR:CALENDAR=FIVEDAY&amp;VAR:SYMBOL=471279&amp;VAR:INDEX=0"}</definedName>
    <definedName name="_12ALA642C761" hidden="1">#N/A</definedName>
    <definedName name="_13__123Graph_AC04C_ALL_L1" hidden="1">#REF!</definedName>
    <definedName name="_13__123Graph_ACHART_3" hidden="1">#REF!</definedName>
    <definedName name="_13__123Graph_BCHART_1" hidden="1">#N/A</definedName>
    <definedName name="_13__123Graph_Bｸﾞﾗﾌ_1" hidden="1">#REF!</definedName>
    <definedName name="_13__123Graph_CCAPITAL_BY_OEM" hidden="1">#REF!</definedName>
    <definedName name="_13__123Graph_CCHART_3" hidden="1">#REF!</definedName>
    <definedName name="_13__123Graph_DCHART_8" hidden="1">#REF!</definedName>
    <definedName name="_13__123Graph_LBL_ACHART_3" hidden="1">#REF!</definedName>
    <definedName name="_13__123Graph_LBL_DCHART_2" hidden="1">#REF!</definedName>
    <definedName name="_13__123Graph_XCHART_2" hidden="1">#REF!</definedName>
    <definedName name="_13__123Graph_XChart_2A" hidden="1">#REF!</definedName>
    <definedName name="_1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30__123Graph_FCHART_15" hidden="1">#N/A</definedName>
    <definedName name="_130__FDSAUDITLINK__" hidden="1">{"fdsup://directions/FAT Viewer?action=UPDATE&amp;creator=factset&amp;DYN_ARGS=TRUE&amp;DOC_NAME=FAT:FQL_AUDITING_CLIENT_TEMPLATE.FAT&amp;display_string=Audit&amp;VAR:KEY=XYVCRARQJI&amp;VAR:QUERY=RkZfRUJJVERBX0lCKEFOTiwyMDA5LCwsUkYsRVVSKQ==&amp;WINDOW=FIRST_POPUP&amp;HEIGHT=450&amp;WIDTH=450&amp;","START_MAXIMIZED=FALSE&amp;VAR:CALENDAR=FIVEDAY&amp;VAR:SYMBOL=549710&amp;VAR:INDEX=0"}</definedName>
    <definedName name="_131__123Graph_FCHART_16" hidden="1">#N/A</definedName>
    <definedName name="_131__FDSAUDITLINK__" hidden="1">{"fdsup://directions/FAT Viewer?action=UPDATE&amp;creator=factset&amp;DYN_ARGS=TRUE&amp;DOC_NAME=FAT:FQL_AUDITING_CLIENT_TEMPLATE.FAT&amp;display_string=Audit&amp;VAR:KEY=LGVQVYXIFQ&amp;VAR:QUERY=RkZfRUJJVERBX0lCKEFOTiwyMDA4LCwsUkYsRVVSKQ==&amp;WINDOW=FIRST_POPUP&amp;HEIGHT=450&amp;WIDTH=450&amp;","START_MAXIMIZED=FALSE&amp;VAR:CALENDAR=FIVEDAY&amp;VAR:SYMBOL=549710&amp;VAR:INDEX=0"}</definedName>
    <definedName name="_132__123Graph_FCHART_4" hidden="1">#N/A</definedName>
    <definedName name="_13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32__0_S" hidden="1">#REF!</definedName>
    <definedName name="_133__123Graph_FCHART_6" hidden="1">#N/A</definedName>
    <definedName name="_133__123Graph_LBL_Aｸﾞﾗﾌ_1" hidden="1">#REF!</definedName>
    <definedName name="_133__123Graph_XCHART_1" hidden="1">#REF!</definedName>
    <definedName name="_133__FDSAUDITLINK__" hidden="1">{"fdsup://directions/FAT Viewer?action=UPDATE&amp;creator=factset&amp;DYN_ARGS=TRUE&amp;DOC_NAME=FAT:FQL_AUDITING_CLIENT_TEMPLATE.FAT&amp;display_string=Audit&amp;VAR:KEY=BMFCFMJCHW&amp;VAR:QUERY=RkZfRUJJVERBX0lCKEFOTiwyMDA3LCwsUkYsRVVSKQ==&amp;WINDOW=FIRST_POPUP&amp;HEIGHT=450&amp;WIDTH=450&amp;","START_MAXIMIZED=FALSE&amp;VAR:CALENDAR=FIVEDAY&amp;VAR:SYMBOL=549710&amp;VAR:INDEX=0"}</definedName>
    <definedName name="_134__123Graph_FCHART_7" hidden="1">#N/A</definedName>
    <definedName name="_134__FDSAUDITLINK__" hidden="1">{"fdsup://directions/FAT Viewer?action=UPDATE&amp;creator=factset&amp;DYN_ARGS=TRUE&amp;DOC_NAME=FAT:FQL_AUDITING_CLIENT_TEMPLATE.FAT&amp;display_string=Audit&amp;VAR:KEY=XSVSNOVCPI&amp;VAR:QUERY=RkZfRUJJVERBX0lCKEFOTiwyMDA5LCwsUkYsRVVSKQ==&amp;WINDOW=FIRST_POPUP&amp;HEIGHT=450&amp;WIDTH=450&amp;","START_MAXIMIZED=FALSE&amp;VAR:CALENDAR=FIVEDAY&amp;VAR:SYMBOL=574852&amp;VAR:INDEX=0"}</definedName>
    <definedName name="_135__123Graph_FCHART_8" hidden="1">#N/A</definedName>
    <definedName name="_135__FDSAUDITLINK__" hidden="1">{"fdsup://directions/FAT Viewer?action=UPDATE&amp;creator=factset&amp;DYN_ARGS=TRUE&amp;DOC_NAME=FAT:FQL_AUDITING_CLIENT_TEMPLATE.FAT&amp;display_string=Audit&amp;VAR:KEY=BEPGLIVMBO&amp;VAR:QUERY=RkZfRUJJVERBX0lCKEFOTiwyMDA4LCwsUkYsRVVSKQ==&amp;WINDOW=FIRST_POPUP&amp;HEIGHT=450&amp;WIDTH=450&amp;","START_MAXIMIZED=FALSE&amp;VAR:CALENDAR=FIVEDAY&amp;VAR:SYMBOL=574852&amp;VAR:INDEX=0"}</definedName>
    <definedName name="_136__123Graph_FCHART_9" hidden="1">#N/A</definedName>
    <definedName name="_136__FDSAUDITLINK__" hidden="1">{"fdsup://directions/FAT Viewer?action=UPDATE&amp;creator=factset&amp;DYN_ARGS=TRUE&amp;DOC_NAME=FAT:FQL_AUDITING_CLIENT_TEMPLATE.FAT&amp;display_string=Audit&amp;VAR:KEY=FYHMHEZYDI&amp;VAR:QUERY=RkZfRUJJVERBX0lCKEFOTiwyMDA3LCwsUkYsRVVSKQ==&amp;WINDOW=FIRST_POPUP&amp;HEIGHT=450&amp;WIDTH=450&amp;","START_MAXIMIZED=FALSE&amp;VAR:CALENDAR=FIVEDAY&amp;VAR:SYMBOL=574852&amp;VAR:INDEX=0"}</definedName>
    <definedName name="_137__123Graph_X_Chart_1A" hidden="1">#N/A</definedName>
    <definedName name="_137__FDSAUDITLINK__" hidden="1">{"fdsup://directions/FAT Viewer?action=UPDATE&amp;creator=factset&amp;DYN_ARGS=TRUE&amp;DOC_NAME=FAT:FQL_AUDITING_CLIENT_TEMPLATE.FAT&amp;display_string=Audit&amp;VAR:KEY=DGNSZQZYZE&amp;VAR:QUERY=RkZfRUJJVERBX0lCKEFOTiwyMDA5LCwsUkYsRVVSKQ==&amp;WINDOW=FIRST_POPUP&amp;HEIGHT=450&amp;WIDTH=450&amp;","START_MAXIMIZED=FALSE&amp;VAR:CALENDAR=FIVEDAY&amp;VAR:SYMBOL=34537086&amp;VAR:INDEX=0"}</definedName>
    <definedName name="_138__123Graph_XChart_1" hidden="1">#N/A</definedName>
    <definedName name="_138__FDSAUDITLINK__" hidden="1">{"fdsup://directions/FAT Viewer?action=UPDATE&amp;creator=factset&amp;DYN_ARGS=TRUE&amp;DOC_NAME=FAT:FQL_AUDITING_CLIENT_TEMPLATE.FAT&amp;display_string=Audit&amp;VAR:KEY=HEBWRMPARS&amp;VAR:QUERY=RkZfRUJJVERBX0lCKEFOTiwyMDA4LCwsUkYsRVVSKQ==&amp;WINDOW=FIRST_POPUP&amp;HEIGHT=450&amp;WIDTH=450&amp;","START_MAXIMIZED=FALSE&amp;VAR:CALENDAR=FIVEDAY&amp;VAR:SYMBOL=34537086&amp;VAR:INDEX=0"}</definedName>
    <definedName name="_139__123Graph_XChart_2" hidden="1">#N/A</definedName>
    <definedName name="_139__FDSAUDITLINK__" hidden="1">{"fdsup://directions/FAT Viewer?action=UPDATE&amp;creator=factset&amp;DYN_ARGS=TRUE&amp;DOC_NAME=FAT:FQL_AUDITING_CLIENT_TEMPLATE.FAT&amp;display_string=Audit&amp;VAR:KEY=PYHIXQNANM&amp;VAR:QUERY=RkZfRUJJVERBX0lCKEFOTiwyMDA3LCwsUkYsRVVSKQ==&amp;WINDOW=FIRST_POPUP&amp;HEIGHT=450&amp;WIDTH=450&amp;","START_MAXIMIZED=FALSE&amp;VAR:CALENDAR=FIVEDAY&amp;VAR:SYMBOL=34537086&amp;VAR:INDEX=0"}</definedName>
    <definedName name="_13ALA642C761" hidden="1">#N/A</definedName>
    <definedName name="_14__123Graph_AC04C_ALL_L2" hidden="1">#REF!</definedName>
    <definedName name="_14__123Graph_ACHART_3" hidden="1">#REF!</definedName>
    <definedName name="_14__123Graph_BCHART_1" hidden="1">#REF!</definedName>
    <definedName name="_14__123Graph_BCHART_2" hidden="1">#REF!</definedName>
    <definedName name="_14__123Graph_Bｸﾞﾗﾌ_2" hidden="1">#REF!</definedName>
    <definedName name="_14__123Graph_CCHART_4" hidden="1">#REF!</definedName>
    <definedName name="_14__123Graph_CHR_BY_OEM" hidden="1">#REF!</definedName>
    <definedName name="_14__123Graph_DCHART_1" hidden="1">#REF!</definedName>
    <definedName name="_14__123Graph_LBL_ACHART_3" hidden="1">#REF!</definedName>
    <definedName name="_14__123Graph_XCHART_2" hidden="1">#REF!</definedName>
    <definedName name="_14__123Graph_XCHART_3" hidden="1">#REF!</definedName>
    <definedName name="_14__123Graph_XChart_3B" hidden="1">#REF!</definedName>
    <definedName name="_1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40__123Graph_XCHART_20" hidden="1">#N/A</definedName>
    <definedName name="_140__123Graph_XCHART_3" hidden="1">#REF!</definedName>
    <definedName name="_140__FDSAUDITLINK__" hidden="1">{"fdsup://directions/FAT Viewer?action=UPDATE&amp;creator=factset&amp;DYN_ARGS=TRUE&amp;DOC_NAME=FAT:FQL_AUDITING_CLIENT_TEMPLATE.FAT&amp;display_string=Audit&amp;VAR:KEY=TCJIXMNKRY&amp;VAR:QUERY=RkZfRUJJVERBX0lCKEFOTiwyMDA5LCwsUkYsRVVSKQ==&amp;WINDOW=FIRST_POPUP&amp;HEIGHT=450&amp;WIDTH=450&amp;","START_MAXIMIZED=FALSE&amp;VAR:CALENDAR=FIVEDAY&amp;VAR:SYMBOL=575602&amp;VAR:INDEX=0"}</definedName>
    <definedName name="_141__123Graph_XCHART_23" hidden="1">#N/A</definedName>
    <definedName name="_141__FDSAUDITLINK__" hidden="1">{"fdsup://directions/FAT Viewer?action=UPDATE&amp;creator=factset&amp;DYN_ARGS=TRUE&amp;DOC_NAME=FAT:FQL_AUDITING_CLIENT_TEMPLATE.FAT&amp;display_string=Audit&amp;VAR:KEY=DCHGFIVKXQ&amp;VAR:QUERY=RkZfRUJJVERBX0lCKEFOTiwyMDA4LCwsUkYsRVVSKQ==&amp;WINDOW=FIRST_POPUP&amp;HEIGHT=450&amp;WIDTH=450&amp;","START_MAXIMIZED=FALSE&amp;VAR:CALENDAR=FIVEDAY&amp;VAR:SYMBOL=575602&amp;VAR:INDEX=0"}</definedName>
    <definedName name="_142__123Graph_XChart_3" hidden="1">#N/A</definedName>
    <definedName name="_142__FDSAUDITLINK__" hidden="1">{"fdsup://directions/FAT Viewer?action=UPDATE&amp;creator=factset&amp;DYN_ARGS=TRUE&amp;DOC_NAME=FAT:FQL_AUDITING_CLIENT_TEMPLATE.FAT&amp;display_string=Audit&amp;VAR:KEY=PYRULAPETI&amp;VAR:QUERY=RkZfRUJJVERBX0lCKEFOTiwyMDA3LCwsUkYsRVVSKQ==&amp;WINDOW=FIRST_POPUP&amp;HEIGHT=450&amp;WIDTH=450&amp;","START_MAXIMIZED=FALSE&amp;VAR:CALENDAR=FIVEDAY&amp;VAR:SYMBOL=575602&amp;VAR:INDEX=0"}</definedName>
    <definedName name="_143__123Graph_XChart_4" hidden="1">#N/A</definedName>
    <definedName name="_143__FDSAUDITLINK__" hidden="1">{"fdsup://directions/FAT Viewer?action=UPDATE&amp;creator=factset&amp;DYN_ARGS=TRUE&amp;DOC_NAME=FAT:FQL_AUDITING_CLIENT_TEMPLATE.FAT&amp;display_string=Audit&amp;VAR:KEY=BOBADSLIRO&amp;VAR:QUERY=RkZfRUJJVERBX0lCKEFOTiwyMDA5LCwsUkYsRVVSKQ==&amp;WINDOW=FIRST_POPUP&amp;HEIGHT=450&amp;WIDTH=450&amp;","START_MAXIMIZED=FALSE&amp;VAR:CALENDAR=FIVEDAY&amp;VAR:SYMBOL=552902&amp;VAR:INDEX=0"}</definedName>
    <definedName name="_144__123Graph_XChart_5" hidden="1">#N/A</definedName>
    <definedName name="_144__FDSAUDITLINK__" hidden="1">{"fdsup://directions/FAT Viewer?action=UPDATE&amp;creator=factset&amp;DYN_ARGS=TRUE&amp;DOC_NAME=FAT:FQL_AUDITING_CLIENT_TEMPLATE.FAT&amp;display_string=Audit&amp;VAR:KEY=FSPGTSFQRA&amp;VAR:QUERY=RkZfRUJJVERBX0lCKEFOTiwyMDA4LCwsUkYsRVVSKQ==&amp;WINDOW=FIRST_POPUP&amp;HEIGHT=450&amp;WIDTH=450&amp;","START_MAXIMIZED=FALSE&amp;VAR:CALENDAR=FIVEDAY&amp;VAR:SYMBOL=552902&amp;VAR:INDEX=0"}</definedName>
    <definedName name="_145__123Graph_XChart_6" hidden="1">#N/A</definedName>
    <definedName name="_145__FDSAUDITLINK__" hidden="1">{"fdsup://directions/FAT Viewer?action=UPDATE&amp;creator=factset&amp;DYN_ARGS=TRUE&amp;DOC_NAME=FAT:FQL_AUDITING_CLIENT_TEMPLATE.FAT&amp;display_string=Audit&amp;VAR:KEY=RIHKFQHENC&amp;VAR:QUERY=RkZfRUJJVERBX0lCKEFOTiwyMDA3LCwsUkYsRVVSKQ==&amp;WINDOW=FIRST_POPUP&amp;HEIGHT=450&amp;WIDTH=450&amp;","START_MAXIMIZED=FALSE&amp;VAR:CALENDAR=FIVEDAY&amp;VAR:SYMBOL=552902&amp;VAR:INDEX=0"}</definedName>
    <definedName name="_146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147__123Graph_XCHART_4" hidden="1">#REF!</definedName>
    <definedName name="_147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148__FDSAUDITLINK__" hidden="1">{"fdsup://Directions/FactSet Auditing Viewer?action=AUDIT_VALUE&amp;DB=129&amp;ID1=471279&amp;VALUEID=01001&amp;SDATE=2007&amp;PERIODTYPE=ANN_STD&amp;window=popup_no_bar&amp;width=385&amp;height=120&amp;START_MAXIMIZED=FALSE&amp;creator=factset&amp;display_string=Audit"}</definedName>
    <definedName name="_149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149__0_S" hidden="1">#REF!</definedName>
    <definedName name="_14ALA642C761" hidden="1">#N/A</definedName>
    <definedName name="_15__123Graph_AC04C_ALL_T1" hidden="1">#REF!</definedName>
    <definedName name="_15__123Graph_BCHART_2" hidden="1">#REF!</definedName>
    <definedName name="_15__123Graph_BCHART_3" hidden="1">#REF!</definedName>
    <definedName name="_15__123Graph_CCHART_5" hidden="1">#REF!</definedName>
    <definedName name="_15__123Graph_CUNIT_BY_OEM" hidden="1">#REF!</definedName>
    <definedName name="_15__123Graph_LBL_ACHART_4" hidden="1">#REF!</definedName>
    <definedName name="_15__123Graph_XCHART_4" hidden="1">#REF!</definedName>
    <definedName name="_1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50__123Graph_Xｸﾞﾗﾌ_ጻ" hidden="1">#REF!</definedName>
    <definedName name="_150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151__123Graph_Xｸﾞﾗﾌ_1" hidden="1">#REF!</definedName>
    <definedName name="_151__FDSAUDITLINK__" hidden="1">{"fdsup://directions/FAT Viewer?action=UPDATE&amp;creator=factset&amp;DYN_ARGS=TRUE&amp;DOC_NAME=FAT:FQL_AUDITING_CLIENT_TEMPLATE.FAT&amp;display_string=Audit&amp;VAR:KEY=LSVAZKXEJQ&amp;VAR:QUERY=RkZfRUJJVF9JQihBTk4sMjAwOSwsLFJGLEVVUik=&amp;WINDOW=FIRST_POPUP&amp;HEIGHT=450&amp;WIDTH=450&amp;STAR","T_MAXIMIZED=FALSE&amp;VAR:CALENDAR=FIVEDAY&amp;VAR:SYMBOL=710352&amp;VAR:INDEX=0"}</definedName>
    <definedName name="_152__FDSAUDITLINK__" hidden="1">{"fdsup://directions/FAT Viewer?action=UPDATE&amp;creator=factset&amp;DYN_ARGS=TRUE&amp;DOC_NAME=FAT:FQL_AUDITING_CLIENT_TEMPLATE.FAT&amp;display_string=Audit&amp;VAR:KEY=VOZABONUJC&amp;VAR:QUERY=RkZfRUJJVF9JQihBTk4sMjAwOCwsLFJGLEVVUik=&amp;WINDOW=FIRST_POPUP&amp;HEIGHT=450&amp;WIDTH=450&amp;STAR","T_MAXIMIZED=FALSE&amp;VAR:CALENDAR=FIVEDAY&amp;VAR:SYMBOL=710352&amp;VAR:INDEX=0"}</definedName>
    <definedName name="_153__FDSAUDITLINK__" hidden="1">{"fdsup://directions/FAT Viewer?action=UPDATE&amp;creator=factset&amp;DYN_ARGS=TRUE&amp;DOC_NAME=FAT:FQL_AUDITING_CLIENT_TEMPLATE.FAT&amp;display_string=Audit&amp;VAR:KEY=XYZGVOXQPW&amp;VAR:QUERY=RkZfRUJJVF9JQihBTk4sMjAwNywsLFJGLEVVUik=&amp;WINDOW=FIRST_POPUP&amp;HEIGHT=450&amp;WIDTH=450&amp;STAR","T_MAXIMIZED=FALSE&amp;VAR:CALENDAR=FIVEDAY&amp;VAR:SYMBOL=710352&amp;VAR:INDEX=0"}</definedName>
    <definedName name="_154__123Graph_XCHART_8" hidden="1">#REF!</definedName>
    <definedName name="_154__FDSAUDITLINK__" hidden="1">{"fdsup://directions/FAT Viewer?action=UPDATE&amp;creator=factset&amp;DYN_ARGS=TRUE&amp;DOC_NAME=FAT:FQL_AUDITING_CLIENT_TEMPLATE.FAT&amp;display_string=Audit&amp;VAR:KEY=CHSJKJSTIN&amp;VAR:QUERY=KChGRl9ERUJUKFFUUiwwLCwsUkYsRVVSKUBGRl9ERUJUKFNFTUksMCwsLFJGLEVVUikpQEZGX0RFQlQoQU5OL","DAsLCxSRixFVVIpKQ==&amp;WINDOW=FIRST_POPUP&amp;HEIGHT=450&amp;WIDTH=450&amp;START_MAXIMIZED=FALSE&amp;VAR:CALENDAR=FIVEDAY&amp;VAR:INDEX=0"}</definedName>
    <definedName name="_156__FDSAUDITLINK__" hidden="1">{"fdsup://directions/FAT Viewer?action=UPDATE&amp;creator=factset&amp;DYN_ARGS=TRUE&amp;DOC_NAME=FAT:FQL_AUDITING_CLIENT_TEMPLATE.FAT&amp;display_string=Audit&amp;VAR:KEY=GFEFSPONSX&amp;VAR:QUERY=RkZfTkVUX0lOQyhBTk4sMCwsLFJGKQ==&amp;WINDOW=FIRST_POPUP&amp;HEIGHT=450&amp;WIDTH=450&amp;START_MAXIMI","ZED=FALSE&amp;VAR:CALENDAR=FIVEDAY&amp;VAR:SYMBOL=93114210&amp;VAR:INDEX=0"}</definedName>
    <definedName name="_157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158__FDSAUDITLINK__" hidden="1">{"fdsup://Directions/FactSet Auditing Viewer?action=AUDIT_VALUE&amp;DB=129&amp;ID1=34537086&amp;VALUEID=01001&amp;SDATE=2009&amp;PERIODTYPE=ANN_STD&amp;window=popup_no_bar&amp;width=385&amp;height=120&amp;START_MAXIMIZED=FALSE&amp;creator=factset&amp;display_string=Audit"}</definedName>
    <definedName name="_158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8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8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8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8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8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8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9__FDSAUDITLINK__" hidden="1">{"fdsup://Directions/FactSet Auditing Viewer?action=AUDIT_VALUE&amp;DB=129&amp;ID1=574852&amp;VALUEID=01001&amp;SDATE=2009&amp;PERIODTYPE=ANN_STD&amp;window=popup_no_bar&amp;width=385&amp;height=120&amp;START_MAXIMIZED=FALSE&amp;creator=factset&amp;display_string=Audit"}</definedName>
    <definedName name="_159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9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92__FDSAUDITLINK__" hidden="1">{"fdsup://directions/FAT Viewer?action=UPDATE&amp;creator=factset&amp;DYN_ARGS=TRUE&amp;DOC_NAME=FAT:FQL_AUDITING_CLIENT_TEMPLATE.FAT&amp;display_string=Audit&amp;VAR:KEY=WDQHINMTUT&amp;VAR:QUERY=RkZfQ0FQRVgoQ0FMLDIwMDksLCwsRVVSKQ==&amp;WINDOW=FIRST_POPUP&amp;HEIGHT=450&amp;WIDTH=450&amp;START_MA","XIMIZED=FALSE&amp;VAR:CALENDAR=FIVEDAY&amp;VAR:SYMBOL=07588710&amp;VAR:INDEX=0"}</definedName>
    <definedName name="_1593__FDSAUDITLINK__" hidden="1">{"fdsup://directions/FAT Viewer?action=UPDATE&amp;creator=factset&amp;DYN_ARGS=TRUE&amp;DOC_NAME=FAT:FQL_AUDITING_CLIENT_TEMPLATE.FAT&amp;display_string=Audit&amp;VAR:KEY=SDCPUZODCN&amp;VAR:QUERY=RkZfRUJJVERBKENBTCwyMDA5LCwsLEVVUik=&amp;WINDOW=FIRST_POPUP&amp;HEIGHT=450&amp;WIDTH=450&amp;START_MA","XIMIZED=FALSE&amp;VAR:CALENDAR=FIVEDAY&amp;VAR:SYMBOL=GLW&amp;VAR:INDEX=0"}</definedName>
    <definedName name="_1594__FDSAUDITLINK__" hidden="1">{"fdsup://directions/FAT Viewer?action=UPDATE&amp;creator=factset&amp;DYN_ARGS=TRUE&amp;DOC_NAME=FAT:FQL_AUDITING_CLIENT_TEMPLATE.FAT&amp;display_string=Audit&amp;VAR:KEY=KRQTWRYNGJ&amp;VAR:QUERY=RkZfRUJJVChDQUwsMjAwNywsLCxFVVIp&amp;WINDOW=FIRST_POPUP&amp;HEIGHT=450&amp;WIDTH=450&amp;START_MAXIMI","ZED=FALSE&amp;VAR:CALENDAR=FIVEDAY&amp;VAR:SYMBOL=07588710&amp;VAR:INDEX=0"}</definedName>
    <definedName name="_1595__FDSAUDITLINK__" hidden="1">{"fdsup://directions/FAT Viewer?action=UPDATE&amp;creator=factset&amp;DYN_ARGS=TRUE&amp;DOC_NAME=FAT:FQL_AUDITING_CLIENT_TEMPLATE.FAT&amp;display_string=Audit&amp;VAR:KEY=SPWTUHWFIF&amp;VAR:QUERY=RkZfRUJJVChDQUwsMjAwOSwsLCxFVVIp&amp;WINDOW=FIRST_POPUP&amp;HEIGHT=450&amp;WIDTH=450&amp;START_MAXIMI","ZED=FALSE&amp;VAR:CALENDAR=FIVEDAY&amp;VAR:SYMBOL=07588710&amp;VAR:INDEX=0"}</definedName>
    <definedName name="_1596__FDSAUDITLINK__" hidden="1">{"fdsup://directions/FAT Viewer?action=UPDATE&amp;creator=factset&amp;DYN_ARGS=TRUE&amp;DOC_NAME=FAT:FQL_AUDITING_CLIENT_TEMPLATE.FAT&amp;display_string=Audit&amp;VAR:KEY=EPABEHABAZ&amp;VAR:QUERY=RkZfQ0FQRVgoQ0FMLDIwMDcsLCwsRVVSKQ==&amp;WINDOW=FIRST_POPUP&amp;HEIGHT=450&amp;WIDTH=450&amp;START_MA","XIMIZED=FALSE&amp;VAR:CALENDAR=FIVEDAY&amp;VAR:SYMBOL=698534&amp;VAR:INDEX=0"}</definedName>
    <definedName name="_1597__FDSAUDITLINK__" hidden="1">{"fdsup://directions/FAT Viewer?action=UPDATE&amp;creator=factset&amp;DYN_ARGS=TRUE&amp;DOC_NAME=FAT:FQL_AUDITING_CLIENT_TEMPLATE.FAT&amp;display_string=Audit&amp;VAR:KEY=NYTEDEXURM&amp;VAR:QUERY=RkZfQ0FQRVgoQ0FMLDIwMDgsLCwsRVVSKQ==&amp;WINDOW=FIRST_POPUP&amp;HEIGHT=450&amp;WIDTH=450&amp;START_MA","XIMIZED=FALSE&amp;VAR:CALENDAR=FIVEDAY&amp;VAR:SYMBOL=B0KS38&amp;VAR:INDEX=0"}</definedName>
    <definedName name="_1598__FDSAUDITLINK__" hidden="1">{"fdsup://directions/FAT Viewer?action=UPDATE&amp;creator=factset&amp;DYN_ARGS=TRUE&amp;DOC_NAME=FAT:FQL_AUDITING_CLIENT_TEMPLATE.FAT&amp;display_string=Audit&amp;VAR:KEY=FQZKHKLWVW&amp;VAR:QUERY=RkZfRUJJVChDQUwsMjAwOSwsLCxFVVIp&amp;WINDOW=FIRST_POPUP&amp;HEIGHT=450&amp;WIDTH=450&amp;START_MAXIMI","ZED=FALSE&amp;VAR:CALENDAR=FIVEDAY&amp;VAR:SYMBOL=516606&amp;VAR:INDEX=0"}</definedName>
    <definedName name="_1599__FDSAUDITLINK__" hidden="1">{"fdsup://directions/FAT Viewer?action=UPDATE&amp;creator=factset&amp;DYN_ARGS=TRUE&amp;DOC_NAME=FAT:FQL_AUDITING_CLIENT_TEMPLATE.FAT&amp;display_string=Audit&amp;VAR:KEY=AVWFKHWLCH&amp;VAR:QUERY=RkZfQ0FQRVgoQ0FMLDIwMDcsLCwsRVVSKQ==&amp;WINDOW=FIRST_POPUP&amp;HEIGHT=450&amp;WIDTH=450&amp;START_MA","XIMIZED=FALSE&amp;VAR:CALENDAR=FIVEDAY&amp;VAR:SYMBOL=605520&amp;VAR:INDEX=0"}</definedName>
    <definedName name="_15ALA642C761" hidden="1">#N/A</definedName>
    <definedName name="_16__123Graph_AC04C_ALL_L1" hidden="1">#REF!</definedName>
    <definedName name="_16__123Graph_AC04C_ALL_T2" hidden="1">#REF!</definedName>
    <definedName name="_16__123Graph_BCHART_2" hidden="1">#REF!</definedName>
    <definedName name="_16__123Graph_BCHART_3" hidden="1">#REF!</definedName>
    <definedName name="_16__123Graph_DCHART_1" hidden="1">#N/A</definedName>
    <definedName name="_16__123Graph_DCHART_2" hidden="1">#REF!</definedName>
    <definedName name="_16__123Graph_ECAPITAL_BY_OEM" hidden="1">#REF!</definedName>
    <definedName name="_16__123Graph_LBL_BCHART_3" hidden="1">#REF!</definedName>
    <definedName name="_1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6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600__FDSAUDITLINK__" hidden="1">{"fdsup://directions/FAT Viewer?action=UPDATE&amp;creator=factset&amp;DYN_ARGS=TRUE&amp;DOC_NAME=FAT:FQL_AUDITING_CLIENT_TEMPLATE.FAT&amp;display_string=Audit&amp;VAR:KEY=PSFSRORCHS&amp;VAR:QUERY=RkZfQ0FQRVgoQ0FMLDIwMDksLCwsRVVSKQ==&amp;WINDOW=FIRST_POPUP&amp;HEIGHT=450&amp;WIDTH=450&amp;START_MA","XIMIZED=FALSE&amp;VAR:CALENDAR=FIVEDAY&amp;VAR:SYMBOL=516606&amp;VAR:INDEX=0"}</definedName>
    <definedName name="_1601__FDSAUDITLINK__" hidden="1">{"fdsup://Directions/FactSet Auditing Viewer?action=AUDIT_VALUE&amp;DB=129&amp;ID1=516606&amp;VALUEID=P05202&amp;SDATE=2007&amp;PERIODTYPE=ANN_STD&amp;window=popup_no_bar&amp;width=385&amp;height=120&amp;START_MAXIMIZED=FALSE&amp;creator=factset&amp;display_string=Audit"}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ARWFITULYD&amp;VAR:QUERY=RkZfREVCVF9MVChNT04sMCwsLCxFVVIp&amp;WINDOW=FIRST_POPUP&amp;HEIGHT=450&amp;WIDTH=450&amp;START_MAXIMI","ZED=FALSE&amp;VAR:CALENDAR=FIVEDAY&amp;VAR:SYMBOL=MTD&amp;VAR:INDEX=0"}</definedName>
    <definedName name="_1603__FDSAUDITLINK__" hidden="1">{"fdsup://directions/FAT Viewer?action=UPDATE&amp;creator=factset&amp;DYN_ARGS=TRUE&amp;DOC_NAME=FAT:FQL_AUDITING_CLIENT_TEMPLATE.FAT&amp;display_string=Audit&amp;VAR:KEY=AXANIRKNEB&amp;VAR:QUERY=RkZfREVCVF9MVChNT04sMCwsLCxFVVIp&amp;WINDOW=FIRST_POPUP&amp;HEIGHT=450&amp;WIDTH=450&amp;START_MAXIMI","ZED=FALSE&amp;VAR:CALENDAR=FIVEDAY&amp;VAR:SYMBOL=698534&amp;VAR:INDEX=0"}</definedName>
    <definedName name="_1604__FDSAUDITLINK__" hidden="1">{"fdsup://directions/FAT Viewer?action=UPDATE&amp;creator=factset&amp;DYN_ARGS=TRUE&amp;DOC_NAME=FAT:FQL_AUDITING_CLIENT_TEMPLATE.FAT&amp;display_string=Audit&amp;VAR:KEY=ULKDCHEVOF&amp;VAR:QUERY=RkZfRUJJVChDQUwsMjAwNywsLCxFVVIp&amp;WINDOW=FIRST_POPUP&amp;HEIGHT=450&amp;WIDTH=450&amp;START_MAXIMI","ZED=FALSE&amp;VAR:CALENDAR=FIVEDAY&amp;VAR:SYMBOL=646706&amp;VAR:INDEX=0"}</definedName>
    <definedName name="_1605__FDSAUDITLINK__" hidden="1">{"fdsup://directions/FAT Viewer?action=UPDATE&amp;creator=factset&amp;DYN_ARGS=TRUE&amp;DOC_NAME=FAT:FQL_AUDITING_CLIENT_TEMPLATE.FAT&amp;display_string=Audit&amp;VAR:KEY=QRQBSTIHOF&amp;VAR:QUERY=RkZfRUJJVChDQUwsMjAwOSwsLCxFVVIp&amp;WINDOW=FIRST_POPUP&amp;HEIGHT=450&amp;WIDTH=450&amp;START_MAXIMI","ZED=FALSE&amp;VAR:CALENDAR=FIVEDAY&amp;VAR:SYMBOL=223350&amp;VAR:INDEX=0"}</definedName>
    <definedName name="_1606__FDSAUDITLINK__" hidden="1">{"fdsup://directions/FAT Viewer?action=UPDATE&amp;creator=factset&amp;DYN_ARGS=TRUE&amp;DOC_NAME=FAT:FQL_AUDITING_CLIENT_TEMPLATE.FAT&amp;display_string=Audit&amp;VAR:KEY=UHABOTOTQJ&amp;VAR:QUERY=RkZfRUJJVChDQUwsMjAwOCwsLCxFVVIp&amp;WINDOW=FIRST_POPUP&amp;HEIGHT=450&amp;WIDTH=450&amp;START_MAXIMI","ZED=FALSE&amp;VAR:CALENDAR=FIVEDAY&amp;VAR:SYMBOL=223350&amp;VAR:INDEX=0"}</definedName>
    <definedName name="_1607__FDSAUDITLINK__" hidden="1">{"fdsup://directions/FAT Viewer?action=UPDATE&amp;creator=factset&amp;DYN_ARGS=TRUE&amp;DOC_NAME=FAT:FQL_AUDITING_CLIENT_TEMPLATE.FAT&amp;display_string=Audit&amp;VAR:KEY=YNIZYDSZYZ&amp;VAR:QUERY=RkZfRUJJVChDQUwsMjAwNywsLCxFVVIp&amp;WINDOW=FIRST_POPUP&amp;HEIGHT=450&amp;WIDTH=450&amp;START_MAXIMI","ZED=FALSE&amp;VAR:CALENDAR=FIVEDAY&amp;VAR:SYMBOL=223350&amp;VAR:INDEX=0"}</definedName>
    <definedName name="_1608__FDSAUDITLINK__" hidden="1">{"fdsup://directions/FAT Viewer?action=UPDATE&amp;creator=factset&amp;DYN_ARGS=TRUE&amp;DOC_NAME=FAT:FQL_AUDITING_CLIENT_TEMPLATE.FAT&amp;display_string=Audit&amp;VAR:KEY=SNSJUXGLON&amp;VAR:QUERY=RkZfRUJJVChDQUwsMjAwNywsLCxFVVIp&amp;WINDOW=FIRST_POPUP&amp;HEIGHT=450&amp;WIDTH=450&amp;START_MAXIMI","ZED=FALSE&amp;VAR:CALENDAR=FIVEDAY&amp;VAR:SYMBOL=FOE&amp;VAR:INDEX=0"}</definedName>
    <definedName name="_1609__FDSAUDITLINK__" hidden="1">{"fdsup://directions/FAT Viewer?action=UPDATE&amp;creator=factset&amp;DYN_ARGS=TRUE&amp;DOC_NAME=FAT:FQL_AUDITING_CLIENT_TEMPLATE.FAT&amp;display_string=Audit&amp;VAR:KEY=QDOJAZWVOP&amp;VAR:QUERY=RkZfRUJJVChDQUwsMjAwOCwsLCxFVVIp&amp;WINDOW=FIRST_POPUP&amp;HEIGHT=450&amp;WIDTH=450&amp;START_MAXIMI","ZED=FALSE&amp;VAR:CALENDAR=FIVEDAY&amp;VAR:SYMBOL=FOE&amp;VAR:INDEX=0"}</definedName>
    <definedName name="_16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10__FDSAUDITLINK__" hidden="1">{"fdsup://Directions/FactSet Auditing Viewer?action=AUDIT_VALUE&amp;DB=129&amp;ID1=69076840&amp;VALUEID=01001&amp;SDATE=2008&amp;PERIODTYPE=ANN_STD&amp;window=popup_no_bar&amp;width=385&amp;height=120&amp;START_MAXIMIZED=FALSE&amp;creator=factset&amp;display_string=Audit"}</definedName>
    <definedName name="_1611__FDSAUDITLINK__" hidden="1">{"fdsup://directions/FAT Viewer?action=UPDATE&amp;creator=factset&amp;DYN_ARGS=TRUE&amp;DOC_NAME=FAT:FQL_AUDITING_CLIENT_TEMPLATE.FAT&amp;display_string=Audit&amp;VAR:KEY=UZALCLMDUB&amp;VAR:QUERY=RkZfRUJJVERBKENBTCwyMDA3LCwsLEVVUik=&amp;WINDOW=FIRST_POPUP&amp;HEIGHT=450&amp;WIDTH=450&amp;START_MA","XIMIZED=FALSE&amp;VAR:CALENDAR=FIVEDAY&amp;VAR:SYMBOL=602129&amp;VAR:INDEX=0"}</definedName>
    <definedName name="_1612__FDSAUDITLINK__" hidden="1">{"fdsup://directions/FAT Viewer?action=UPDATE&amp;creator=factset&amp;DYN_ARGS=TRUE&amp;DOC_NAME=FAT:FQL_AUDITING_CLIENT_TEMPLATE.FAT&amp;display_string=Audit&amp;VAR:KEY=KLGBQXSRGD&amp;VAR:QUERY=RkZfRUJJVERBKENBTCwyMDA5LCwsLEVVUik=&amp;WINDOW=FIRST_POPUP&amp;HEIGHT=450&amp;WIDTH=450&amp;START_MA","XIMIZED=FALSE&amp;VAR:CALENDAR=FIVEDAY&amp;VAR:SYMBOL=698534&amp;VAR:INDEX=0"}</definedName>
    <definedName name="_1613__FDSAUDITLINK__" hidden="1">{"fdsup://directions/FAT Viewer?action=UPDATE&amp;creator=factset&amp;DYN_ARGS=TRUE&amp;DOC_NAME=FAT:FQL_AUDITING_CLIENT_TEMPLATE.FAT&amp;display_string=Audit&amp;VAR:KEY=CNIPYNWTMP&amp;VAR:QUERY=RkZfRUJJVERBKENBTCwyMDA3LCwsLEVVUik=&amp;WINDOW=FIRST_POPUP&amp;HEIGHT=450&amp;WIDTH=450&amp;START_MA","XIMIZED=FALSE&amp;VAR:CALENDAR=FIVEDAY&amp;VAR:SYMBOL=677120&amp;VAR:INDEX=0"}</definedName>
    <definedName name="_1614__FDSAUDITLINK__" hidden="1">{"fdsup://directions/FAT Viewer?action=UPDATE&amp;creator=factset&amp;DYN_ARGS=TRUE&amp;DOC_NAME=FAT:FQL_AUDITING_CLIENT_TEMPLATE.FAT&amp;display_string=Audit&amp;VAR:KEY=IZEPMVUNKN&amp;VAR:QUERY=RkZfRUJJVERBKENBTCwyMDA4LCwsLEVVUik=&amp;WINDOW=FIRST_POPUP&amp;HEIGHT=450&amp;WIDTH=450&amp;START_MA","XIMIZED=FALSE&amp;VAR:CALENDAR=FIVEDAY&amp;VAR:SYMBOL=571062&amp;VAR:INDEX=0"}</definedName>
    <definedName name="_1615__FDSAUDITLINK__" hidden="1">{"fdsup://directions/FAT Viewer?action=UPDATE&amp;creator=factset&amp;DYN_ARGS=TRUE&amp;DOC_NAME=FAT:FQL_AUDITING_CLIENT_TEMPLATE.FAT&amp;display_string=Audit&amp;VAR:KEY=GDMNUBAJWF&amp;VAR:QUERY=RkZfQ0FQRVgoQ0FMLDIwMDksLCwsRVVSKQ==&amp;WINDOW=FIRST_POPUP&amp;HEIGHT=450&amp;WIDTH=450&amp;START_MA","XIMIZED=FALSE&amp;VAR:CALENDAR=FIVEDAY&amp;VAR:SYMBOL=SIAL&amp;VAR:INDEX=0"}</definedName>
    <definedName name="_1616__FDSAUDITLINK__" hidden="1">{"fdsup://directions/FAT Viewer?action=UPDATE&amp;creator=factset&amp;DYN_ARGS=TRUE&amp;DOC_NAME=FAT:FQL_AUDITING_CLIENT_TEMPLATE.FAT&amp;display_string=Audit&amp;VAR:KEY=SNMHSXQPEX&amp;VAR:QUERY=RkZfQ0FQRVgoQ0FMLDIwMDgsLCwsRVVSKQ==&amp;WINDOW=FIRST_POPUP&amp;HEIGHT=450&amp;WIDTH=450&amp;START_MA","XIMIZED=FALSE&amp;VAR:CALENDAR=FIVEDAY&amp;VAR:SYMBOL=602129&amp;VAR:INDEX=0"}</definedName>
    <definedName name="_1617__FDSAUDITLINK__" hidden="1">{"fdsup://directions/FAT Viewer?action=UPDATE&amp;creator=factset&amp;DYN_ARGS=TRUE&amp;DOC_NAME=FAT:FQL_AUDITING_CLIENT_TEMPLATE.FAT&amp;display_string=Audit&amp;VAR:KEY=SRSNYZAPIH&amp;VAR:QUERY=RkZfRUJJVERBKENBTCwyMDA3LCwsLEVVUik=&amp;WINDOW=FIRST_POPUP&amp;HEIGHT=450&amp;WIDTH=450&amp;START_MA","XIMIZED=FALSE&amp;VAR:CALENDAR=FIVEDAY&amp;VAR:SYMBOL=667984&amp;VAR:INDEX=0"}</definedName>
    <definedName name="_1618__FDSAUDITLINK__" hidden="1">{"fdsup://directions/FAT Viewer?action=UPDATE&amp;creator=factset&amp;DYN_ARGS=TRUE&amp;DOC_NAME=FAT:FQL_AUDITING_CLIENT_TEMPLATE.FAT&amp;display_string=Audit&amp;VAR:KEY=VITWXAVYXW&amp;VAR:QUERY=RkZfRUJJVERBKENBTCwyMDA3LCwsLEVVUik=&amp;WINDOW=FIRST_POPUP&amp;HEIGHT=450&amp;WIDTH=450&amp;START_MA","XIMIZED=FALSE&amp;VAR:CALENDAR=FIVEDAY&amp;VAR:SYMBOL=605520&amp;VAR:INDEX=0"}</definedName>
    <definedName name="_1619__FDSAUDITLINK__" hidden="1">{"fdsup://directions/FAT Viewer?action=UPDATE&amp;creator=factset&amp;DYN_ARGS=TRUE&amp;DOC_NAME=FAT:FQL_AUDITING_CLIENT_TEMPLATE.FAT&amp;display_string=Audit&amp;VAR:KEY=SPURCFWNOR&amp;VAR:QUERY=RkZfRUJJVERBKENBTCwyMDA4LCwsLEVVUik=&amp;WINDOW=FIRST_POPUP&amp;HEIGHT=450&amp;WIDTH=450&amp;START_MA","XIMIZED=FALSE&amp;VAR:CALENDAR=FIVEDAY&amp;VAR:SYMBOL=667984&amp;VAR:INDEX=0"}</definedName>
    <definedName name="_16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20__FDSAUDITLINK__" hidden="1">{"fdsup://directions/FAT Viewer?action=UPDATE&amp;creator=factset&amp;DYN_ARGS=TRUE&amp;DOC_NAME=FAT:FQL_AUDITING_CLIENT_TEMPLATE.FAT&amp;display_string=Audit&amp;VAR:KEY=KFEBQVSLKR&amp;VAR:QUERY=RkZfRUJJVERBKENBTCwyMDA4LCwsLEVVUik=&amp;WINDOW=FIRST_POPUP&amp;HEIGHT=450&amp;WIDTH=450&amp;START_MA","XIMIZED=FALSE&amp;VAR:CALENDAR=FIVEDAY&amp;VAR:SYMBOL=677120&amp;VAR:INDEX=0"}</definedName>
    <definedName name="_1621__FDSAUDITLINK__" hidden="1">{"fdsup://directions/FAT Viewer?action=UPDATE&amp;creator=factset&amp;DYN_ARGS=TRUE&amp;DOC_NAME=FAT:FQL_AUDITING_CLIENT_TEMPLATE.FAT&amp;display_string=Audit&amp;VAR:KEY=KVMTUXKTSP&amp;VAR:QUERY=RkZfREVCVF9MVChNT04sMCwsLCxFVVIp&amp;WINDOW=FIRST_POPUP&amp;HEIGHT=450&amp;WIDTH=450&amp;START_MAXIMI","ZED=FALSE&amp;VAR:CALENDAR=FIVEDAY&amp;VAR:SYMBOL=677120&amp;VAR:INDEX=0"}</definedName>
    <definedName name="_1622__FDSAUDITLINK__" hidden="1">{"fdsup://directions/FAT Viewer?action=UPDATE&amp;creator=factset&amp;DYN_ARGS=TRUE&amp;DOC_NAME=FAT:FQL_AUDITING_CLIENT_TEMPLATE.FAT&amp;display_string=Audit&amp;VAR:KEY=YNQJIFUFKN&amp;VAR:QUERY=RkZfQ0FQRVgoQ0FMLDIwMDcsLCwsRVVSKQ==&amp;WINDOW=FIRST_POPUP&amp;HEIGHT=450&amp;WIDTH=450&amp;START_MA","XIMIZED=FALSE&amp;VAR:CALENDAR=FIVEDAY&amp;VAR:SYMBOL=667984&amp;VAR:INDEX=0"}</definedName>
    <definedName name="_1623__FDSAUDITLINK__" hidden="1">{"fdsup://directions/FAT Viewer?action=UPDATE&amp;creator=factset&amp;DYN_ARGS=TRUE&amp;DOC_NAME=FAT:FQL_AUDITING_CLIENT_TEMPLATE.FAT&amp;display_string=Audit&amp;VAR:KEY=IDKTOZEFSB&amp;VAR:QUERY=RkZfRUJJVERBKENBTCwyMDA5LCwsLEVVUik=&amp;WINDOW=FIRST_POPUP&amp;HEIGHT=450&amp;WIDTH=450&amp;START_MA","XIMIZED=FALSE&amp;VAR:CALENDAR=FIVEDAY&amp;VAR:SYMBOL=B0KS38&amp;VAR:INDEX=0"}</definedName>
    <definedName name="_1624__FDSAUDITLINK__" hidden="1">{"fdsup://directions/FAT Viewer?action=UPDATE&amp;creator=factset&amp;DYN_ARGS=TRUE&amp;DOC_NAME=FAT:FQL_AUDITING_CLIENT_TEMPLATE.FAT&amp;display_string=Audit&amp;VAR:KEY=KJUBKNMDMZ&amp;VAR:QUERY=RkZfRUJJVERBKENBTCwyMDA5LCwsLEVVUik=&amp;WINDOW=FIRST_POPUP&amp;HEIGHT=450&amp;WIDTH=450&amp;START_MA","XIMIZED=FALSE&amp;VAR:CALENDAR=FIVEDAY&amp;VAR:SYMBOL=B1Y47Y&amp;VAR:INDEX=0"}</definedName>
    <definedName name="_1625__FDSAUDITLINK__" hidden="1">{"fdsup://directions/FAT Viewer?action=UPDATE&amp;creator=factset&amp;DYN_ARGS=TRUE&amp;DOC_NAME=FAT:FQL_AUDITING_CLIENT_TEMPLATE.FAT&amp;display_string=Audit&amp;VAR:KEY=OVGFAJURAL&amp;VAR:QUERY=RkZfQ0FQRVgoQ0FMLDIwMDcsLCwsRVVSKQ==&amp;WINDOW=FIRST_POPUP&amp;HEIGHT=450&amp;WIDTH=450&amp;START_MA","XIMIZED=FALSE&amp;VAR:CALENDAR=FIVEDAY&amp;VAR:SYMBOL=07588710&amp;VAR:INDEX=0"}</definedName>
    <definedName name="_1626__FDSAUDITLINK__" hidden="1">{"fdsup://directions/FAT Viewer?action=UPDATE&amp;creator=factset&amp;DYN_ARGS=TRUE&amp;DOC_NAME=FAT:FQL_AUDITING_CLIENT_TEMPLATE.FAT&amp;display_string=Audit&amp;VAR:KEY=EHSHYFYJEJ&amp;VAR:QUERY=RkZfRUJJVChDQUwsMjAwNywsLCxFVVIp&amp;WINDOW=FIRST_POPUP&amp;HEIGHT=450&amp;WIDTH=450&amp;START_MAXIMI","ZED=FALSE&amp;VAR:CALENDAR=FIVEDAY&amp;VAR:SYMBOL=GLW&amp;VAR:INDEX=0"}</definedName>
    <definedName name="_1627__FDSAUDITLINK__" hidden="1">{"fdsup://directions/FAT Viewer?action=UPDATE&amp;creator=factset&amp;DYN_ARGS=TRUE&amp;DOC_NAME=FAT:FQL_AUDITING_CLIENT_TEMPLATE.FAT&amp;display_string=Audit&amp;VAR:KEY=KBIXWTKBWB&amp;VAR:QUERY=RkZfRUJJVERBKENBTCwyMDA4LCwsLEVVUik=&amp;WINDOW=FIRST_POPUP&amp;HEIGHT=450&amp;WIDTH=450&amp;START_MA","XIMIZED=FALSE&amp;VAR:CALENDAR=FIVEDAY&amp;VAR:SYMBOL=605520&amp;VAR:INDEX=0"}</definedName>
    <definedName name="_1628__FDSAUDITLINK__" hidden="1">{"fdsup://directions/FAT Viewer?action=UPDATE&amp;creator=factset&amp;DYN_ARGS=TRUE&amp;DOC_NAME=FAT:FQL_AUDITING_CLIENT_TEMPLATE.FAT&amp;display_string=Audit&amp;VAR:KEY=STOBITSZSH&amp;VAR:QUERY=RkZfRUJJVERBKENBTCwyMDA3LCwsLEVVUik=&amp;WINDOW=FIRST_POPUP&amp;HEIGHT=450&amp;WIDTH=450&amp;START_MA","XIMIZED=FALSE&amp;VAR:CALENDAR=FIVEDAY&amp;VAR:SYMBOL=605520&amp;VAR:INDEX=0"}</definedName>
    <definedName name="_1629__FDSAUDITLINK__" hidden="1">{"fdsup://directions/FAT Viewer?action=UPDATE&amp;creator=factset&amp;DYN_ARGS=TRUE&amp;DOC_NAME=FAT:FQL_AUDITING_CLIENT_TEMPLATE.FAT&amp;display_string=Audit&amp;VAR:KEY=QBCFYXALYL&amp;VAR:QUERY=RkZfRUJJVERBKENBTCwyMDA3LCwsLEVVUik=&amp;WINDOW=FIRST_POPUP&amp;HEIGHT=450&amp;WIDTH=450&amp;START_MA","XIMIZED=FALSE&amp;VAR:CALENDAR=FIVEDAY&amp;VAR:SYMBOL=07588710&amp;VAR:INDEX=0"}</definedName>
    <definedName name="_16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630__FDSAUDITLINK__" hidden="1">{"fdsup://directions/FAT Viewer?action=UPDATE&amp;creator=factset&amp;DYN_ARGS=TRUE&amp;DOC_NAME=FAT:FQL_AUDITING_CLIENT_TEMPLATE.FAT&amp;display_string=Audit&amp;VAR:KEY=MNMHYHYZMR&amp;VAR:QUERY=RkZfREVCVF9MVChNT04sMCwsLCxFVVIp&amp;WINDOW=FIRST_POPUP&amp;HEIGHT=450&amp;WIDTH=450&amp;START_MAXIMI","ZED=FALSE&amp;VAR:CALENDAR=FIVEDAY&amp;VAR:SYMBOL=TMO&amp;VAR:INDEX=0"}</definedName>
    <definedName name="_1631__FDSAUDITLINK__" hidden="1">{"fdsup://directions/FAT Viewer?action=UPDATE&amp;creator=factset&amp;DYN_ARGS=TRUE&amp;DOC_NAME=FAT:FQL_AUDITING_CLIENT_TEMPLATE.FAT&amp;display_string=Audit&amp;VAR:KEY=SPKVWHAPKB&amp;VAR:QUERY=RkZfREVCVF9MVChNT04sMCwsLCxFVVIp&amp;WINDOW=FIRST_POPUP&amp;HEIGHT=450&amp;WIDTH=450&amp;START_MAXIMI","ZED=FALSE&amp;VAR:CALENDAR=FIVEDAY&amp;VAR:SYMBOL=667984&amp;VAR:INDEX=0"}</definedName>
    <definedName name="_1632__FDSAUDITLINK__" hidden="1">{"fdsup://Directions/FactSet Auditing Viewer?action=AUDIT_VALUE&amp;DB=129&amp;ID1=571062&amp;VALUEID=01001&amp;SDATE=2007&amp;PERIODTYPE=ANN_STD&amp;window=popup_no_bar&amp;width=385&amp;height=120&amp;START_MAXIMIZED=FALSE&amp;creator=factset&amp;display_string=Audit"}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Viewer?action=AUDIT_VALUE&amp;DB=129&amp;ID1=571062&amp;VALUEID=01001&amp;SDATE=2009&amp;PERIODTYPE=ANN_STD&amp;window=popup_no_bar&amp;width=385&amp;height=120&amp;START_MAXIMIZED=FALSE&amp;creator=factset&amp;display_string=Audit"}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Viewer?action=AUDIT_VALUE&amp;DB=129&amp;ID1=571062&amp;VALUEID=P05202&amp;SDATE=2007&amp;PERIODTYPE=ANN_STD&amp;window=popup_no_bar&amp;width=385&amp;height=120&amp;START_MAXIMIZED=FALSE&amp;creator=factset&amp;display_string=Audit"}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Viewer?action=AUDIT_VALUE&amp;DB=129&amp;ID1=571062&amp;VALUEID=P05202&amp;SDATE=2009&amp;PERIODTYPE=ANN_STD&amp;window=popup_no_bar&amp;width=385&amp;height=120&amp;START_MAXIMIZED=FALSE&amp;creator=factset&amp;display_string=Audit"}</definedName>
    <definedName name="_1636__FDSAUDITLINK__" hidden="1">{"fdsup://directions/FAT Viewer?action=UPDATE&amp;creator=factset&amp;DYN_ARGS=TRUE&amp;DOC_NAME=FAT:FQL_AUDITING_CLIENT_TEMPLATE.FAT&amp;display_string=Audit&amp;VAR:KEY=CZKZWTGVAP&amp;VAR:QUERY=RkZfQ0FQRVgoQ0FMLDIwMDgsLCwsRVVSKQ==&amp;WINDOW=FIRST_POPUP&amp;HEIGHT=450&amp;WIDTH=450&amp;START_MA","XIMIZED=FALSE&amp;VAR:CALENDAR=FIVEDAY&amp;VAR:SYMBOL=653031&amp;VAR:INDEX=0"}</definedName>
    <definedName name="_1637__FDSAUDITLINK__" hidden="1">{"fdsup://Directions/FactSet Auditing Viewer?action=AUDIT_VALUE&amp;DB=129&amp;ID1=88355610&amp;VALUEID=01001&amp;SDATE=2007&amp;PERIODTYPE=ANN_STD&amp;window=popup_no_bar&amp;width=385&amp;height=120&amp;START_MAXIMIZED=FALSE&amp;creator=factset&amp;display_string=Audit"}</definedName>
    <definedName name="_1638__FDSAUDITLINK__" hidden="1">{"fdsup://directions/FAT Viewer?action=UPDATE&amp;creator=factset&amp;DYN_ARGS=TRUE&amp;DOC_NAME=FAT:FQL_AUDITING_CLIENT_TEMPLATE.FAT&amp;display_string=Audit&amp;VAR:KEY=QVCZITCPEX&amp;VAR:QUERY=RkZfRUJJVChDQUwsMjAwNywsLCxFVVIp&amp;WINDOW=FIRST_POPUP&amp;HEIGHT=450&amp;WIDTH=450&amp;START_MAXIMI","ZED=FALSE&amp;VAR:CALENDAR=FIVEDAY&amp;VAR:SYMBOL=571062&amp;VAR:INDEX=0"}</definedName>
    <definedName name="_1639__FDSAUDITLINK__" hidden="1">{"fdsup://directions/FAT Viewer?action=UPDATE&amp;creator=factset&amp;DYN_ARGS=TRUE&amp;DOC_NAME=FAT:FQL_AUDITING_CLIENT_TEMPLATE.FAT&amp;display_string=Audit&amp;VAR:KEY=EPIZMREBKV&amp;VAR:QUERY=RkZfQ0FQRVgoQ0FMLDIwMDksLCwsRVVSKQ==&amp;WINDOW=FIRST_POPUP&amp;HEIGHT=450&amp;WIDTH=450&amp;START_MA","XIMIZED=FALSE&amp;VAR:CALENDAR=FIVEDAY&amp;VAR:SYMBOL=516606&amp;VAR:INDEX=0"}</definedName>
    <definedName name="_16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40__FDSAUDITLINK__" hidden="1">{"fdsup://directions/FAT Viewer?action=UPDATE&amp;creator=factset&amp;DYN_ARGS=TRUE&amp;DOC_NAME=FAT:FQL_AUDITING_CLIENT_TEMPLATE.FAT&amp;display_string=Audit&amp;VAR:KEY=QTUZMNKTSF&amp;VAR:QUERY=RkZfRUJJVChDQUwsMjAwOCwsLCxFVVIp&amp;WINDOW=FIRST_POPUP&amp;HEIGHT=450&amp;WIDTH=450&amp;START_MAXIMI","ZED=FALSE&amp;VAR:CALENDAR=FIVEDAY&amp;VAR:SYMBOL=602129&amp;VAR:INDEX=0"}</definedName>
    <definedName name="_1641__FDSAUDITLINK__" hidden="1">{"fdsup://directions/FAT Viewer?action=UPDATE&amp;creator=factset&amp;DYN_ARGS=TRUE&amp;DOC_NAME=FAT:FQL_AUDITING_CLIENT_TEMPLATE.FAT&amp;display_string=Audit&amp;VAR:KEY=ABOZEXUJSB&amp;VAR:QUERY=RkZfRUJJVERBKENBTCwyMDA5LCwsLEVVUik=&amp;WINDOW=FIRST_POPUP&amp;HEIGHT=450&amp;WIDTH=450&amp;START_MA","XIMIZED=FALSE&amp;VAR:CALENDAR=FIVEDAY&amp;VAR:SYMBOL=571062&amp;VAR:INDEX=0"}</definedName>
    <definedName name="_1642__FDSAUDITLINK__" hidden="1">{"fdsup://directions/FAT Viewer?action=UPDATE&amp;creator=factset&amp;DYN_ARGS=TRUE&amp;DOC_NAME=FAT:FQL_AUDITING_CLIENT_TEMPLATE.FAT&amp;display_string=Audit&amp;VAR:KEY=IZEXYTSDUT&amp;VAR:QUERY=RkZfRUJJVChDQUwsMjAwOSwsLCxFVVIp&amp;WINDOW=FIRST_POPUP&amp;HEIGHT=450&amp;WIDTH=450&amp;START_MAXIMI","ZED=FALSE&amp;VAR:CALENDAR=FIVEDAY&amp;VAR:SYMBOL=602129&amp;VAR:INDEX=0"}</definedName>
    <definedName name="_1643__FDSAUDITLINK__" hidden="1">{"fdsup://directions/FAT Viewer?action=UPDATE&amp;creator=factset&amp;DYN_ARGS=TRUE&amp;DOC_NAME=FAT:FQL_AUDITING_CLIENT_TEMPLATE.FAT&amp;display_string=Audit&amp;VAR:KEY=WVETSVGNWP&amp;VAR:QUERY=RkZfRUJJVChDQUwsMjAwNywsLCxFVVIp&amp;WINDOW=FIRST_POPUP&amp;HEIGHT=450&amp;WIDTH=450&amp;START_MAXIMI","ZED=FALSE&amp;VAR:CALENDAR=FIVEDAY&amp;VAR:SYMBOL=B0KS38&amp;VAR:INDEX=0"}</definedName>
    <definedName name="_1644__FDSAUDITLINK__" hidden="1">{"fdsup://directions/FAT Viewer?action=UPDATE&amp;creator=factset&amp;DYN_ARGS=TRUE&amp;DOC_NAME=FAT:FQL_AUDITING_CLIENT_TEMPLATE.FAT&amp;display_string=Audit&amp;VAR:KEY=UBINQBWJOB&amp;VAR:QUERY=RkZfRUJJVERBKENBTCwyMDA4LCwsLEVVUik=&amp;WINDOW=FIRST_POPUP&amp;HEIGHT=450&amp;WIDTH=450&amp;START_MA","XIMIZED=FALSE&amp;VAR:CALENDAR=FIVEDAY&amp;VAR:SYMBOL=B1Y47Y&amp;VAR:INDEX=0"}</definedName>
    <definedName name="_1645__FDSAUDITLINK__" hidden="1">{"fdsup://directions/FAT Viewer?action=UPDATE&amp;creator=factset&amp;DYN_ARGS=TRUE&amp;DOC_NAME=FAT:FQL_AUDITING_CLIENT_TEMPLATE.FAT&amp;display_string=Audit&amp;VAR:KEY=GDWZKRMHYB&amp;VAR:QUERY=RkZfRUJJVERBKENBTCwyMDA5LCwsLEVVUik=&amp;WINDOW=FIRST_POPUP&amp;HEIGHT=450&amp;WIDTH=450&amp;START_MA","XIMIZED=FALSE&amp;VAR:CALENDAR=FIVEDAY&amp;VAR:SYMBOL=602129&amp;VAR:INDEX=0"}</definedName>
    <definedName name="_164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4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4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4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65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6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7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__123Graph_Xｸﾞﾗﾌ_4" hidden="1">#REF!</definedName>
    <definedName name="_16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8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__123Graph_Xｸﾞﾗﾌ_5" hidden="1">#REF!</definedName>
    <definedName name="_16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9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ALA642C761" hidden="1">#N/A</definedName>
    <definedName name="_17__123Graph_AC04C_ALL_L2" hidden="1">#REF!</definedName>
    <definedName name="_17__123Graph_AC04C_FF_L" hidden="1">#REF!</definedName>
    <definedName name="_17__123Graph_DCHART_1" hidden="1">#REF!</definedName>
    <definedName name="_17__123Graph_DCHART_2" hidden="1">#REF!</definedName>
    <definedName name="_17__123Graph_DCHART_3" hidden="1">#REF!</definedName>
    <definedName name="_17__123Graph_EHR_BY_OEM" hidden="1">#REF!</definedName>
    <definedName name="_17__123Graph_LBL_BCHART_4" hidden="1">#REF!</definedName>
    <definedName name="_1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7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70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71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__FDSAUDITLINK__" hidden="1">{"fdsup://directions/FAT Viewer?action=UPDATE&amp;creator=factset&amp;DYN_ARGS=TRUE&amp;DOC_NAME=FAT:FQL_AUDITING_CLIENT_TEMPLATE.FAT&amp;display_string=Audit&amp;VAR:KEY=HGNCRQBMJG&amp;VAR:QUERY=RkZfRUJJVF9JQihBTk4sMjAwNywsLFJGLEVVUik=&amp;WINDOW=FIRST_POPUP&amp;HEIGHT=450&amp;WIDTH=450&amp;STAR","T_MAXIMIZED=FALSE&amp;VAR:CALENDAR=FIVEDAY&amp;VAR:SYMBOL=552902&amp;VAR:INDEX=0"}</definedName>
    <definedName name="_172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73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74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4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42__FDSAUDITLINK__" hidden="1">{"fdsup://directions/FAT Viewer?action=UPDATE&amp;creator=factset&amp;DYN_ARGS=TRUE&amp;DOC_NAME=FAT:FQL_AUDITING_CLIENT_TEMPLATE.FAT&amp;display_string=Audit&amp;VAR:KEY=SFCBSNUDIJ&amp;VAR:QUERY=RkZfQ0FQRVgoQ0FMLDIwMDksLCwsRVVSKQ==&amp;WINDOW=FIRST_POPUP&amp;HEIGHT=450&amp;WIDTH=450&amp;START_MA","XIMIZED=FALSE&amp;VAR:CALENDAR=FIVEDAY&amp;VAR:SYMBOL=TMO&amp;VAR:INDEX=0"}</definedName>
    <definedName name="_1743__FDSAUDITLINK__" hidden="1">{"fdsup://directions/FAT Viewer?action=UPDATE&amp;creator=factset&amp;DYN_ARGS=TRUE&amp;DOC_NAME=FAT:FQL_AUDITING_CLIENT_TEMPLATE.FAT&amp;display_string=Audit&amp;VAR:KEY=MNCBSPSHMD&amp;VAR:QUERY=RkZfREVCVF9MVChNT04sMCwsLCxFVVIp&amp;WINDOW=FIRST_POPUP&amp;HEIGHT=450&amp;WIDTH=450&amp;START_MAXIMI","ZED=FALSE&amp;VAR:CALENDAR=FIVEDAY&amp;VAR:SYMBOL=653031&amp;VAR:INDEX=0"}</definedName>
    <definedName name="_1744__FDSAUDITLINK__" hidden="1">{"fdsup://directions/FAT Viewer?action=UPDATE&amp;creator=factset&amp;DYN_ARGS=TRUE&amp;DOC_NAME=FAT:FQL_AUDITING_CLIENT_TEMPLATE.FAT&amp;display_string=Audit&amp;VAR:KEY=CXQRONKDGJ&amp;VAR:QUERY=RkZfREVCVF9MVChNT04sMCwsLCxFVVIp&amp;WINDOW=FIRST_POPUP&amp;HEIGHT=450&amp;WIDTH=450&amp;START_MAXIMI","ZED=FALSE&amp;VAR:CALENDAR=FIVEDAY&amp;VAR:SYMBOL=571062&amp;VAR:INDEX=0"}</definedName>
    <definedName name="_1745__FDSAUDITLINK__" hidden="1">{"fdsup://directions/FAT Viewer?action=UPDATE&amp;creator=factset&amp;DYN_ARGS=TRUE&amp;DOC_NAME=FAT:FQL_AUDITING_CLIENT_TEMPLATE.FAT&amp;display_string=Audit&amp;VAR:KEY=QJEDUTEDIT&amp;VAR:QUERY=RkZfRUJJVERBKENBTCwyMDA4LCwsLEVVUik=&amp;WINDOW=FIRST_POPUP&amp;HEIGHT=450&amp;WIDTH=450&amp;START_MA","XIMIZED=FALSE&amp;VAR:CALENDAR=FIVEDAY&amp;VAR:SYMBOL=FOE&amp;VAR:INDEX=0"}</definedName>
    <definedName name="_1746__FDSAUDITLINK__" hidden="1">{"fdsup://directions/FAT Viewer?action=UPDATE&amp;creator=factset&amp;DYN_ARGS=TRUE&amp;DOC_NAME=FAT:FQL_AUDITING_CLIENT_TEMPLATE.FAT&amp;display_string=Audit&amp;VAR:KEY=WTIFGXGDKH&amp;VAR:QUERY=RkZfQ0FQRVgoQ0FMLDIwMDcsLCwsRVVSKQ==&amp;WINDOW=FIRST_POPUP&amp;HEIGHT=450&amp;WIDTH=450&amp;START_MA","XIMIZED=FALSE&amp;VAR:CALENDAR=FIVEDAY&amp;VAR:SYMBOL=OI&amp;VAR:INDEX=0"}</definedName>
    <definedName name="_1747__FDSAUDITLINK__" hidden="1">{"fdsup://directions/FAT Viewer?action=UPDATE&amp;creator=factset&amp;DYN_ARGS=TRUE&amp;DOC_NAME=FAT:FQL_AUDITING_CLIENT_TEMPLATE.FAT&amp;display_string=Audit&amp;VAR:KEY=SVGBYTUDIF&amp;VAR:QUERY=RkZfRUJJVChDQUwsMjAwOCwsLCxFVVIp&amp;WINDOW=FIRST_POPUP&amp;HEIGHT=450&amp;WIDTH=450&amp;START_MAXIMI","ZED=FALSE&amp;VAR:CALENDAR=FIVEDAY&amp;VAR:SYMBOL=646706&amp;VAR:INDEX=0"}</definedName>
    <definedName name="_1748__FDSAUDITLINK__" hidden="1">{"fdsup://directions/FAT Viewer?action=UPDATE&amp;creator=factset&amp;DYN_ARGS=TRUE&amp;DOC_NAME=FAT:FQL_AUDITING_CLIENT_TEMPLATE.FAT&amp;display_string=Audit&amp;VAR:KEY=HCBUTCRKZM&amp;VAR:QUERY=RkZfRUJJVERBKENBTCwyMDA4LCwsLEVVUik=&amp;WINDOW=FIRST_POPUP&amp;HEIGHT=450&amp;WIDTH=450&amp;START_MA","XIMIZED=FALSE&amp;VAR:CALENDAR=FIVEDAY&amp;VAR:SYMBOL=646706&amp;VAR:INDEX=0"}</definedName>
    <definedName name="_1749__FDSAUDITLINK__" hidden="1">{"fdsup://directions/FAT Viewer?action=UPDATE&amp;creator=factset&amp;DYN_ARGS=TRUE&amp;DOC_NAME=FAT:FQL_AUDITING_CLIENT_TEMPLATE.FAT&amp;display_string=Audit&amp;VAR:KEY=HGJYLWTQRM&amp;VAR:QUERY=RkZfRUJJVChDQUwsMjAwOCwsLCxFVVIp&amp;WINDOW=FIRST_POPUP&amp;HEIGHT=450&amp;WIDTH=450&amp;START_MAXIMI","ZED=FALSE&amp;VAR:CALENDAR=FIVEDAY&amp;VAR:SYMBOL=516606&amp;VAR:INDEX=0"}</definedName>
    <definedName name="_17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75_0Rwvu.Pag" hidden="1">#N/A</definedName>
    <definedName name="_1750__FDSAUDITLINK__" hidden="1">{"fdsup://directions/FAT Viewer?action=UPDATE&amp;creator=factset&amp;DYN_ARGS=TRUE&amp;DOC_NAME=FAT:FQL_AUDITING_CLIENT_TEMPLATE.FAT&amp;display_string=Audit&amp;VAR:KEY=VEPIXEVKBW&amp;VAR:QUERY=RkZfRUJJVERBKENBTCwyMDA5LCwsLEVVUik=&amp;WINDOW=FIRST_POPUP&amp;HEIGHT=450&amp;WIDTH=450&amp;START_MA","XIMIZED=FALSE&amp;VAR:CALENDAR=FIVEDAY&amp;VAR:SYMBOL=677120&amp;VAR:INDEX=0"}</definedName>
    <definedName name="_1751__FDSAUDITLINK__" hidden="1">{"fdsup://directions/FAT Viewer?action=UPDATE&amp;creator=factset&amp;DYN_ARGS=TRUE&amp;DOC_NAME=FAT:FQL_AUDITING_CLIENT_TEMPLATE.FAT&amp;display_string=Audit&amp;VAR:KEY=DWDYLWNCXM&amp;VAR:QUERY=RkZfRUJJVChDQUwsMjAwOCwsLCxFVVIp&amp;WINDOW=FIRST_POPUP&amp;HEIGHT=450&amp;WIDTH=450&amp;START_MAXIMI","ZED=FALSE&amp;VAR:CALENDAR=FIVEDAY&amp;VAR:SYMBOL=677120&amp;VAR:INDEX=0"}</definedName>
    <definedName name="_1752__FDSAUDITLINK__" hidden="1">{"fdsup://directions/FAT Viewer?action=UPDATE&amp;creator=factset&amp;DYN_ARGS=TRUE&amp;DOC_NAME=FAT:FQL_AUDITING_CLIENT_TEMPLATE.FAT&amp;display_string=Audit&amp;VAR:KEY=ATGJKRWVEP&amp;VAR:QUERY=RkZfRUJJVERBKENBTCwyMDA3LCwsLEVVUik=&amp;WINDOW=FIRST_POPUP&amp;HEIGHT=450&amp;WIDTH=450&amp;START_MA","XIMIZED=FALSE&amp;VAR:CALENDAR=FIVEDAY&amp;VAR:SYMBOL=FOE&amp;VAR:INDEX=0"}</definedName>
    <definedName name="_1753__FDSAUDITLINK__" hidden="1">{"fdsup://directions/FAT Viewer?action=UPDATE&amp;creator=factset&amp;DYN_ARGS=TRUE&amp;DOC_NAME=FAT:FQL_AUDITING_CLIENT_TEMPLATE.FAT&amp;display_string=Audit&amp;VAR:KEY=FCHUPMHYFE&amp;VAR:QUERY=RkZfRUJJVChDQUwsMjAwOSwsLCxFVVIp&amp;WINDOW=FIRST_POPUP&amp;HEIGHT=450&amp;WIDTH=450&amp;START_MAXIMI","ZED=FALSE&amp;VAR:CALENDAR=FIVEDAY&amp;VAR:SYMBOL=646706&amp;VAR:INDEX=0"}</definedName>
    <definedName name="_1754__FDSAUDITLINK__" hidden="1">{"fdsup://directions/FAT Viewer?action=UPDATE&amp;creator=factset&amp;DYN_ARGS=TRUE&amp;DOC_NAME=FAT:FQL_AUDITING_CLIENT_TEMPLATE.FAT&amp;display_string=Audit&amp;VAR:KEY=FYBMDQJAPE&amp;VAR:QUERY=RkZfQ0FQRVgoQ0FMLDIwMDksLCwsRVVSKQ==&amp;WINDOW=FIRST_POPUP&amp;HEIGHT=450&amp;WIDTH=450&amp;START_MA","XIMIZED=FALSE&amp;VAR:CALENDAR=FIVEDAY&amp;VAR:SYMBOL=677120&amp;VAR:INDEX=0"}</definedName>
    <definedName name="_1755__FDSAUDITLINK__" hidden="1">{"fdsup://directions/FAT Viewer?action=UPDATE&amp;creator=factset&amp;DYN_ARGS=TRUE&amp;DOC_NAME=FAT:FQL_AUDITING_CLIENT_TEMPLATE.FAT&amp;display_string=Audit&amp;VAR:KEY=UTCPGRWTYZ&amp;VAR:QUERY=RkZfRUJJVChDQUwsMjAwOSwsLCxFVVIp&amp;WINDOW=FIRST_POPUP&amp;HEIGHT=450&amp;WIDTH=450&amp;START_MAXIMI","ZED=FALSE&amp;VAR:CALENDAR=FIVEDAY&amp;VAR:SYMBOL=SIAL&amp;VAR:INDEX=0"}</definedName>
    <definedName name="_1756__FDSAUDITLINK__" hidden="1">{"fdsup://directions/FAT Viewer?action=UPDATE&amp;creator=factset&amp;DYN_ARGS=TRUE&amp;DOC_NAME=FAT:FQL_AUDITING_CLIENT_TEMPLATE.FAT&amp;display_string=Audit&amp;VAR:KEY=GFCNKRUVQH&amp;VAR:QUERY=RkZfRUJJVChDQUwsMjAwNywsLCxFVVIp&amp;WINDOW=FIRST_POPUP&amp;HEIGHT=450&amp;WIDTH=450&amp;START_MAXIMI","ZED=FALSE&amp;VAR:CALENDAR=FIVEDAY&amp;VAR:SYMBOL=SIAL&amp;VAR:INDEX=0"}</definedName>
    <definedName name="_1757__FDSAUDITLINK__" hidden="1">{"fdsup://directions/FAT Viewer?action=UPDATE&amp;creator=factset&amp;DYN_ARGS=TRUE&amp;DOC_NAME=FAT:FQL_AUDITING_CLIENT_TEMPLATE.FAT&amp;display_string=Audit&amp;VAR:KEY=IRIJEPYNKB&amp;VAR:QUERY=RkZfRUJJVChDQUwsMjAwNywsLCxFVVIp&amp;WINDOW=FIRST_POPUP&amp;HEIGHT=450&amp;WIDTH=450&amp;START_MAXIMI","ZED=FALSE&amp;VAR:CALENDAR=FIVEDAY&amp;VAR:SYMBOL=653031&amp;VAR:INDEX=0"}</definedName>
    <definedName name="_1758__FDSAUDITLINK__" hidden="1">{"fdsup://directions/FAT Viewer?action=UPDATE&amp;creator=factset&amp;DYN_ARGS=TRUE&amp;DOC_NAME=FAT:FQL_AUDITING_CLIENT_TEMPLATE.FAT&amp;display_string=Audit&amp;VAR:KEY=FKHIBWDQXU&amp;VAR:QUERY=RkZfRUJJVChDQUwsMjAwOSwsLCxFVVIp&amp;WINDOW=FIRST_POPUP&amp;HEIGHT=450&amp;WIDTH=450&amp;START_MAXIMI","ZED=FALSE&amp;VAR:CALENDAR=FIVEDAY&amp;VAR:SYMBOL=667984&amp;VAR:INDEX=0"}</definedName>
    <definedName name="_1759__FDSAUDITLINK__" hidden="1">{"fdsup://directions/FAT Viewer?action=UPDATE&amp;creator=factset&amp;DYN_ARGS=TRUE&amp;DOC_NAME=FAT:FQL_AUDITING_CLIENT_TEMPLATE.FAT&amp;display_string=Audit&amp;VAR:KEY=XORAVGRQPK&amp;VAR:QUERY=RkZfRUJJVERBKENBTCwyMDA4LCwsLEVVUik=&amp;WINDOW=FIRST_POPUP&amp;HEIGHT=450&amp;WIDTH=450&amp;START_MA","XIMIZED=FALSE&amp;VAR:CALENDAR=FIVEDAY&amp;VAR:SYMBOL=677120&amp;VAR:INDEX=0"}</definedName>
    <definedName name="_176__FDSAUDITLINK__" hidden="1">{"fdsup://directions/FAT Viewer?action=UPDATE&amp;creator=factset&amp;DYN_ARGS=TRUE&amp;DOC_NAME=FAT:FQL_AUDITING_CLIENT_TEMPLATE.FAT&amp;display_string=Audit&amp;VAR:KEY=HIRCZMXORK&amp;VAR:QUERY=RkZfRUJJVF9JQihBTk4sMjAwOCwsLFJGLEVVUik=&amp;WINDOW=FIRST_POPUP&amp;HEIGHT=450&amp;WIDTH=450&amp;STAR","T_MAXIMIZED=FALSE&amp;VAR:CALENDAR=FIVEDAY&amp;VAR:SYMBOL=575602&amp;VAR:INDEX=0"}</definedName>
    <definedName name="_1760__FDSAUDITLINK__" hidden="1">{"fdsup://directions/FAT Viewer?action=UPDATE&amp;creator=factset&amp;DYN_ARGS=TRUE&amp;DOC_NAME=FAT:FQL_AUDITING_CLIENT_TEMPLATE.FAT&amp;display_string=Audit&amp;VAR:KEY=WNGZOXEFIV&amp;VAR:QUERY=RkZfRUJJVERBKENBTCwyMDA4LCwsLEVVUik=&amp;WINDOW=FIRST_POPUP&amp;HEIGHT=450&amp;WIDTH=450&amp;START_MA","XIMIZED=FALSE&amp;VAR:CALENDAR=FIVEDAY&amp;VAR:SYMBOL=653031&amp;VAR:INDEX=0"}</definedName>
    <definedName name="_1761__FDSAUDITLINK__" hidden="1">{"fdsup://directions/FAT Viewer?action=UPDATE&amp;creator=factset&amp;DYN_ARGS=TRUE&amp;DOC_NAME=FAT:FQL_AUDITING_CLIENT_TEMPLATE.FAT&amp;display_string=Audit&amp;VAR:KEY=IPKXAJCDYL&amp;VAR:QUERY=RkZfRUJJVChDQUwsMjAwNywsLCxFVVIp&amp;WINDOW=FIRST_POPUP&amp;HEIGHT=450&amp;WIDTH=450&amp;START_MAXIMI","ZED=FALSE&amp;VAR:CALENDAR=FIVEDAY&amp;VAR:SYMBOL=677120&amp;VAR:INDEX=0"}</definedName>
    <definedName name="_1762__FDSAUDITLINK__" hidden="1">{"fdsup://directions/FAT Viewer?action=UPDATE&amp;creator=factset&amp;DYN_ARGS=TRUE&amp;DOC_NAME=FAT:FQL_AUDITING_CLIENT_TEMPLATE.FAT&amp;display_string=Audit&amp;VAR:KEY=WXATAJGLWV&amp;VAR:QUERY=RkZfRUJJVChDQUwsMjAwOSwsLCxFVVIp&amp;WINDOW=FIRST_POPUP&amp;HEIGHT=450&amp;WIDTH=450&amp;START_MAXIMI","ZED=FALSE&amp;VAR:CALENDAR=FIVEDAY&amp;VAR:SYMBOL=677120&amp;VAR:INDEX=0"}</definedName>
    <definedName name="_1763__FDSAUDITLINK__" hidden="1">{"fdsup://Directions/FactSet Auditing Viewer?action=AUDIT_VALUE&amp;DB=129&amp;ID1=59268810&amp;VALUEID=01001&amp;SDATE=2009&amp;PERIODTYPE=ANN_STD&amp;window=popup_no_bar&amp;width=385&amp;height=120&amp;START_MAXIMIZED=FALSE&amp;creator=factset&amp;display_string=Audit"}</definedName>
    <definedName name="_1764__FDSAUDITLINK__" hidden="1">{"fdsup://directions/FAT Viewer?action=UPDATE&amp;creator=factset&amp;DYN_ARGS=TRUE&amp;DOC_NAME=FAT:FQL_AUDITING_CLIENT_TEMPLATE.FAT&amp;display_string=Audit&amp;VAR:KEY=VCHWFIVWDM&amp;VAR:QUERY=RkZfQ0FQRVgoQ0FMLDIwMDgsLCwsRVVSKQ==&amp;WINDOW=FIRST_POPUP&amp;HEIGHT=450&amp;WIDTH=450&amp;START_MA","XIMIZED=FALSE&amp;VAR:CALENDAR=FIVEDAY&amp;VAR:SYMBOL=677120&amp;VAR:INDEX=0"}</definedName>
    <definedName name="_1765__FDSAUDITLINK__" hidden="1">{"fdsup://directions/FAT Viewer?action=UPDATE&amp;creator=factset&amp;DYN_ARGS=TRUE&amp;DOC_NAME=FAT:FQL_AUDITING_CLIENT_TEMPLATE.FAT&amp;display_string=Audit&amp;VAR:KEY=WRWDSHCHOP&amp;VAR:QUERY=RkZfRUJJVERBKENBTCwyMDA3LCwsLEVVUik=&amp;WINDOW=FIRST_POPUP&amp;HEIGHT=450&amp;WIDTH=450&amp;START_MA","XIMIZED=FALSE&amp;VAR:CALENDAR=FIVEDAY&amp;VAR:SYMBOL=606660&amp;VAR:INDEX=0"}</definedName>
    <definedName name="_1766__FDSAUDITLINK__" hidden="1">{"fdsup://directions/FAT Viewer?action=UPDATE&amp;creator=factset&amp;DYN_ARGS=TRUE&amp;DOC_NAME=FAT:FQL_AUDITING_CLIENT_TEMPLATE.FAT&amp;display_string=Audit&amp;VAR:KEY=WJQTSZOFYL&amp;VAR:QUERY=RkZfRUJJVChDQUwsMjAwOSwsLCxFVVIp&amp;WINDOW=FIRST_POPUP&amp;HEIGHT=450&amp;WIDTH=450&amp;START_MAXIMI","ZED=FALSE&amp;VAR:CALENDAR=FIVEDAY&amp;VAR:SYMBOL=B1Y47Y&amp;VAR:INDEX=0"}</definedName>
    <definedName name="_1767__FDSAUDITLINK__" hidden="1">{"fdsup://directions/FAT Viewer?action=UPDATE&amp;creator=factset&amp;DYN_ARGS=TRUE&amp;DOC_NAME=FAT:FQL_AUDITING_CLIENT_TEMPLATE.FAT&amp;display_string=Audit&amp;VAR:KEY=SBCPWVCRAF&amp;VAR:QUERY=RkZfQ0FQRVgoQ0FMLDIwMDcsLCwsRVVSKQ==&amp;WINDOW=FIRST_POPUP&amp;HEIGHT=450&amp;WIDTH=450&amp;START_MA","XIMIZED=FALSE&amp;VAR:CALENDAR=FIVEDAY&amp;VAR:SYMBOL=646706&amp;VAR:INDEX=0"}</definedName>
    <definedName name="_1768__FDSAUDITLINK__" hidden="1">{"fdsup://directions/FAT Viewer?action=UPDATE&amp;creator=factset&amp;DYN_ARGS=TRUE&amp;DOC_NAME=FAT:FQL_AUDITING_CLIENT_TEMPLATE.FAT&amp;display_string=Audit&amp;VAR:KEY=GJMPYHSNWL&amp;VAR:QUERY=RkZfREVCVF9MVChNT04sMCwsLCxFVVIp&amp;WINDOW=FIRST_POPUP&amp;HEIGHT=450&amp;WIDTH=450&amp;START_MAXIMI","ZED=FALSE&amp;VAR:CALENDAR=FIVEDAY&amp;VAR:SYMBOL=B0KS38&amp;VAR:INDEX=0"}</definedName>
    <definedName name="_1769__FDSAUDITLINK__" hidden="1">{"fdsup://directions/FAT Viewer?action=UPDATE&amp;creator=factset&amp;DYN_ARGS=TRUE&amp;DOC_NAME=FAT:FQL_AUDITING_CLIENT_TEMPLATE.FAT&amp;display_string=Audit&amp;VAR:KEY=CPWJGREBCV&amp;VAR:QUERY=RkZfREVCVF9MVChNT04sMCwsLCxFVVIp&amp;WINDOW=FIRST_POPUP&amp;HEIGHT=450&amp;WIDTH=450&amp;START_MAXIMI","ZED=FALSE&amp;VAR:CALENDAR=FIVEDAY&amp;VAR:SYMBOL=516606&amp;VAR:INDEX=0"}</definedName>
    <definedName name="_177__FDSAUDITLINK__" hidden="1">{"fdsup://directions/FAT Viewer?action=UPDATE&amp;creator=factset&amp;DYN_ARGS=TRUE&amp;DOC_NAME=FAT:FQL_AUDITING_CLIENT_TEMPLATE.FAT&amp;display_string=Audit&amp;VAR:KEY=XYJQXOFCFW&amp;VAR:QUERY=RkZfRUJJVF9JQihBTk4sMjAwNywsLFJGLEVVUik=&amp;WINDOW=FIRST_POPUP&amp;HEIGHT=450&amp;WIDTH=450&amp;STAR","T_MAXIMIZED=FALSE&amp;VAR:CALENDAR=FIVEDAY&amp;VAR:SYMBOL=575602&amp;VAR:INDEX=0"}</definedName>
    <definedName name="_1770__FDSAUDITLINK__" hidden="1">{"fdsup://Directions/FactSet Auditing Viewer?action=AUDIT_VALUE&amp;DB=129&amp;ID1=69076840&amp;VALUEID=01001&amp;SDATE=2008&amp;PERIODTYPE=ANN_STD&amp;window=popup_no_bar&amp;width=385&amp;height=120&amp;START_MAXIMIZED=FALSE&amp;creator=factset&amp;display_string=Audit"}</definedName>
    <definedName name="_1771__FDSAUDITLINK__" hidden="1">{"fdsup://directions/FAT Viewer?action=UPDATE&amp;creator=factset&amp;DYN_ARGS=TRUE&amp;DOC_NAME=FAT:FQL_AUDITING_CLIENT_TEMPLATE.FAT&amp;display_string=Audit&amp;VAR:KEY=ONYLGHKNYF&amp;VAR:QUERY=RkZfQ0FQRVgoQ0FMLDIwMDcsLCwsRVVSKQ==&amp;WINDOW=FIRST_POPUP&amp;HEIGHT=450&amp;WIDTH=450&amp;START_MA","XIMIZED=FALSE&amp;VAR:CALENDAR=FIVEDAY&amp;VAR:SYMBOL=B1Y47Y&amp;VAR:INDEX=0"}</definedName>
    <definedName name="_1772__FDSAUDITLINK__" hidden="1">{"fdsup://directions/FAT Viewer?action=UPDATE&amp;creator=factset&amp;DYN_ARGS=TRUE&amp;DOC_NAME=FAT:FQL_AUDITING_CLIENT_TEMPLATE.FAT&amp;display_string=Audit&amp;VAR:KEY=YVQBGFGPIF&amp;VAR:QUERY=RkZfREVCVF9MVChNT04sMCwsLCxFVVIp&amp;WINDOW=FIRST_POPUP&amp;HEIGHT=450&amp;WIDTH=450&amp;START_MAXIMI","ZED=FALSE&amp;VAR:CALENDAR=FIVEDAY&amp;VAR:SYMBOL=646706&amp;VAR:INDEX=0"}</definedName>
    <definedName name="_1773__FDSAUDITLINK__" hidden="1">{"fdsup://directions/FAT Viewer?action=UPDATE&amp;creator=factset&amp;DYN_ARGS=TRUE&amp;DOC_NAME=FAT:FQL_AUDITING_CLIENT_TEMPLATE.FAT&amp;display_string=Audit&amp;VAR:KEY=GHAVQTGFWJ&amp;VAR:QUERY=RkZfQ0FQRVgoQ0FMLDIwMDksLCwsRVVSKQ==&amp;WINDOW=FIRST_POPUP&amp;HEIGHT=450&amp;WIDTH=450&amp;START_MA","XIMIZED=FALSE&amp;VAR:CALENDAR=FIVEDAY&amp;VAR:SYMBOL=223350&amp;VAR:INDEX=0"}</definedName>
    <definedName name="_1774__FDSAUDITLINK__" hidden="1">{"fdsup://Directions/FactSet Auditing Viewer?action=AUDIT_VALUE&amp;DB=129&amp;ID1=88355610&amp;VALUEID=01001&amp;SDATE=2009&amp;PERIODTYPE=ANN_STD&amp;window=popup_no_bar&amp;width=385&amp;height=120&amp;START_MAXIMIZED=FALSE&amp;creator=factset&amp;display_string=Audit"}</definedName>
    <definedName name="_1775__FDSAUDITLINK__" hidden="1">{"fdsup://directions/FAT Viewer?action=UPDATE&amp;creator=factset&amp;DYN_ARGS=TRUE&amp;DOC_NAME=FAT:FQL_AUDITING_CLIENT_TEMPLATE.FAT&amp;display_string=Audit&amp;VAR:KEY=LGPQHAXWXW&amp;VAR:QUERY=RkZfQ0FQRVgoQ0FMLDIwMDcsLCwsRVVSKQ==&amp;WINDOW=FIRST_POPUP&amp;HEIGHT=450&amp;WIDTH=450&amp;START_MA","XIMIZED=FALSE&amp;VAR:CALENDAR=FIVEDAY&amp;VAR:SYMBOL=516606&amp;VAR:INDEX=0"}</definedName>
    <definedName name="_1776__FDSAUDITLINK__" hidden="1">{"fdsup://directions/FAT Viewer?action=UPDATE&amp;creator=factset&amp;DYN_ARGS=TRUE&amp;DOC_NAME=FAT:FQL_AUDITING_CLIENT_TEMPLATE.FAT&amp;display_string=Audit&amp;VAR:KEY=MRUXMXORIZ&amp;VAR:QUERY=RkZfRUJJVERBKENBTCwyMDA3LCwsLEVVUik=&amp;WINDOW=FIRST_POPUP&amp;HEIGHT=450&amp;WIDTH=450&amp;START_MA","XIMIZED=FALSE&amp;VAR:CALENDAR=FIVEDAY&amp;VAR:SYMBOL=571062&amp;VAR:INDEX=0"}</definedName>
    <definedName name="_1777__FDSAUDITLINK__" hidden="1">{"fdsup://directions/FAT Viewer?action=UPDATE&amp;creator=factset&amp;DYN_ARGS=TRUE&amp;DOC_NAME=FAT:FQL_AUDITING_CLIENT_TEMPLATE.FAT&amp;display_string=Audit&amp;VAR:KEY=IZQRCVIHEF&amp;VAR:QUERY=RkZfREVCVF9MVChNT04sMCwsLCxFVVIp&amp;WINDOW=FIRST_POPUP&amp;HEIGHT=450&amp;WIDTH=450&amp;START_MAXIMI","ZED=FALSE&amp;VAR:CALENDAR=FIVEDAY&amp;VAR:SYMBOL=GLW&amp;VAR:INDEX=0"}</definedName>
    <definedName name="_1778__FDSAUDITLINK__" hidden="1">{"fdsup://directions/FAT Viewer?action=UPDATE&amp;creator=factset&amp;DYN_ARGS=TRUE&amp;DOC_NAME=FAT:FQL_AUDITING_CLIENT_TEMPLATE.FAT&amp;display_string=Audit&amp;VAR:KEY=FAPSJIPMPK&amp;VAR:QUERY=RkZfRUJJVERBKENBTCwyMDA3LCwsLEVVUik=&amp;WINDOW=FIRST_POPUP&amp;HEIGHT=450&amp;WIDTH=450&amp;START_MA","XIMIZED=FALSE&amp;VAR:CALENDAR=FIVEDAY&amp;VAR:SYMBOL=516606&amp;VAR:INDEX=0"}</definedName>
    <definedName name="_1779__FDSAUDITLINK__" hidden="1">{"fdsup://directions/FAT Viewer?action=UPDATE&amp;creator=factset&amp;DYN_ARGS=TRUE&amp;DOC_NAME=FAT:FQL_AUDITING_CLIENT_TEMPLATE.FAT&amp;display_string=Audit&amp;VAR:KEY=QPEBKTADIT&amp;VAR:QUERY=RkZfREVCVF9MVChNT04sMCwsLCxFVVIp&amp;WINDOW=FIRST_POPUP&amp;HEIGHT=450&amp;WIDTH=450&amp;START_MAXIMI","ZED=FALSE&amp;VAR:CALENDAR=FIVEDAY&amp;VAR:SYMBOL=B1Y47Y&amp;VAR:INDEX=0"}</definedName>
    <definedName name="_178__FDSAUDITLINK__" hidden="1">{"fdsup://directions/FAT Viewer?action=UPDATE&amp;creator=factset&amp;DYN_ARGS=TRUE&amp;DOC_NAME=FAT:FQL_AUDITING_CLIENT_TEMPLATE.FAT&amp;display_string=Audit&amp;VAR:KEY=PYJIBGXONK&amp;VAR:QUERY=RkZfRUJJVF9JQihBTk4sMjAwOSwsLFJGLEVVUik=&amp;WINDOW=FIRST_POPUP&amp;HEIGHT=450&amp;WIDTH=450&amp;STAR","T_MAXIMIZED=FALSE&amp;VAR:CALENDAR=FIVEDAY&amp;VAR:SYMBOL=552902&amp;VAR:INDEX=0"}</definedName>
    <definedName name="_1780__FDSAUDITLINK__" hidden="1">{"fdsup://directions/FAT Viewer?action=UPDATE&amp;creator=factset&amp;DYN_ARGS=TRUE&amp;DOC_NAME=FAT:FQL_AUDITING_CLIENT_TEMPLATE.FAT&amp;display_string=Audit&amp;VAR:KEY=AVURCLCPEF&amp;VAR:QUERY=RkZfRUJJVChDQUwsMjAwOCwsLCxFVVIp&amp;WINDOW=FIRST_POPUP&amp;HEIGHT=450&amp;WIDTH=450&amp;START_MAXIMI","ZED=FALSE&amp;VAR:CALENDAR=FIVEDAY&amp;VAR:SYMBOL=GLW&amp;VAR:INDEX=0"}</definedName>
    <definedName name="_1781__FDSAUDITLINK__" hidden="1">{"fdsup://directions/FAT Viewer?action=UPDATE&amp;creator=factset&amp;DYN_ARGS=TRUE&amp;DOC_NAME=FAT:FQL_AUDITING_CLIENT_TEMPLATE.FAT&amp;display_string=Audit&amp;VAR:KEY=CPCTCHUDQV&amp;VAR:QUERY=RkZfREVCVF9MVChNT04sMCwsLCxFVVIp&amp;WINDOW=FIRST_POPUP&amp;HEIGHT=450&amp;WIDTH=450&amp;START_MAXIMI","ZED=FALSE&amp;VAR:CALENDAR=FIVEDAY&amp;VAR:SYMBOL=OI&amp;VAR:INDEX=0"}</definedName>
    <definedName name="_1782__FDSAUDITLINK__" hidden="1">{"fdsup://directions/FAT Viewer?action=UPDATE&amp;creator=factset&amp;DYN_ARGS=TRUE&amp;DOC_NAME=FAT:FQL_AUDITING_CLIENT_TEMPLATE.FAT&amp;display_string=Audit&amp;VAR:KEY=QZUDGXYFYT&amp;VAR:QUERY=RkZfRUJJVERBKENBTCwyMDA5LCwsLEVVUik=&amp;WINDOW=FIRST_POPUP&amp;HEIGHT=450&amp;WIDTH=450&amp;START_MA","XIMIZED=FALSE&amp;VAR:CALENDAR=FIVEDAY&amp;VAR:SYMBOL=667984&amp;VAR:INDEX=0"}</definedName>
    <definedName name="_1783__FDSAUDITLINK__" hidden="1">{"fdsup://directions/FAT Viewer?action=UPDATE&amp;creator=factset&amp;DYN_ARGS=TRUE&amp;DOC_NAME=FAT:FQL_AUDITING_CLIENT_TEMPLATE.FAT&amp;display_string=Audit&amp;VAR:KEY=HSXADONGTG&amp;VAR:QUERY=RkZfRUJJVChDQUwsMjAwNywsLCxFVVIp&amp;WINDOW=FIRST_POPUP&amp;HEIGHT=450&amp;WIDTH=450&amp;START_MAXIMI","ZED=FALSE&amp;VAR:CALENDAR=FIVEDAY&amp;VAR:SYMBOL=646706&amp;VAR:INDEX=0"}</definedName>
    <definedName name="_1784__FDSAUDITLINK__" hidden="1">{"fdsup://directions/FAT Viewer?action=UPDATE&amp;creator=factset&amp;DYN_ARGS=TRUE&amp;DOC_NAME=FAT:FQL_AUDITING_CLIENT_TEMPLATE.FAT&amp;display_string=Audit&amp;VAR:KEY=GXWZUROVED&amp;VAR:QUERY=RkZfQ0FQRVgoQ0FMLDIwMDgsLCwsRVVSKQ==&amp;WINDOW=FIRST_POPUP&amp;HEIGHT=450&amp;WIDTH=450&amp;START_MA","XIMIZED=FALSE&amp;VAR:CALENDAR=FIVEDAY&amp;VAR:SYMBOL=07588710&amp;VAR:INDEX=0"}</definedName>
    <definedName name="_1785__FDSAUDITLINK__" hidden="1">{"fdsup://directions/FAT Viewer?action=UPDATE&amp;creator=factset&amp;DYN_ARGS=TRUE&amp;DOC_NAME=FAT:FQL_AUDITING_CLIENT_TEMPLATE.FAT&amp;display_string=Audit&amp;VAR:KEY=SBMLSDGPKH&amp;VAR:QUERY=RkZfRUJJVERBKENBTCwyMDA5LCwsLEVVUik=&amp;WINDOW=FIRST_POPUP&amp;HEIGHT=450&amp;WIDTH=450&amp;START_MA","XIMIZED=FALSE&amp;VAR:CALENDAR=FIVEDAY&amp;VAR:SYMBOL=646706&amp;VAR:INDEX=0"}</definedName>
    <definedName name="_1786__FDSAUDITLINK__" hidden="1">{"fdsup://directions/FAT Viewer?action=UPDATE&amp;creator=factset&amp;DYN_ARGS=TRUE&amp;DOC_NAME=FAT:FQL_AUDITING_CLIENT_TEMPLATE.FAT&amp;display_string=Audit&amp;VAR:KEY=INGFOPAPKF&amp;VAR:QUERY=RkZfRUJJVERBKENBTCwyMDA4LCwsLEVVUik=&amp;WINDOW=FIRST_POPUP&amp;HEIGHT=450&amp;WIDTH=450&amp;START_MA","XIMIZED=FALSE&amp;VAR:CALENDAR=FIVEDAY&amp;VAR:SYMBOL=TMO&amp;VAR:INDEX=0"}</definedName>
    <definedName name="_1787__FDSAUDITLINK__" hidden="1">{"fdsup://directions/FAT Viewer?action=UPDATE&amp;creator=factset&amp;DYN_ARGS=TRUE&amp;DOC_NAME=FAT:FQL_AUDITING_CLIENT_TEMPLATE.FAT&amp;display_string=Audit&amp;VAR:KEY=TAZMVIZGTQ&amp;VAR:QUERY=RkZfRUJJVERBKENBTCwyMDA5LCwsLEVVUik=&amp;WINDOW=FIRST_POPUP&amp;HEIGHT=450&amp;WIDTH=450&amp;START_MA","XIMIZED=FALSE&amp;VAR:CALENDAR=FIVEDAY&amp;VAR:SYMBOL=B1XHN3&amp;VAR:INDEX=0"}</definedName>
    <definedName name="_1788__FDSAUDITLINK__" hidden="1">{"fdsup://directions/FAT Viewer?action=UPDATE&amp;creator=factset&amp;DYN_ARGS=TRUE&amp;DOC_NAME=FAT:FQL_AUDITING_CLIENT_TEMPLATE.FAT&amp;display_string=Audit&amp;VAR:KEY=WBYVKBALEF&amp;VAR:QUERY=RkZfQ0FQRVgoQ0FMLDIwMDcsLCwsRVVSKQ==&amp;WINDOW=FIRST_POPUP&amp;HEIGHT=450&amp;WIDTH=450&amp;START_MA","XIMIZED=FALSE&amp;VAR:CALENDAR=FIVEDAY&amp;VAR:SYMBOL=B0KS38&amp;VAR:INDEX=0"}</definedName>
    <definedName name="_1789__FDSAUDITLINK__" hidden="1">{"fdsup://directions/FAT Viewer?action=UPDATE&amp;creator=factset&amp;DYN_ARGS=TRUE&amp;DOC_NAME=FAT:FQL_AUDITING_CLIENT_TEMPLATE.FAT&amp;display_string=Audit&amp;VAR:KEY=TGHOHYTEBM&amp;VAR:QUERY=RkZfRUJJVChDQUwsMjAwOCwsLCxFVVIp&amp;WINDOW=FIRST_POPUP&amp;HEIGHT=450&amp;WIDTH=450&amp;START_MAXIMI","ZED=FALSE&amp;VAR:CALENDAR=FIVEDAY&amp;VAR:SYMBOL=OI&amp;VAR:INDEX=0"}</definedName>
    <definedName name="_179__FDSAUDITLINK__" hidden="1">{"fdsup://directions/FAT Viewer?action=UPDATE&amp;creator=factset&amp;DYN_ARGS=TRUE&amp;DOC_NAME=FAT:FQL_AUDITING_CLIENT_TEMPLATE.FAT&amp;display_string=Audit&amp;VAR:KEY=HINYVWDOLC&amp;VAR:QUERY=RkZfRUJJVF9JQihBTk4sMjAwOCwsLFJGLEVVUik=&amp;WINDOW=FIRST_POPUP&amp;HEIGHT=450&amp;WIDTH=450&amp;STAR","T_MAXIMIZED=FALSE&amp;VAR:CALENDAR=FIVEDAY&amp;VAR:SYMBOL=552902&amp;VAR:INDEX=0"}</definedName>
    <definedName name="_1790__FDSAUDITLINK__" hidden="1">{"fdsup://directions/FAT Viewer?action=UPDATE&amp;creator=factset&amp;DYN_ARGS=TRUE&amp;DOC_NAME=FAT:FQL_AUDITING_CLIENT_TEMPLATE.FAT&amp;display_string=Audit&amp;VAR:KEY=LKVKFIFYTS&amp;VAR:QUERY=RkZfRUJJVERBKENBTCwyMDA4LCwsLEVVUik=&amp;WINDOW=FIRST_POPUP&amp;HEIGHT=450&amp;WIDTH=450&amp;START_MA","XIMIZED=FALSE&amp;VAR:CALENDAR=FIVEDAY&amp;VAR:SYMBOL=B1XHN3&amp;VAR:INDEX=0"}</definedName>
    <definedName name="_1791__FDSAUDITLINK__" hidden="1">{"fdsup://Directions/FactSet Auditing Viewer?action=AUDIT_VALUE&amp;DB=129&amp;ID1=677120&amp;VALUEID=01001&amp;SDATE=2009&amp;PERIODTYPE=ANN_STD&amp;window=popup_no_bar&amp;width=385&amp;height=120&amp;START_MAXIMIZED=FALSE&amp;creator=factset&amp;display_string=Audit"}</definedName>
    <definedName name="_1792__FDSAUDITLINK__" hidden="1">{"fdsup://directions/FAT Viewer?action=UPDATE&amp;creator=factset&amp;DYN_ARGS=TRUE&amp;DOC_NAME=FAT:FQL_AUDITING_CLIENT_TEMPLATE.FAT&amp;display_string=Audit&amp;VAR:KEY=JKZABSVAZC&amp;VAR:QUERY=RkZfQ0FQRVgoQ0FMLDIwMDgsLCwsRVVSKQ==&amp;WINDOW=FIRST_POPUP&amp;HEIGHT=450&amp;WIDTH=450&amp;START_MA","XIMIZED=FALSE&amp;VAR:CALENDAR=FIVEDAY&amp;VAR:SYMBOL=516606&amp;VAR:INDEX=0"}</definedName>
    <definedName name="_1793__FDSAUDITLINK__" hidden="1">{"fdsup://directions/FAT Viewer?action=UPDATE&amp;creator=factset&amp;DYN_ARGS=TRUE&amp;DOC_NAME=FAT:FQL_AUDITING_CLIENT_TEMPLATE.FAT&amp;display_string=Audit&amp;VAR:KEY=SBCPWVCRAF&amp;VAR:QUERY=RkZfQ0FQRVgoQ0FMLDIwMDcsLCwsRVVSKQ==&amp;WINDOW=FIRST_POPUP&amp;HEIGHT=450&amp;WIDTH=450&amp;START_MA","XIMIZED=FALSE&amp;VAR:CALENDAR=FIVEDAY&amp;VAR:SYMBOL=646706&amp;VAR:INDEX=0"}</definedName>
    <definedName name="_1794__FDSAUDITLINK__" hidden="1">{"fdsup://Directions/FactSet Auditing Viewer?action=AUDIT_VALUE&amp;DB=129&amp;ID1=69076840&amp;VALUEID=01001&amp;SDATE=2009&amp;PERIODTYPE=ANN_STD&amp;window=popup_no_bar&amp;width=385&amp;height=120&amp;START_MAXIMIZED=FALSE&amp;creator=factset&amp;display_string=Audit"}</definedName>
    <definedName name="_1795__FDSAUDITLINK__" hidden="1">{"fdsup://directions/FAT Viewer?action=UPDATE&amp;creator=factset&amp;DYN_ARGS=TRUE&amp;DOC_NAME=FAT:FQL_AUDITING_CLIENT_TEMPLATE.FAT&amp;display_string=Audit&amp;VAR:KEY=MXEJYJAZAD&amp;VAR:QUERY=RkZfRUJJVChDQUwsMjAwOCwsLCxFVVIp&amp;WINDOW=FIRST_POPUP&amp;HEIGHT=450&amp;WIDTH=450&amp;START_MAXIMI","ZED=FALSE&amp;VAR:CALENDAR=FIVEDAY&amp;VAR:SYMBOL=SIAL&amp;VAR:INDEX=0"}</definedName>
    <definedName name="_179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79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79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79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7ALA642C761" hidden="1">#N/A</definedName>
    <definedName name="_18__123Graph_AC04C_ALL_T1" hidden="1">#REF!</definedName>
    <definedName name="_18__123Graph_AC04C_FF_T" hidden="1">#REF!</definedName>
    <definedName name="_18__123Graph_DCHART_2" hidden="1">#REF!</definedName>
    <definedName name="_18__123Graph_DCHART_4" hidden="1">#REF!</definedName>
    <definedName name="_18__123Graph_EUNIT_BY_OEM" hidden="1">#REF!</definedName>
    <definedName name="_18__123Graph_LBL_ACHART_1" hidden="1">#N/A</definedName>
    <definedName name="_18__123Graph_LBL_CCHART_3" hidden="1">#REF!</definedName>
    <definedName name="_18__123Graph_XCHART_1" hidden="1">#REF!</definedName>
    <definedName name="_1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8_123Grap" hidden="1">#REF!</definedName>
    <definedName name="_180__FDSAUDITLINK__" hidden="1">{"fdsup://directions/FAT Viewer?action=UPDATE&amp;creator=factset&amp;DYN_ARGS=TRUE&amp;DOC_NAME=FAT:FQL_AUDITING_CLIENT_TEMPLATE.FAT&amp;display_string=Audit&amp;VAR:KEY=LWROTGFMRS&amp;VAR:QUERY=RkZfRUJJVF9JQihBTk4sMjAwNywsLFJGLEVVUik=&amp;WINDOW=FIRST_POPUP&amp;HEIGHT=450&amp;WIDTH=450&amp;STAR","T_MAXIMIZED=FALSE&amp;VAR:CALENDAR=FIVEDAY&amp;VAR:SYMBOL=471279&amp;VAR:INDEX=0"}</definedName>
    <definedName name="_180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__FDSAUDITLINK__" hidden="1">{"fdsup://directions/FAT Viewer?action=UPDATE&amp;creator=factset&amp;DYN_ARGS=TRUE&amp;DOC_NAME=FAT:FQL_AUDITING_CLIENT_TEMPLATE.FAT&amp;display_string=Audit&amp;VAR:KEY=ZODWHUVGVW&amp;VAR:QUERY=RkZfRUJJVF9JQihBTk4sMjAwOSwsLFJGLEVVUik=&amp;WINDOW=FIRST_POPUP&amp;HEIGHT=450&amp;WIDTH=450&amp;STAR","T_MAXIMIZED=FALSE&amp;VAR:CALENDAR=FIVEDAY&amp;VAR:SYMBOL=549710&amp;VAR:INDEX=0"}</definedName>
    <definedName name="_181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__FDSAUDITLINK__" hidden="1">{"fdsup://directions/FAT Viewer?action=UPDATE&amp;creator=factset&amp;DYN_ARGS=TRUE&amp;DOC_NAME=FAT:FQL_AUDITING_CLIENT_TEMPLATE.FAT&amp;display_string=Audit&amp;VAR:KEY=JGHURQPYNM&amp;VAR:QUERY=RkZfRUJJVF9JQihBTk4sMjAwOCwsLFJGLEVVUik=&amp;WINDOW=FIRST_POPUP&amp;HEIGHT=450&amp;WIDTH=450&amp;STAR","T_MAXIMIZED=FALSE&amp;VAR:CALENDAR=FIVEDAY&amp;VAR:SYMBOL=549710&amp;VAR:INDEX=0"}</definedName>
    <definedName name="_182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__FDSAUDITLINK__" hidden="1">{"fdsup://directions/FAT Viewer?action=UPDATE&amp;creator=factset&amp;DYN_ARGS=TRUE&amp;DOC_NAME=FAT:FQL_AUDITING_CLIENT_TEMPLATE.FAT&amp;display_string=Audit&amp;VAR:KEY=JSLWTABADM&amp;VAR:QUERY=RkZfRUJJVF9JQihBTk4sMjAwNywsLFJGLEVVUik=&amp;WINDOW=FIRST_POPUP&amp;HEIGHT=450&amp;WIDTH=450&amp;STAR","T_MAXIMIZED=FALSE&amp;VAR:CALENDAR=FIVEDAY&amp;VAR:SYMBOL=549710&amp;VAR:INDEX=0"}</definedName>
    <definedName name="_183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__FDSAUDITLINK__" hidden="1">{"fdsup://directions/FAT Viewer?action=UPDATE&amp;creator=factset&amp;DYN_ARGS=TRUE&amp;DOC_NAME=FAT:FQL_AUDITING_CLIENT_TEMPLATE.FAT&amp;display_string=Audit&amp;VAR:KEY=PMPANYXIRE&amp;VAR:QUERY=RkZfRUJJVF9JQihBTk4sMjAwOSwsLFJGLEVVUik=&amp;WINDOW=FIRST_POPUP&amp;HEIGHT=450&amp;WIDTH=450&amp;STAR","T_MAXIMIZED=FALSE&amp;VAR:CALENDAR=FIVEDAY&amp;VAR:SYMBOL=574852&amp;VAR:INDEX=0"}</definedName>
    <definedName name="_184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__FDSAUDITLINK__" hidden="1">{"fdsup://directions/FAT Viewer?action=UPDATE&amp;creator=factset&amp;DYN_ARGS=TRUE&amp;DOC_NAME=FAT:FQL_AUDITING_CLIENT_TEMPLATE.FAT&amp;display_string=Audit&amp;VAR:KEY=LGZQXGNOFI&amp;VAR:QUERY=RkZfRUJJVF9JQihBTk4sMjAwOCwsLFJGLEVVUik=&amp;WINDOW=FIRST_POPUP&amp;HEIGHT=450&amp;WIDTH=450&amp;STAR","T_MAXIMIZED=FALSE&amp;VAR:CALENDAR=FIVEDAY&amp;VAR:SYMBOL=574852&amp;VAR:INDEX=0"}</definedName>
    <definedName name="_185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__FDSAUDITLINK__" hidden="1">{"fdsup://directions/FAT Viewer?action=UPDATE&amp;creator=factset&amp;DYN_ARGS=TRUE&amp;DOC_NAME=FAT:FQL_AUDITING_CLIENT_TEMPLATE.FAT&amp;display_string=Audit&amp;VAR:KEY=TCNOHKJMVQ&amp;VAR:QUERY=RkZfRUJJVF9JQihBTk4sMjAwNywsLFJGLEVVUik=&amp;WINDOW=FIRST_POPUP&amp;HEIGHT=450&amp;WIDTH=450&amp;STAR","T_MAXIMIZED=FALSE&amp;VAR:CALENDAR=FIVEDAY&amp;VAR:SYMBOL=574852&amp;VAR:INDEX=0"}</definedName>
    <definedName name="_186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__FDSAUDITLINK__" hidden="1">{"fdsup://directions/FAT Viewer?action=UPDATE&amp;creator=factset&amp;DYN_ARGS=TRUE&amp;DOC_NAME=FAT:FQL_AUDITING_CLIENT_TEMPLATE.FAT&amp;display_string=Audit&amp;VAR:KEY=NGFUXOXKVW&amp;VAR:QUERY=RkZfRUJJVF9JQihBTk4sMjAwOSwsLFJGLEVVUik=&amp;WINDOW=FIRST_POPUP&amp;HEIGHT=450&amp;WIDTH=450&amp;STAR","T_MAXIMIZED=FALSE&amp;VAR:CALENDAR=FIVEDAY&amp;VAR:SYMBOL=34537086&amp;VAR:INDEX=0"}</definedName>
    <definedName name="_187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__FDSAUDITLINK__" hidden="1">{"fdsup://directions/FAT Viewer?action=UPDATE&amp;creator=factset&amp;DYN_ARGS=TRUE&amp;DOC_NAME=FAT:FQL_AUDITING_CLIENT_TEMPLATE.FAT&amp;display_string=Audit&amp;VAR:KEY=BYFIROHARE&amp;VAR:QUERY=RkZfRUJJVF9JQihBTk4sMjAwOCwsLFJGLEVVUik=&amp;WINDOW=FIRST_POPUP&amp;HEIGHT=450&amp;WIDTH=450&amp;STAR","T_MAXIMIZED=FALSE&amp;VAR:CALENDAR=FIVEDAY&amp;VAR:SYMBOL=34537086&amp;VAR:INDEX=0"}</definedName>
    <definedName name="_188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9__FDSAUDITLINK__" hidden="1">{"fdsup://directions/FAT Viewer?action=UPDATE&amp;creator=factset&amp;DYN_ARGS=TRUE&amp;DOC_NAME=FAT:FQL_AUDITING_CLIENT_TEMPLATE.FAT&amp;display_string=Audit&amp;VAR:KEY=DOFKVKJMDI&amp;VAR:QUERY=RkZfRUJJVF9JQihBTk4sMjAwNywsLFJGLEVVUik=&amp;WINDOW=FIRST_POPUP&amp;HEIGHT=450&amp;WIDTH=450&amp;STAR","T_MAXIMIZED=FALSE&amp;VAR:CALENDAR=FIVEDAY&amp;VAR:SYMBOL=34537086&amp;VAR:INDEX=0"}</definedName>
    <definedName name="_189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9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92__FDSAUDITLINK__" hidden="1">{"fdsup://directions/FAT Viewer?action=UPDATE&amp;creator=factset&amp;DYN_ARGS=TRUE&amp;DOC_NAME=FAT:FQL_AUDITING_CLIENT_TEMPLATE.FAT&amp;display_string=Audit&amp;VAR:KEY=MVUJGHYNAR&amp;VAR:QUERY=RkZfRUJJVChDQUwsMjAwNywsLCxFVVIp&amp;WINDOW=FIRST_POPUP&amp;HEIGHT=450&amp;WIDTH=450&amp;START_MAXIMI","ZED=FALSE&amp;VAR:CALENDAR=FIVEDAY&amp;VAR:SYMBOL=602129&amp;VAR:INDEX=0"}</definedName>
    <definedName name="_1893__FDSAUDITLINK__" hidden="1">{"fdsup://directions/FAT Viewer?action=UPDATE&amp;creator=factset&amp;DYN_ARGS=TRUE&amp;DOC_NAME=FAT:FQL_AUDITING_CLIENT_TEMPLATE.FAT&amp;display_string=Audit&amp;VAR:KEY=MPUDWRIVKR&amp;VAR:QUERY=RkZfRUJJVERBKENBTCwyMDA5LCwsLEVVUik=&amp;WINDOW=FIRST_POPUP&amp;HEIGHT=450&amp;WIDTH=450&amp;START_MA","XIMIZED=FALSE&amp;VAR:CALENDAR=FIVEDAY&amp;VAR:SYMBOL=SIAL&amp;VAR:INDEX=0"}</definedName>
    <definedName name="_1894__FDSAUDITLINK__" hidden="1">{"fdsup://directions/FAT Viewer?action=UPDATE&amp;creator=factset&amp;DYN_ARGS=TRUE&amp;DOC_NAME=FAT:FQL_AUDITING_CLIENT_TEMPLATE.FAT&amp;display_string=Audit&amp;VAR:KEY=SNITCRIDKV&amp;VAR:QUERY=RkZfREVCVF9MVChNT04sMCwsLCxFVVIp&amp;WINDOW=FIRST_POPUP&amp;HEIGHT=450&amp;WIDTH=450&amp;START_MAXIMI","ZED=FALSE&amp;VAR:CALENDAR=FIVEDAY&amp;VAR:SYMBOL=546672&amp;VAR:INDEX=0"}</definedName>
    <definedName name="_1895__FDSAUDITLINK__" hidden="1">{"fdsup://directions/FAT Viewer?action=UPDATE&amp;creator=factset&amp;DYN_ARGS=TRUE&amp;DOC_NAME=FAT:FQL_AUDITING_CLIENT_TEMPLATE.FAT&amp;display_string=Audit&amp;VAR:KEY=OVYHKVERKP&amp;VAR:QUERY=RkZfREVCVF9MVChNT04sMCwsLCxFVVIp&amp;WINDOW=FIRST_POPUP&amp;HEIGHT=450&amp;WIDTH=450&amp;START_MAXIMI","ZED=FALSE&amp;VAR:CALENDAR=FIVEDAY&amp;VAR:SYMBOL=606660&amp;VAR:INDEX=0"}</definedName>
    <definedName name="_1896__FDSAUDITLINK__" hidden="1">{"fdsup://directions/FAT Viewer?action=UPDATE&amp;creator=factset&amp;DYN_ARGS=TRUE&amp;DOC_NAME=FAT:FQL_AUDITING_CLIENT_TEMPLATE.FAT&amp;display_string=Audit&amp;VAR:KEY=WDKTOZMFSZ&amp;VAR:QUERY=RkZfRUJJVERBKENBTCwyMDA5LCwsLEVVUik=&amp;WINDOW=FIRST_POPUP&amp;HEIGHT=450&amp;WIDTH=450&amp;START_MA","XIMIZED=FALSE&amp;VAR:CALENDAR=FIVEDAY&amp;VAR:SYMBOL=FOE&amp;VAR:INDEX=0"}</definedName>
    <definedName name="_1897__FDSAUDITLINK__" hidden="1">{"fdsup://directions/FAT Viewer?action=UPDATE&amp;creator=factset&amp;DYN_ARGS=TRUE&amp;DOC_NAME=FAT:FQL_AUDITING_CLIENT_TEMPLATE.FAT&amp;display_string=Audit&amp;VAR:KEY=GLMFCZQXEN&amp;VAR:QUERY=RkZfRUJJVChDQUwsMjAwOSwsLCxFVVIp&amp;WINDOW=FIRST_POPUP&amp;HEIGHT=450&amp;WIDTH=450&amp;START_MAXIMI","ZED=FALSE&amp;VAR:CALENDAR=FIVEDAY&amp;VAR:SYMBOL=GLW&amp;VAR:INDEX=0"}</definedName>
    <definedName name="_1898__FDSAUDITLINK__" hidden="1">{"fdsup://directions/FAT Viewer?action=UPDATE&amp;creator=factset&amp;DYN_ARGS=TRUE&amp;DOC_NAME=FAT:FQL_AUDITING_CLIENT_TEMPLATE.FAT&amp;display_string=Audit&amp;VAR:KEY=HWNWPEVANU&amp;VAR:QUERY=RkZfRUJJVERBKENBTCwyMDA3LCwsLEVVUik=&amp;WINDOW=FIRST_POPUP&amp;HEIGHT=450&amp;WIDTH=450&amp;START_MA","XIMIZED=FALSE&amp;VAR:CALENDAR=FIVEDAY&amp;VAR:SYMBOL=B0KS38&amp;VAR:INDEX=0"}</definedName>
    <definedName name="_1899__FDSAUDITLINK__" hidden="1">{"fdsup://directions/FAT Viewer?action=UPDATE&amp;creator=factset&amp;DYN_ARGS=TRUE&amp;DOC_NAME=FAT:FQL_AUDITING_CLIENT_TEMPLATE.FAT&amp;display_string=Audit&amp;VAR:KEY=YFEFUXIJIH&amp;VAR:QUERY=RkZfQ0FQRVgoQ0FMLDIwMDgsLCwsRVVSKQ==&amp;WINDOW=FIRST_POPUP&amp;HEIGHT=450&amp;WIDTH=450&amp;START_MA","XIMIZED=FALSE&amp;VAR:CALENDAR=FIVEDAY&amp;VAR:SYMBOL=667984&amp;VAR:INDEX=0"}</definedName>
    <definedName name="_18ALA642C761" hidden="1">#N/A</definedName>
    <definedName name="_19__123Graph_AC04C_ALL_T2" hidden="1">#REF!</definedName>
    <definedName name="_19__123Graph_AC04C_FR_L1" hidden="1">#REF!</definedName>
    <definedName name="_19__123Graph_DCHART_5" hidden="1">#REF!</definedName>
    <definedName name="_19__123Graph_FCAPITAL_BY_OEM" hidden="1">#REF!</definedName>
    <definedName name="_19__123Graph_LBL_ACHART_1" hidden="1">#REF!</definedName>
    <definedName name="_19__123Graph_LBL_ACHART_2" hidden="1">#REF!</definedName>
    <definedName name="_19__123Graph_XCHART_1" hidden="1">#REF!</definedName>
    <definedName name="_1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90__FDSAUDITLINK__" hidden="1">{"fdsup://directions/FAT Viewer?action=UPDATE&amp;creator=factset&amp;DYN_ARGS=TRUE&amp;DOC_NAME=FAT:FQL_AUDITING_CLIENT_TEMPLATE.FAT&amp;display_string=Audit&amp;VAR:KEY=LAPGNMFODU&amp;VAR:QUERY=RkZfRUJJVF9JQihBTk4sMjAwOSwsLFJGLEVVUik=&amp;WINDOW=FIRST_POPUP&amp;HEIGHT=450&amp;WIDTH=450&amp;STAR","T_MAXIMIZED=FALSE&amp;VAR:CALENDAR=FIVEDAY&amp;VAR:SYMBOL=575602&amp;VAR:INDEX=0"}</definedName>
    <definedName name="_1900__FDSAUDITLINK__" hidden="1">{"fdsup://directions/FAT Viewer?action=UPDATE&amp;creator=factset&amp;DYN_ARGS=TRUE&amp;DOC_NAME=FAT:FQL_AUDITING_CLIENT_TEMPLATE.FAT&amp;display_string=Audit&amp;VAR:KEY=WBOXYVWPYR&amp;VAR:QUERY=RkZfRUJJVChDQUwsMjAwNywsLCxFVVIp&amp;WINDOW=FIRST_POPUP&amp;HEIGHT=450&amp;WIDTH=450&amp;START_MAXIMI","ZED=FALSE&amp;VAR:CALENDAR=FIVEDAY&amp;VAR:SYMBOL=698534&amp;VAR:INDEX=0"}</definedName>
    <definedName name="_1901__FDSAUDITLINK__" hidden="1">{"fdsup://directions/FAT Viewer?action=UPDATE&amp;creator=factset&amp;DYN_ARGS=TRUE&amp;DOC_NAME=FAT:FQL_AUDITING_CLIENT_TEMPLATE.FAT&amp;display_string=Audit&amp;VAR:KEY=KZOVUNUHGN&amp;VAR:QUERY=RkZfRUJJVERBKENBTCwyMDA3LCwsLEVVUik=&amp;WINDOW=FIRST_POPUP&amp;HEIGHT=450&amp;WIDTH=450&amp;START_MA","XIMIZED=FALSE&amp;VAR:CALENDAR=FIVEDAY&amp;VAR:SYMBOL=B1Y47Y&amp;VAR:INDEX=0"}</definedName>
    <definedName name="_1902__FDSAUDITLINK__" hidden="1">{"fdsup://Directions/FactSet Auditing Viewer?action=AUDIT_VALUE&amp;DB=129&amp;ID1=516606&amp;VALUEID=01001&amp;SDATE=2008&amp;PERIODTYPE=ANN_STD&amp;window=popup_no_bar&amp;width=385&amp;height=120&amp;START_MAXIMIZED=FALSE&amp;creator=factset&amp;display_string=Audit"}</definedName>
    <definedName name="_1903__FDSAUDITLINK__" hidden="1">{"fdsup://directions/FAT Viewer?action=UPDATE&amp;creator=factset&amp;DYN_ARGS=TRUE&amp;DOC_NAME=FAT:FQL_AUDITING_CLIENT_TEMPLATE.FAT&amp;display_string=Audit&amp;VAR:KEY=DOJWXMBMLW&amp;VAR:QUERY=RkZfRUJJVChDQUwsMjAwNywsLCxFVVIp&amp;WINDOW=FIRST_POPUP&amp;HEIGHT=450&amp;WIDTH=450&amp;START_MAXIMI","ZED=FALSE&amp;VAR:CALENDAR=FIVEDAY&amp;VAR:SYMBOL=516606&amp;VAR:INDEX=0"}</definedName>
    <definedName name="_1904__FDSAUDITLINK__" hidden="1">{"fdsup://directions/FAT Viewer?action=UPDATE&amp;creator=factset&amp;DYN_ARGS=TRUE&amp;DOC_NAME=FAT:FQL_AUDITING_CLIENT_TEMPLATE.FAT&amp;display_string=Audit&amp;VAR:KEY=TSTGPIXWNY&amp;VAR:QUERY=RkZfRUJJVChDQUwsMjAwNywsLCxFVVIp&amp;WINDOW=FIRST_POPUP&amp;HEIGHT=450&amp;WIDTH=450&amp;START_MAXIMI","ZED=FALSE&amp;VAR:CALENDAR=FIVEDAY&amp;VAR:SYMBOL=677120&amp;VAR:INDEX=0"}</definedName>
    <definedName name="_1905__FDSAUDITLINK__" hidden="1">{"fdsup://Directions/FactSet Auditing Viewer?action=AUDIT_VALUE&amp;DB=129&amp;ID1=677120&amp;VALUEID=01001&amp;SDATE=2009&amp;PERIODTYPE=ANN_STD&amp;window=popup_no_bar&amp;width=385&amp;height=120&amp;START_MAXIMIZED=FALSE&amp;creator=factset&amp;display_string=Audit"}</definedName>
    <definedName name="_1906__FDSAUDITLINK__" hidden="1">{"fdsup://directions/FAT Viewer?action=UPDATE&amp;creator=factset&amp;DYN_ARGS=TRUE&amp;DOC_NAME=FAT:FQL_AUDITING_CLIENT_TEMPLATE.FAT&amp;display_string=Audit&amp;VAR:KEY=CVAPSRIFWR&amp;VAR:QUERY=RkZfRUJJVChDQUwsMjAwOCwsLCxFVVIp&amp;WINDOW=FIRST_POPUP&amp;HEIGHT=450&amp;WIDTH=450&amp;START_MAXIMI","ZED=FALSE&amp;VAR:CALENDAR=FIVEDAY&amp;VAR:SYMBOL=677120&amp;VAR:INDEX=0"}</definedName>
    <definedName name="_1907__FDSAUDITLINK__" hidden="1">{"fdsup://directions/FAT Viewer?action=UPDATE&amp;creator=factset&amp;DYN_ARGS=TRUE&amp;DOC_NAME=FAT:FQL_AUDITING_CLIENT_TEMPLATE.FAT&amp;display_string=Audit&amp;VAR:KEY=CHMXORKZOF&amp;VAR:QUERY=RkZfRUJJVERBKENBTCwyMDA4LCwsLEVVUik=&amp;WINDOW=FIRST_POPUP&amp;HEIGHT=450&amp;WIDTH=450&amp;START_MA","XIMIZED=FALSE&amp;VAR:CALENDAR=FIVEDAY&amp;VAR:SYMBOL=OI&amp;VAR:INDEX=0"}</definedName>
    <definedName name="_1908__FDSAUDITLINK__" hidden="1">{"fdsup://directions/FAT Viewer?action=UPDATE&amp;creator=factset&amp;DYN_ARGS=TRUE&amp;DOC_NAME=FAT:FQL_AUDITING_CLIENT_TEMPLATE.FAT&amp;display_string=Audit&amp;VAR:KEY=SXYDSBWNUL&amp;VAR:QUERY=RkZfQ0FQRVgoQ0FMLDIwMDksLCwsRVVSKQ==&amp;WINDOW=FIRST_POPUP&amp;HEIGHT=450&amp;WIDTH=450&amp;START_MA","XIMIZED=FALSE&amp;VAR:CALENDAR=FIVEDAY&amp;VAR:SYMBOL=OI&amp;VAR:INDEX=0"}</definedName>
    <definedName name="_1909__FDSAUDITLINK__" hidden="1">{"fdsup://directions/FAT Viewer?action=UPDATE&amp;creator=factset&amp;DYN_ARGS=TRUE&amp;DOC_NAME=FAT:FQL_AUDITING_CLIENT_TEMPLATE.FAT&amp;display_string=Audit&amp;VAR:KEY=EHANQFGJYX&amp;VAR:QUERY=RkZfQ0FQRVgoQ0FMLDIwMDgsLCwsRVVSKQ==&amp;WINDOW=FIRST_POPUP&amp;HEIGHT=450&amp;WIDTH=450&amp;START_MA","XIMIZED=FALSE&amp;VAR:CALENDAR=FIVEDAY&amp;VAR:SYMBOL=646706&amp;VAR:INDEX=0"}</definedName>
    <definedName name="_191__FDSAUDITLINK__" hidden="1">{"fdsup://directions/FAT Viewer?action=UPDATE&amp;creator=factset&amp;DYN_ARGS=TRUE&amp;DOC_NAME=FAT:FQL_AUDITING_CLIENT_TEMPLATE.FAT&amp;display_string=Audit&amp;VAR:KEY=BERKFGVWTU&amp;VAR:QUERY=RkZfRUJJVF9JQihBTk4sMjAwOSwsLFJGLEVVUik=&amp;WINDOW=FIRST_POPUP&amp;HEIGHT=450&amp;WIDTH=450&amp;STAR","T_MAXIMIZED=FALSE&amp;VAR:CALENDAR=FIVEDAY&amp;VAR:SYMBOL=471279&amp;VAR:INDEX=0"}</definedName>
    <definedName name="_1910__FDSAUDITLINK__" hidden="1">{"fdsup://directions/FAT Viewer?action=UPDATE&amp;creator=factset&amp;DYN_ARGS=TRUE&amp;DOC_NAME=FAT:FQL_AUDITING_CLIENT_TEMPLATE.FAT&amp;display_string=Audit&amp;VAR:KEY=QVOTSDWTYB&amp;VAR:QUERY=RkZfRUJJVERBKENBTCwyMDA5LCwsLEVVUik=&amp;WINDOW=FIRST_POPUP&amp;HEIGHT=450&amp;WIDTH=450&amp;START_MA","XIMIZED=FALSE&amp;VAR:CALENDAR=FIVEDAY&amp;VAR:SYMBOL=OI&amp;VAR:INDEX=0"}</definedName>
    <definedName name="_1911__FDSAUDITLINK__" hidden="1">{"fdsup://directions/FAT Viewer?action=UPDATE&amp;creator=factset&amp;DYN_ARGS=TRUE&amp;DOC_NAME=FAT:FQL_AUDITING_CLIENT_TEMPLATE.FAT&amp;display_string=Audit&amp;VAR:KEY=WFYVMVEDML&amp;VAR:QUERY=RkZfRUJJVChDQUwsMjAwOCwsLCxFVVIp&amp;WINDOW=FIRST_POPUP&amp;HEIGHT=450&amp;WIDTH=450&amp;START_MAXIMI","ZED=FALSE&amp;VAR:CALENDAR=FIVEDAY&amp;VAR:SYMBOL=653031&amp;VAR:INDEX=0"}</definedName>
    <definedName name="_1912__FDSAUDITLINK__" hidden="1">{"fdsup://directions/FAT Viewer?action=UPDATE&amp;creator=factset&amp;DYN_ARGS=TRUE&amp;DOC_NAME=FAT:FQL_AUDITING_CLIENT_TEMPLATE.FAT&amp;display_string=Audit&amp;VAR:KEY=ITINAJYVWN&amp;VAR:QUERY=RkZfQ0FQRVgoQ0FMLDIwMDksLCwsRVVSKQ==&amp;WINDOW=FIRST_POPUP&amp;HEIGHT=450&amp;WIDTH=450&amp;START_MA","XIMIZED=FALSE&amp;VAR:CALENDAR=FIVEDAY&amp;VAR:SYMBOL=646706&amp;VAR:INDEX=0"}</definedName>
    <definedName name="_1913__FDSAUDITLINK__" hidden="1">{"fdsup://directions/FAT Viewer?action=UPDATE&amp;creator=factset&amp;DYN_ARGS=TRUE&amp;DOC_NAME=FAT:FQL_AUDITING_CLIENT_TEMPLATE.FAT&amp;display_string=Audit&amp;VAR:KEY=QRETYVYRQD&amp;VAR:QUERY=RkZfQ0FQRVgoQ0FMLDIwMDcsLCwsRVVSKQ==&amp;WINDOW=FIRST_POPUP&amp;HEIGHT=450&amp;WIDTH=450&amp;START_MA","XIMIZED=FALSE&amp;VAR:CALENDAR=FIVEDAY&amp;VAR:SYMBOL=TMO&amp;VAR:INDEX=0"}</definedName>
    <definedName name="_1914__FDSAUDITLINK__" hidden="1">{"fdsup://directions/FAT Viewer?action=UPDATE&amp;creator=factset&amp;DYN_ARGS=TRUE&amp;DOC_NAME=FAT:FQL_AUDITING_CLIENT_TEMPLATE.FAT&amp;display_string=Audit&amp;VAR:KEY=SJAJQFMVEF&amp;VAR:QUERY=RkZfRUJJVERBKENBTCwyMDA4LCwsLEVVUik=&amp;WINDOW=FIRST_POPUP&amp;HEIGHT=450&amp;WIDTH=450&amp;START_MA","XIMIZED=FALSE&amp;VAR:CALENDAR=FIVEDAY&amp;VAR:SYMBOL=602129&amp;VAR:INDEX=0"}</definedName>
    <definedName name="_1915__FDSAUDITLINK__" hidden="1">{"fdsup://directions/FAT Viewer?action=UPDATE&amp;creator=factset&amp;DYN_ARGS=TRUE&amp;DOC_NAME=FAT:FQL_AUDITING_CLIENT_TEMPLATE.FAT&amp;display_string=Audit&amp;VAR:KEY=WLWTKVOVEL&amp;VAR:QUERY=RkZfREVCVF9MVChNT04sMCwsLCxFVVIp&amp;WINDOW=FIRST_POPUP&amp;HEIGHT=450&amp;WIDTH=450&amp;START_MAXIMI","ZED=FALSE&amp;VAR:CALENDAR=FIVEDAY&amp;VAR:SYMBOL=FOE&amp;VAR:INDEX=0"}</definedName>
    <definedName name="_1916__FDSAUDITLINK__" hidden="1">{"fdsup://Directions/FactSet Auditing Viewer?action=AUDIT_VALUE&amp;DB=129&amp;ID1=59268810&amp;VALUEID=01001&amp;SDATE=2007&amp;PERIODTYPE=ANN_STD&amp;window=popup_no_bar&amp;width=385&amp;height=120&amp;START_MAXIMIZED=FALSE&amp;creator=factset&amp;display_string=Audit"}</definedName>
    <definedName name="_1917__FDSAUDITLINK__" hidden="1">{"fdsup://directions/FAT Viewer?action=UPDATE&amp;creator=factset&amp;DYN_ARGS=TRUE&amp;DOC_NAME=FAT:FQL_AUDITING_CLIENT_TEMPLATE.FAT&amp;display_string=Audit&amp;VAR:KEY=OJKLYRGTST&amp;VAR:QUERY=RkZfRUJJVChDQUwsMjAwNywsLCxFVVIp&amp;WINDOW=FIRST_POPUP&amp;HEIGHT=450&amp;WIDTH=450&amp;START_MAXIMI","ZED=FALSE&amp;VAR:CALENDAR=FIVEDAY&amp;VAR:SYMBOL=667984&amp;VAR:INDEX=0"}</definedName>
    <definedName name="_1918__FDSAUDITLINK__" hidden="1">{"fdsup://Directions/FactSet Auditing Viewer?action=AUDIT_VALUE&amp;DB=129&amp;ID1=516606&amp;VALUEID=01001&amp;SDATE=2007&amp;PERIODTYPE=ANN_STD&amp;window=popup_no_bar&amp;width=385&amp;height=120&amp;START_MAXIMIZED=FALSE&amp;creator=factset&amp;display_string=Audit"}</definedName>
    <definedName name="_1919__FDSAUDITLINK__" hidden="1">{"fdsup://directions/FAT Viewer?action=UPDATE&amp;creator=factset&amp;DYN_ARGS=TRUE&amp;DOC_NAME=FAT:FQL_AUDITING_CLIENT_TEMPLATE.FAT&amp;display_string=Audit&amp;VAR:KEY=ELGLADKPGF&amp;VAR:QUERY=RkZfQ0FQRVgoQ0FMLDIwMDksLCwsRVVSKQ==&amp;WINDOW=FIRST_POPUP&amp;HEIGHT=450&amp;WIDTH=450&amp;START_MA","XIMIZED=FALSE&amp;VAR:CALENDAR=FIVEDAY&amp;VAR:SYMBOL=667984&amp;VAR:INDEX=0"}</definedName>
    <definedName name="_192__FDSAUDITLINK__" hidden="1">{"fdsup://directions/FAT Viewer?action=UPDATE&amp;creator=factset&amp;DYN_ARGS=TRUE&amp;DOC_NAME=FAT:FQL_AUDITING_CLIENT_TEMPLATE.FAT&amp;display_string=Audit&amp;VAR:KEY=VINIDOPCJW&amp;VAR:QUERY=RkZfRUJJVF9JQihBTk4sMjAwOCwsLFJGLEVVUik=&amp;WINDOW=FIRST_POPUP&amp;HEIGHT=450&amp;WIDTH=450&amp;STAR","T_MAXIMIZED=FALSE&amp;VAR:CALENDAR=FIVEDAY&amp;VAR:SYMBOL=471279&amp;VAR:INDEX=0"}</definedName>
    <definedName name="_1920__FDSAUDITLINK__" hidden="1">{"fdsup://directions/FAT Viewer?action=UPDATE&amp;creator=factset&amp;DYN_ARGS=TRUE&amp;DOC_NAME=FAT:FQL_AUDITING_CLIENT_TEMPLATE.FAT&amp;display_string=Audit&amp;VAR:KEY=CNGBOLCDMP&amp;VAR:QUERY=RkZfQ0FQRVgoQ0FMLDIwMDksLCwsRVVSKQ==&amp;WINDOW=FIRST_POPUP&amp;HEIGHT=450&amp;WIDTH=450&amp;START_MA","XIMIZED=FALSE&amp;VAR:CALENDAR=FIVEDAY&amp;VAR:SYMBOL=546672&amp;VAR:INDEX=0"}</definedName>
    <definedName name="_1921__FDSAUDITLINK__" hidden="1">{"fdsup://directions/FAT Viewer?action=UPDATE&amp;creator=factset&amp;DYN_ARGS=TRUE&amp;DOC_NAME=FAT:FQL_AUDITING_CLIENT_TEMPLATE.FAT&amp;display_string=Audit&amp;VAR:KEY=ETIVSFAJMT&amp;VAR:QUERY=RkZfREVCVF9MVChNT04sMCwsLCxFVVIp&amp;WINDOW=FIRST_POPUP&amp;HEIGHT=450&amp;WIDTH=450&amp;START_MAXIMI","ZED=FALSE&amp;VAR:CALENDAR=FIVEDAY&amp;VAR:SYMBOL=602129&amp;VAR:INDEX=0"}</definedName>
    <definedName name="_1922__FDSAUDITLINK__" hidden="1">{"fdsup://directions/FAT Viewer?action=UPDATE&amp;creator=factset&amp;DYN_ARGS=TRUE&amp;DOC_NAME=FAT:FQL_AUDITING_CLIENT_TEMPLATE.FAT&amp;display_string=Audit&amp;VAR:KEY=IHEJKRAPIN&amp;VAR:QUERY=RkZfREVCVF9MVChNT04sMCwsLCxFVVIp&amp;WINDOW=FIRST_POPUP&amp;HEIGHT=450&amp;WIDTH=450&amp;START_MAXIMI","ZED=FALSE&amp;VAR:CALENDAR=FIVEDAY&amp;VAR:SYMBOL=605520&amp;VAR:INDEX=0"}</definedName>
    <definedName name="_1923__FDSAUDITLINK__" hidden="1">{"fdsup://directions/FAT Viewer?action=UPDATE&amp;creator=factset&amp;DYN_ARGS=TRUE&amp;DOC_NAME=FAT:FQL_AUDITING_CLIENT_TEMPLATE.FAT&amp;display_string=Audit&amp;VAR:KEY=KXYTYDKBQF&amp;VAR:QUERY=RkZfQ0FQRVgoQ0FMLDIwMDksLCwsRVVSKQ==&amp;WINDOW=FIRST_POPUP&amp;HEIGHT=450&amp;WIDTH=450&amp;START_MA","XIMIZED=FALSE&amp;VAR:CALENDAR=FIVEDAY&amp;VAR:SYMBOL=605520&amp;VAR:INDEX=0"}</definedName>
    <definedName name="_1924__FDSAUDITLINK__" hidden="1">{"fdsup://directions/FAT Viewer?action=UPDATE&amp;creator=factset&amp;DYN_ARGS=TRUE&amp;DOC_NAME=FAT:FQL_AUDITING_CLIENT_TEMPLATE.FAT&amp;display_string=Audit&amp;VAR:KEY=GFUBQPYTMJ&amp;VAR:QUERY=RkZfRUJJVChDQUwsMjAwOSwsLCxFVVIp&amp;WINDOW=FIRST_POPUP&amp;HEIGHT=450&amp;WIDTH=450&amp;START_MAXIMI","ZED=FALSE&amp;VAR:CALENDAR=FIVEDAY&amp;VAR:SYMBOL=546672&amp;VAR:INDEX=0"}</definedName>
    <definedName name="_1925__FDSAUDITLINK__" hidden="1">{"fdsup://directions/FAT Viewer?action=UPDATE&amp;creator=factset&amp;DYN_ARGS=TRUE&amp;DOC_NAME=FAT:FQL_AUDITING_CLIENT_TEMPLATE.FAT&amp;display_string=Audit&amp;VAR:KEY=ELCXIRUHEV&amp;VAR:QUERY=RkZfREVCVF9MVChNT04sMCwsLCxFVVIp&amp;WINDOW=FIRST_POPUP&amp;HEIGHT=450&amp;WIDTH=450&amp;START_MAXIMI","ZED=FALSE&amp;VAR:CALENDAR=FIVEDAY&amp;VAR:SYMBOL=07588710&amp;VAR:INDEX=0"}</definedName>
    <definedName name="_1926__FDSAUDITLINK__" hidden="1">{"fdsup://directions/FAT Viewer?action=UPDATE&amp;creator=factset&amp;DYN_ARGS=TRUE&amp;DOC_NAME=FAT:FQL_AUDITING_CLIENT_TEMPLATE.FAT&amp;display_string=Audit&amp;VAR:KEY=WBSDGDOJWH&amp;VAR:QUERY=RkZfRUJJVChDQUwsMjAwOSwsLCxFVVIp&amp;WINDOW=FIRST_POPUP&amp;HEIGHT=450&amp;WIDTH=450&amp;START_MAXIMI","ZED=FALSE&amp;VAR:CALENDAR=FIVEDAY&amp;VAR:SYMBOL=653031&amp;VAR:INDEX=0"}</definedName>
    <definedName name="_1927__FDSAUDITLINK__" hidden="1">{"fdsup://directions/FAT Viewer?action=UPDATE&amp;creator=factset&amp;DYN_ARGS=TRUE&amp;DOC_NAME=FAT:FQL_AUDITING_CLIENT_TEMPLATE.FAT&amp;display_string=Audit&amp;VAR:KEY=KFMFYXENCZ&amp;VAR:QUERY=RkZfRUJJVChDQUwsMjAwOCwsLCxFVVIp&amp;WINDOW=FIRST_POPUP&amp;HEIGHT=450&amp;WIDTH=450&amp;START_MAXIMI","ZED=FALSE&amp;VAR:CALENDAR=FIVEDAY&amp;VAR:SYMBOL=571062&amp;VAR:INDEX=0"}</definedName>
    <definedName name="_1928__FDSAUDITLINK__" hidden="1">{"fdsup://directions/FAT Viewer?action=UPDATE&amp;creator=factset&amp;DYN_ARGS=TRUE&amp;DOC_NAME=FAT:FQL_AUDITING_CLIENT_TEMPLATE.FAT&amp;display_string=Audit&amp;VAR:KEY=FQBQVCBUJK&amp;VAR:QUERY=RkZfQ0FQRVgoQ0FMLDIwMDksLCwsRVVSKQ==&amp;WINDOW=FIRST_POPUP&amp;HEIGHT=450&amp;WIDTH=450&amp;START_MA","XIMIZED=FALSE&amp;VAR:CALENDAR=FIVEDAY&amp;VAR:SYMBOL=B1XHN3&amp;VAR:INDEX=0"}</definedName>
    <definedName name="_1929__FDSAUDITLINK__" hidden="1">{"fdsup://directions/FAT Viewer?action=UPDATE&amp;creator=factset&amp;DYN_ARGS=TRUE&amp;DOC_NAME=FAT:FQL_AUDITING_CLIENT_TEMPLATE.FAT&amp;display_string=Audit&amp;VAR:KEY=QLSTGZOJYV&amp;VAR:QUERY=RkZfQ0FQRVgoQ0FMLDIwMDksLCwsRVVSKQ==&amp;WINDOW=FIRST_POPUP&amp;HEIGHT=450&amp;WIDTH=450&amp;START_MA","XIMIZED=FALSE&amp;VAR:CALENDAR=FIVEDAY&amp;VAR:SYMBOL=653031&amp;VAR:INDEX=0"}</definedName>
    <definedName name="_19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930__FDSAUDITLINK__" hidden="1">{"fdsup://Directions/FactSet Auditing Viewer?action=AUDIT_VALUE&amp;DB=129&amp;ID1=571062&amp;VALUEID=P05202&amp;SDATE=2008&amp;PERIODTYPE=ANN_STD&amp;window=popup_no_bar&amp;width=385&amp;height=120&amp;START_MAXIMIZED=FALSE&amp;creator=factset&amp;display_string=Audit"}</definedName>
    <definedName name="_1931__FDSAUDITLINK__" hidden="1">{"fdsup://directions/FAT Viewer?action=UPDATE&amp;creator=factset&amp;DYN_ARGS=TRUE&amp;DOC_NAME=FAT:FQL_AUDITING_CLIENT_TEMPLATE.FAT&amp;display_string=Audit&amp;VAR:KEY=YBYXULYHCH&amp;VAR:QUERY=RkZfRUJJVChDQUwsMjAwOSwsLCxFVVIp&amp;WINDOW=FIRST_POPUP&amp;HEIGHT=450&amp;WIDTH=450&amp;START_MAXIMI","ZED=FALSE&amp;VAR:CALENDAR=FIVEDAY&amp;VAR:SYMBOL=605520&amp;VAR:INDEX=0"}</definedName>
    <definedName name="_1932__FDSAUDITLINK__" hidden="1">{"fdsup://Directions/FactSet Auditing Viewer?action=AUDIT_VALUE&amp;DB=129&amp;ID1=571062&amp;VALUEID=01001&amp;SDATE=2008&amp;PERIODTYPE=ANN_STD&amp;window=popup_no_bar&amp;width=385&amp;height=120&amp;START_MAXIMIZED=FALSE&amp;creator=factset&amp;display_string=Audit"}</definedName>
    <definedName name="_1933__FDSAUDITLINK__" hidden="1">{"fdsup://directions/FAT Viewer?action=UPDATE&amp;creator=factset&amp;DYN_ARGS=TRUE&amp;DOC_NAME=FAT:FQL_AUDITING_CLIENT_TEMPLATE.FAT&amp;display_string=Audit&amp;VAR:KEY=RSJMXARUPM&amp;VAR:QUERY=RkZfRUJJVERBKENBTCwyMDA5LCwsLEVVUik=&amp;WINDOW=FIRST_POPUP&amp;HEIGHT=450&amp;WIDTH=450&amp;START_MA","XIMIZED=FALSE&amp;VAR:CALENDAR=FIVEDAY&amp;VAR:SYMBOL=646706&amp;VAR:INDEX=0"}</definedName>
    <definedName name="_1934__FDSAUDITLINK__" hidden="1">{"fdsup://directions/FAT Viewer?action=UPDATE&amp;creator=factset&amp;DYN_ARGS=TRUE&amp;DOC_NAME=FAT:FQL_AUDITING_CLIENT_TEMPLATE.FAT&amp;display_string=Audit&amp;VAR:KEY=UXGBOTQDAX&amp;VAR:QUERY=RkZfQ0FQRVgoQ0FMLDIwMDcsLCwsRVVSKQ==&amp;WINDOW=FIRST_POPUP&amp;HEIGHT=450&amp;WIDTH=450&amp;START_MA","XIMIZED=FALSE&amp;VAR:CALENDAR=FIVEDAY&amp;VAR:SYMBOL=653031&amp;VAR:INDEX=0"}</definedName>
    <definedName name="_1935__FDSAUDITLINK__" hidden="1">{"fdsup://Directions/FactSet Auditing Viewer?action=AUDIT_VALUE&amp;DB=129&amp;ID1=88355610&amp;VALUEID=01001&amp;SDATE=2008&amp;PERIODTYPE=ANN_STD&amp;window=popup_no_bar&amp;width=385&amp;height=120&amp;START_MAXIMIZED=FALSE&amp;creator=factset&amp;display_string=Audit"}</definedName>
    <definedName name="_1936__FDSAUDITLINK__" hidden="1">{"fdsup://directions/FAT Viewer?action=UPDATE&amp;creator=factset&amp;DYN_ARGS=TRUE&amp;DOC_NAME=FAT:FQL_AUDITING_CLIENT_TEMPLATE.FAT&amp;display_string=Audit&amp;VAR:KEY=MBMNUZOTGP&amp;VAR:QUERY=RkZfQ0FQRVgoQ0FMLDIwMDgsLCwsRVVSKQ==&amp;WINDOW=FIRST_POPUP&amp;HEIGHT=450&amp;WIDTH=450&amp;START_MA","XIMIZED=FALSE&amp;VAR:CALENDAR=FIVEDAY&amp;VAR:SYMBOL=TMO&amp;VAR:INDEX=0"}</definedName>
    <definedName name="_1937__FDSAUDITLINK__" hidden="1">{"fdsup://directions/FAT Viewer?action=UPDATE&amp;creator=factset&amp;DYN_ARGS=TRUE&amp;DOC_NAME=FAT:FQL_AUDITING_CLIENT_TEMPLATE.FAT&amp;display_string=Audit&amp;VAR:KEY=OHYVELQJYJ&amp;VAR:QUERY=RkZfRUJJVChDQUwsMjAwOCwsLCxFVVIp&amp;WINDOW=FIRST_POPUP&amp;HEIGHT=450&amp;WIDTH=450&amp;START_MAXIMI","ZED=FALSE&amp;VAR:CALENDAR=FIVEDAY&amp;VAR:SYMBOL=667984&amp;VAR:INDEX=0"}</definedName>
    <definedName name="_1938__FDSAUDITLINK__" hidden="1">{"fdsup://directions/FAT Viewer?action=UPDATE&amp;creator=factset&amp;DYN_ARGS=TRUE&amp;DOC_NAME=FAT:FQL_AUDITING_CLIENT_TEMPLATE.FAT&amp;display_string=Audit&amp;VAR:KEY=ZUFIJGVWTI&amp;VAR:QUERY=RkZfRUJJVERBKENBTCwyMDA4LCwsLEVVUik=&amp;WINDOW=FIRST_POPUP&amp;HEIGHT=450&amp;WIDTH=450&amp;START_MA","XIMIZED=FALSE&amp;VAR:CALENDAR=FIVEDAY&amp;VAR:SYMBOL=605520&amp;VAR:INDEX=0"}</definedName>
    <definedName name="_1939__FDSAUDITLINK__" hidden="1">{"fdsup://directions/FAT Viewer?action=UPDATE&amp;creator=factset&amp;DYN_ARGS=TRUE&amp;DOC_NAME=FAT:FQL_AUDITING_CLIENT_TEMPLATE.FAT&amp;display_string=Audit&amp;VAR:KEY=QNUXSNSLGF&amp;VAR:QUERY=RkZfQ0FQRVgoQ0FMLDIwMDksLCwsRVVSKQ==&amp;WINDOW=FIRST_POPUP&amp;HEIGHT=450&amp;WIDTH=450&amp;START_MA","XIMIZED=FALSE&amp;VAR:CALENDAR=FIVEDAY&amp;VAR:SYMBOL=602129&amp;VAR:INDEX=0"}</definedName>
    <definedName name="_19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940__FDSAUDITLINK__" hidden="1">{"fdsup://directions/FAT Viewer?action=UPDATE&amp;creator=factset&amp;DYN_ARGS=TRUE&amp;DOC_NAME=FAT:FQL_AUDITING_CLIENT_TEMPLATE.FAT&amp;display_string=Audit&amp;VAR:KEY=SHCPCLGXAD&amp;VAR:QUERY=RkZfRUJJVChDQUwsMjAwNywsLCxFVVIp&amp;WINDOW=FIRST_POPUP&amp;HEIGHT=450&amp;WIDTH=450&amp;START_MAXIMI","ZED=FALSE&amp;VAR:CALENDAR=FIVEDAY&amp;VAR:SYMBOL=605520&amp;VAR:INDEX=0"}</definedName>
    <definedName name="_1941__FDSAUDITLINK__" hidden="1">{"fdsup://directions/FAT Viewer?action=UPDATE&amp;creator=factset&amp;DYN_ARGS=TRUE&amp;DOC_NAME=FAT:FQL_AUDITING_CLIENT_TEMPLATE.FAT&amp;display_string=Audit&amp;VAR:KEY=LSNKZIFYZE&amp;VAR:QUERY=RkZfRUJJVChDQUwsMjAwOCwsLCxFVVIp&amp;WINDOW=FIRST_POPUP&amp;HEIGHT=450&amp;WIDTH=450&amp;START_MAXIMI","ZED=FALSE&amp;VAR:CALENDAR=FIVEDAY&amp;VAR:SYMBOL=646706&amp;VAR:INDEX=0"}</definedName>
    <definedName name="_1942__FDSAUDITLINK__" hidden="1">{"fdsup://directions/FAT Viewer?action=UPDATE&amp;creator=factset&amp;DYN_ARGS=TRUE&amp;DOC_NAME=FAT:FQL_AUDITING_CLIENT_TEMPLATE.FAT&amp;display_string=Audit&amp;VAR:KEY=ULUTQRWTAX&amp;VAR:QUERY=RkZfREVCVF9MVChNT04sMCwsLCxFVVIp&amp;WINDOW=FIRST_POPUP&amp;HEIGHT=450&amp;WIDTH=450&amp;START_MAXIMI","ZED=FALSE&amp;VAR:CALENDAR=FIVEDAY&amp;VAR:SYMBOL=B1XHN3&amp;VAR:INDEX=0"}</definedName>
    <definedName name="_1943__FDSAUDITLINK__" hidden="1">{"fdsup://Directions/FactSet Auditing Viewer?action=AUDIT_VALUE&amp;DB=129&amp;ID1=546672&amp;VALUEID=01001&amp;SDATE=2009&amp;PERIODTYPE=ANN_STD&amp;window=popup_no_bar&amp;width=385&amp;height=120&amp;START_MAXIMIZED=FALSE&amp;creator=factset&amp;display_string=Audit"}</definedName>
    <definedName name="_1944__FDSAUDITLINK__" hidden="1">{"fdsup://directions/FAT Viewer?action=UPDATE&amp;creator=factset&amp;DYN_ARGS=TRUE&amp;DOC_NAME=FAT:FQL_AUDITING_CLIENT_TEMPLATE.FAT&amp;display_string=Audit&amp;VAR:KEY=IVIRIJYDYV&amp;VAR:QUERY=RkZfQ0FQRVgoQ0FMLDIwMDksLCwsRVVSKQ==&amp;WINDOW=FIRST_POPUP&amp;HEIGHT=450&amp;WIDTH=450&amp;START_MA","XIMIZED=FALSE&amp;VAR:CALENDAR=FIVEDAY&amp;VAR:SYMBOL=698534&amp;VAR:INDEX=0"}</definedName>
    <definedName name="_1945__FDSAUDITLINK__" hidden="1">{"fdsup://directions/FAT Viewer?action=UPDATE&amp;creator=factset&amp;DYN_ARGS=TRUE&amp;DOC_NAME=FAT:FQL_AUDITING_CLIENT_TEMPLATE.FAT&amp;display_string=Audit&amp;VAR:KEY=QPCXEDCHOF&amp;VAR:QUERY=RkZfQ0FQRVgoQ0FMLDIwMDgsLCwsRVVSKQ==&amp;WINDOW=FIRST_POPUP&amp;HEIGHT=450&amp;WIDTH=450&amp;START_MA","XIMIZED=FALSE&amp;VAR:CALENDAR=FIVEDAY&amp;VAR:SYMBOL=698534&amp;VAR:INDEX=0"}</definedName>
    <definedName name="_1946__FDSAUDITLINK__" hidden="1">{"fdsup://Directions/FactSet Auditing Viewer?action=AUDIT_VALUE&amp;DB=129&amp;ID1=516606&amp;VALUEID=P05202&amp;SDATE=2008&amp;PERIODTYPE=ANN_STD&amp;window=popup_no_bar&amp;width=385&amp;height=120&amp;START_MAXIMIZED=FALSE&amp;creator=factset&amp;display_string=Audit"}</definedName>
    <definedName name="_1947__FDSAUDITLINK__" hidden="1">{"fdsup://directions/FAT Viewer?action=UPDATE&amp;creator=factset&amp;DYN_ARGS=TRUE&amp;DOC_NAME=FAT:FQL_AUDITING_CLIENT_TEMPLATE.FAT&amp;display_string=Audit&amp;VAR:KEY=KXMLQDCTQF&amp;VAR:QUERY=RkZfREVCVF9MVChNT04sMCwsLCxFVVIp&amp;WINDOW=FIRST_POPUP&amp;HEIGHT=450&amp;WIDTH=450&amp;START_MAXIMI","ZED=FALSE&amp;VAR:CALENDAR=FIVEDAY&amp;VAR:SYMBOL=223350&amp;VAR:INDEX=0"}</definedName>
    <definedName name="_1948__FDSAUDITLINK__" hidden="1">{"fdsup://directions/FAT Viewer?action=UPDATE&amp;creator=factset&amp;DYN_ARGS=TRUE&amp;DOC_NAME=FAT:FQL_AUDITING_CLIENT_TEMPLATE.FAT&amp;display_string=Audit&amp;VAR:KEY=CRYNQRGRKH&amp;VAR:QUERY=RkZfQ0FQRVgoQ0FMLDIwMDcsLCwsRVVSKQ==&amp;WINDOW=FIRST_POPUP&amp;HEIGHT=450&amp;WIDTH=450&amp;START_MA","XIMIZED=FALSE&amp;VAR:CALENDAR=FIVEDAY&amp;VAR:SYMBOL=GLW&amp;VAR:INDEX=0"}</definedName>
    <definedName name="_1949__FDSAUDITLINK__" hidden="1">{"fdsup://Directions/FactSet Auditing Viewer?action=AUDIT_VALUE&amp;DB=129&amp;ID1=516606&amp;VALUEID=P05202&amp;SDATE=2007&amp;PERIODTYPE=ANN_STD&amp;window=popup_no_bar&amp;width=385&amp;height=120&amp;START_MAXIMIZED=FALSE&amp;creator=factset&amp;display_string=Audit"}</definedName>
    <definedName name="_19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950__FDSAUDITLINK__" hidden="1">{"fdsup://directions/FAT Viewer?action=UPDATE&amp;creator=factset&amp;DYN_ARGS=TRUE&amp;DOC_NAME=FAT:FQL_AUDITING_CLIENT_TEMPLATE.FAT&amp;display_string=Audit&amp;VAR:KEY=QFEJUDYHWJ&amp;VAR:QUERY=RkZfQ0FQRVgoQ0FMLDIwMDgsLCwsRVVSKQ==&amp;WINDOW=FIRST_POPUP&amp;HEIGHT=450&amp;WIDTH=450&amp;START_MA","XIMIZED=FALSE&amp;VAR:CALENDAR=FIVEDAY&amp;VAR:SYMBOL=GLW&amp;VAR:INDEX=0"}</definedName>
    <definedName name="_1951__FDSAUDITLINK__" hidden="1">{"fdsup://directions/FAT Viewer?action=UPDATE&amp;creator=factset&amp;DYN_ARGS=TRUE&amp;DOC_NAME=FAT:FQL_AUDITING_CLIENT_TEMPLATE.FAT&amp;display_string=Audit&amp;VAR:KEY=SZODQZCBWJ&amp;VAR:QUERY=RkZfRUJJVChDQUwsMjAwOSwsLCxFVVIp&amp;WINDOW=FIRST_POPUP&amp;HEIGHT=450&amp;WIDTH=450&amp;START_MAXIMI","ZED=FALSE&amp;VAR:CALENDAR=FIVEDAY&amp;VAR:SYMBOL=667984&amp;VAR:INDEX=0"}</definedName>
    <definedName name="_1952__FDSAUDITLINK__" hidden="1">{"fdsup://directions/FAT Viewer?action=UPDATE&amp;creator=factset&amp;DYN_ARGS=TRUE&amp;DOC_NAME=FAT:FQL_AUDITING_CLIENT_TEMPLATE.FAT&amp;display_string=Audit&amp;VAR:KEY=WVETSVGNWP&amp;VAR:QUERY=RkZfRUJJVChDQUwsMjAwNywsLCxFVVIp&amp;WINDOW=FIRST_POPUP&amp;HEIGHT=450&amp;WIDTH=450&amp;START_MAXIMI","ZED=FALSE&amp;VAR:CALENDAR=FIVEDAY&amp;VAR:SYMBOL=B0KS38&amp;VAR:INDEX=0"}</definedName>
    <definedName name="_1953__FDSAUDITLINK__" hidden="1">{"fdsup://directions/FAT Viewer?action=UPDATE&amp;creator=factset&amp;DYN_ARGS=TRUE&amp;DOC_NAME=FAT:FQL_AUDITING_CLIENT_TEMPLATE.FAT&amp;display_string=Audit&amp;VAR:KEY=GRSNKPOXQX&amp;VAR:QUERY=RkZfRUJJVERBKENBTCwyMDA3LCwsLEVVUik=&amp;WINDOW=FIRST_POPUP&amp;HEIGHT=450&amp;WIDTH=450&amp;START_MA","XIMIZED=FALSE&amp;VAR:CALENDAR=FIVEDAY&amp;VAR:SYMBOL=223350&amp;VAR:INDEX=0"}</definedName>
    <definedName name="_1954__FDSAUDITLINK__" hidden="1">{"fdsup://directions/FAT Viewer?action=UPDATE&amp;creator=factset&amp;DYN_ARGS=TRUE&amp;DOC_NAME=FAT:FQL_AUDITING_CLIENT_TEMPLATE.FAT&amp;display_string=Audit&amp;VAR:KEY=EZIFCDAFQZ&amp;VAR:QUERY=RkZfRUJJVERBKENBTCwyMDA4LCwsLEVVUik=&amp;WINDOW=FIRST_POPUP&amp;HEIGHT=450&amp;WIDTH=450&amp;START_MA","XIMIZED=FALSE&amp;VAR:CALENDAR=FIVEDAY&amp;VAR:SYMBOL=223350&amp;VAR:INDEX=0"}</definedName>
    <definedName name="_1955__FDSAUDITLINK__" hidden="1">{"fdsup://directions/FAT Viewer?action=UPDATE&amp;creator=factset&amp;DYN_ARGS=TRUE&amp;DOC_NAME=FAT:FQL_AUDITING_CLIENT_TEMPLATE.FAT&amp;display_string=Audit&amp;VAR:KEY=XOLKVWVYXC&amp;VAR:QUERY=RkZfRUJJVChDQUwsMjAwOCwsLCxFVVIp&amp;WINDOW=FIRST_POPUP&amp;HEIGHT=450&amp;WIDTH=450&amp;START_MAXIMI","ZED=FALSE&amp;VAR:CALENDAR=FIVEDAY&amp;VAR:SYMBOL=B1XHN3&amp;VAR:INDEX=0"}</definedName>
    <definedName name="_1956__FDSAUDITLINK__" hidden="1">{"fdsup://directions/FAT Viewer?action=UPDATE&amp;creator=factset&amp;DYN_ARGS=TRUE&amp;DOC_NAME=FAT:FQL_AUDITING_CLIENT_TEMPLATE.FAT&amp;display_string=Audit&amp;VAR:KEY=ATOHMVQTYH&amp;VAR:QUERY=RkZfRUJJVERBKENBTCwyMDA5LCwsLEVVUik=&amp;WINDOW=FIRST_POPUP&amp;HEIGHT=450&amp;WIDTH=450&amp;START_MA","XIMIZED=FALSE&amp;VAR:CALENDAR=FIVEDAY&amp;VAR:SYMBOL=223350&amp;VAR:INDEX=0"}</definedName>
    <definedName name="_1957__FDSAUDITLINK__" hidden="1">{"fdsup://directions/FAT Viewer?action=UPDATE&amp;creator=factset&amp;DYN_ARGS=TRUE&amp;DOC_NAME=FAT:FQL_AUDITING_CLIENT_TEMPLATE.FAT&amp;display_string=Audit&amp;VAR:KEY=QNEDUNQLKT&amp;VAR:QUERY=RkZfRUJJVERBKENBTCwyMDA3LCwsLEVVUik=&amp;WINDOW=FIRST_POPUP&amp;HEIGHT=450&amp;WIDTH=450&amp;START_MA","XIMIZED=FALSE&amp;VAR:CALENDAR=FIVEDAY&amp;VAR:SYMBOL=OI&amp;VAR:INDEX=0"}</definedName>
    <definedName name="_1958__FDSAUDITLINK__" hidden="1">{"fdsup://directions/FAT Viewer?action=UPDATE&amp;creator=factset&amp;DYN_ARGS=TRUE&amp;DOC_NAME=FAT:FQL_AUDITING_CLIENT_TEMPLATE.FAT&amp;display_string=Audit&amp;VAR:KEY=GVUFOZOFOJ&amp;VAR:QUERY=RkZfQ0FQRVgoQ0FMLDIwMDgsLCwsRVVSKQ==&amp;WINDOW=FIRST_POPUP&amp;HEIGHT=450&amp;WIDTH=450&amp;START_MA","XIMIZED=FALSE&amp;VAR:CALENDAR=FIVEDAY&amp;VAR:SYMBOL=B1Y47Y&amp;VAR:INDEX=0"}</definedName>
    <definedName name="_1959__FDSAUDITLINK__" hidden="1">{"fdsup://directions/FAT Viewer?action=UPDATE&amp;creator=factset&amp;DYN_ARGS=TRUE&amp;DOC_NAME=FAT:FQL_AUDITING_CLIENT_TEMPLATE.FAT&amp;display_string=Audit&amp;VAR:KEY=QNYFEVMTML&amp;VAR:QUERY=RkZfRUJJVERBKENBTCwyMDA3LCwsLEVVUik=&amp;WINDOW=FIRST_POPUP&amp;HEIGHT=450&amp;WIDTH=450&amp;START_MA","XIMIZED=FALSE&amp;VAR:CALENDAR=FIVEDAY&amp;VAR:SYMBOL=B0KS38&amp;VAR:INDEX=0"}</definedName>
    <definedName name="_19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9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9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99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19ALA642C761" hidden="1">#N/A</definedName>
    <definedName name="_1ALA642C761" hidden="1">#N/A</definedName>
    <definedName name="_1IQ_AVG_REAL_PRICE塅䕃_塅ETREAT_REFINING_IRON" hidden="1">"c9417"</definedName>
    <definedName name="_1IQ_GA___INVEST_INS" hidden="1">"c1466"</definedName>
    <definedName name="_2__123Graph_A__MW_VS_POWER" hidden="1">#REF!</definedName>
    <definedName name="_2__123Graph_ACHART_1" hidden="1">#REF!</definedName>
    <definedName name="_2__123Graph_ACHART_2" hidden="1">#REF!</definedName>
    <definedName name="_2__123Graph_AChart_2A" hidden="1">#REF!</definedName>
    <definedName name="_2__123Graph_ACHART_3" hidden="1">#REF!</definedName>
    <definedName name="_2__123Graph_BCHART_5" hidden="1">#REF!</definedName>
    <definedName name="_2_0_0_S" hidden="1">#REF!</definedName>
    <definedName name="_2_123Grap" hidden="1">#REF!</definedName>
    <definedName name="_2__0_S" hidden="1">#REF!</definedName>
    <definedName name="_20__123Graph_AC04C_FF_L" hidden="1">#REF!</definedName>
    <definedName name="_20__123Graph_AC04C_FR_L2" hidden="1">#REF!</definedName>
    <definedName name="_20__123Graph_ECHART_2" hidden="1">#REF!</definedName>
    <definedName name="_20__123Graph_FHR_BY_OEM" hidden="1">#REF!</definedName>
    <definedName name="_20__123Graph_LBL_ACHART_2" hidden="1">#REF!</definedName>
    <definedName name="_20__123Graph_LBL_ACHART_3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00__FDSAUDITLINK__" hidden="1">{"fdsup://Directions/FactSet Auditing Viewer?action=AUDIT_VALUE&amp;DB=129&amp;ID1=552902&amp;VALUEID=01001&amp;SDATE=2009&amp;PERIODTYPE=ANN_STD&amp;window=popup_no_bar&amp;width=385&amp;height=120&amp;START_MAXIMIZED=FALSE&amp;creator=factset&amp;display_string=Audit"}</definedName>
    <definedName name="_20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3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33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34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35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36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37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38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39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40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1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2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5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6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6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6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6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64__FDSAUDITLINK__" hidden="1">{"fdsup://directions/FAT Viewer?action=UPDATE&amp;creator=factset&amp;DYN_ARGS=TRUE&amp;DOC_NAME=FAT:FQL_AUDITING_CLIENT_TEMPLATE.FAT&amp;display_string=Audit&amp;VAR:KEY=EDEJOJITQZ&amp;VAR:QUERY=RkZfRUJJVERBKENBTCwyMDA4LCwsLEVVUik=&amp;WINDOW=FIRST_POPUP&amp;HEIGHT=450&amp;WIDTH=450&amp;START_MA","XIMIZED=FALSE&amp;VAR:CALENDAR=FIVEDAY&amp;VAR:SYMBOL=B0KS38&amp;VAR:INDEX=0"}</definedName>
    <definedName name="_2065__FDSAUDITLINK__" hidden="1">{"fdsup://directions/FAT Viewer?action=UPDATE&amp;creator=factset&amp;DYN_ARGS=TRUE&amp;DOC_NAME=FAT:FQL_AUDITING_CLIENT_TEMPLATE.FAT&amp;display_string=Audit&amp;VAR:KEY=RININCXYPE&amp;VAR:QUERY=RkZfQ0FQRVgoQ0FMLDIwMDksLCwsRVVSKQ==&amp;WINDOW=FIRST_POPUP&amp;HEIGHT=450&amp;WIDTH=450&amp;START_MA","XIMIZED=FALSE&amp;VAR:CALENDAR=FIVEDAY&amp;VAR:SYMBOL=OI&amp;VAR:INDEX=0"}</definedName>
    <definedName name="_2066__FDSAUDITLINK__" hidden="1">{"fdsup://directions/FAT Viewer?action=UPDATE&amp;creator=factset&amp;DYN_ARGS=TRUE&amp;DOC_NAME=FAT:FQL_AUDITING_CLIENT_TEMPLATE.FAT&amp;display_string=Audit&amp;VAR:KEY=DETARMLUHM&amp;VAR:QUERY=RkZfRUJJVChDQUwsMjAwOSwsLCxFVVIp&amp;WINDOW=FIRST_POPUP&amp;HEIGHT=450&amp;WIDTH=450&amp;START_MAXIMI","ZED=FALSE&amp;VAR:CALENDAR=FIVEDAY&amp;VAR:SYMBOL=B1XHN3&amp;VAR:INDEX=0"}</definedName>
    <definedName name="_2067__FDSAUDITLINK__" hidden="1">{"fdsup://directions/FAT Viewer?action=UPDATE&amp;creator=factset&amp;DYN_ARGS=TRUE&amp;DOC_NAME=FAT:FQL_AUDITING_CLIENT_TEMPLATE.FAT&amp;display_string=Audit&amp;VAR:KEY=KTIZELYTAH&amp;VAR:QUERY=RkZfRUJJVERBKENBTCwyMDA4LCwsLEVVUik=&amp;WINDOW=FIRST_POPUP&amp;HEIGHT=450&amp;WIDTH=450&amp;START_MA","XIMIZED=FALSE&amp;VAR:CALENDAR=FIVEDAY&amp;VAR:SYMBOL=SIAL&amp;VAR:INDEX=0"}</definedName>
    <definedName name="_2068__FDSAUDITLINK__" hidden="1">{"fdsup://directions/FAT Viewer?action=UPDATE&amp;creator=factset&amp;DYN_ARGS=TRUE&amp;DOC_NAME=FAT:FQL_AUDITING_CLIENT_TEMPLATE.FAT&amp;display_string=Audit&amp;VAR:KEY=OXKBSDEBAP&amp;VAR:QUERY=RkZfRUJJVERBKENBTCwyMDA3LCwsLEVVUik=&amp;WINDOW=FIRST_POPUP&amp;HEIGHT=450&amp;WIDTH=450&amp;START_MA","XIMIZED=FALSE&amp;VAR:CALENDAR=FIVEDAY&amp;VAR:SYMBOL=SIAL&amp;VAR:INDEX=0"}</definedName>
    <definedName name="_2069__FDSAUDITLINK__" hidden="1">{"fdsup://directions/FAT Viewer?action=UPDATE&amp;creator=factset&amp;DYN_ARGS=TRUE&amp;DOC_NAME=FAT:FQL_AUDITING_CLIENT_TEMPLATE.FAT&amp;display_string=Audit&amp;VAR:KEY=UBSZKJINWP&amp;VAR:QUERY=RkZfQ0FQRVgoQ0FMLDIwMDksLCwsRVVSKQ==&amp;WINDOW=FIRST_POPUP&amp;HEIGHT=450&amp;WIDTH=450&amp;START_MA","XIMIZED=FALSE&amp;VAR:CALENDAR=FIVEDAY&amp;VAR:SYMBOL=B1Y47Y&amp;VAR:INDEX=0"}</definedName>
    <definedName name="_20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70__FDSAUDITLINK__" hidden="1">{"fdsup://directions/FAT Viewer?action=UPDATE&amp;creator=factset&amp;DYN_ARGS=TRUE&amp;DOC_NAME=FAT:FQL_AUDITING_CLIENT_TEMPLATE.FAT&amp;display_string=Audit&amp;VAR:KEY=ODGBQXYTKD&amp;VAR:QUERY=RkZfRUJJVChDQUwsMjAwNywsLCxFVVIp&amp;WINDOW=FIRST_POPUP&amp;HEIGHT=450&amp;WIDTH=450&amp;START_MAXIMI","ZED=FALSE&amp;VAR:CALENDAR=FIVEDAY&amp;VAR:SYMBOL=B1Y47Y&amp;VAR:INDEX=0"}</definedName>
    <definedName name="_2071__FDSAUDITLINK__" hidden="1">{"fdsup://Directions/FactSet Auditing Viewer?action=AUDIT_VALUE&amp;DB=129&amp;ID1=59268810&amp;VALUEID=01001&amp;SDATE=2008&amp;PERIODTYPE=ANN_STD&amp;window=popup_no_bar&amp;width=385&amp;height=120&amp;START_MAXIMIZED=FALSE&amp;creator=factset&amp;display_string=Audit"}</definedName>
    <definedName name="_2072__FDSAUDITLINK__" hidden="1">{"fdsup://directions/FAT Viewer?action=UPDATE&amp;creator=factset&amp;DYN_ARGS=TRUE&amp;DOC_NAME=FAT:FQL_AUDITING_CLIENT_TEMPLATE.FAT&amp;display_string=Audit&amp;VAR:KEY=YPAPMHCTAP&amp;VAR:QUERY=RkZfRUJJVERBKENBTCwyMDA4LCwsLEVVUik=&amp;WINDOW=FIRST_POPUP&amp;HEIGHT=450&amp;WIDTH=450&amp;START_MA","XIMIZED=FALSE&amp;VAR:CALENDAR=FIVEDAY&amp;VAR:SYMBOL=GLW&amp;VAR:INDEX=0"}</definedName>
    <definedName name="_2073__FDSAUDITLINK__" hidden="1">{"fdsup://directions/FAT Viewer?action=UPDATE&amp;creator=factset&amp;DYN_ARGS=TRUE&amp;DOC_NAME=FAT:FQL_AUDITING_CLIENT_TEMPLATE.FAT&amp;display_string=Audit&amp;VAR:KEY=AREVWPQTQD&amp;VAR:QUERY=RkZfRUJJVERBKENBTCwyMDA3LCwsLEVVUik=&amp;WINDOW=FIRST_POPUP&amp;HEIGHT=450&amp;WIDTH=450&amp;START_MA","XIMIZED=FALSE&amp;VAR:CALENDAR=FIVEDAY&amp;VAR:SYMBOL=653031&amp;VAR:INDEX=0"}</definedName>
    <definedName name="_2074__FDSAUDITLINK__" hidden="1">{"fdsup://directions/FAT Viewer?action=UPDATE&amp;creator=factset&amp;DYN_ARGS=TRUE&amp;DOC_NAME=FAT:FQL_AUDITING_CLIENT_TEMPLATE.FAT&amp;display_string=Audit&amp;VAR:KEY=ABYZIBKJWT&amp;VAR:QUERY=RkZfRUJJVERBKENBTCwyMDA5LCwsLEVVUik=&amp;WINDOW=FIRST_POPUP&amp;HEIGHT=450&amp;WIDTH=450&amp;START_MA","XIMIZED=FALSE&amp;VAR:CALENDAR=FIVEDAY&amp;VAR:SYMBOL=653031&amp;VAR:INDEX=0"}</definedName>
    <definedName name="_2075__FDSAUDITLINK__" hidden="1">{"fdsup://Directions/FactSet Auditing Viewer?action=AUDIT_VALUE&amp;DB=129&amp;ID1=69076840&amp;VALUEID=01001&amp;SDATE=2007&amp;PERIODTYPE=ANN_STD&amp;window=popup_no_bar&amp;width=385&amp;height=120&amp;START_MAXIMIZED=FALSE&amp;creator=factset&amp;display_string=Audit"}</definedName>
    <definedName name="_2076__FDSAUDITLINK__" hidden="1">{"fdsup://directions/FAT Viewer?action=UPDATE&amp;creator=factset&amp;DYN_ARGS=TRUE&amp;DOC_NAME=FAT:FQL_AUDITING_CLIENT_TEMPLATE.FAT&amp;display_string=Audit&amp;VAR:KEY=WFARCLYZGZ&amp;VAR:QUERY=RkZfRUJJVChDQUwsMjAwOCwsLCxFVVIp&amp;WINDOW=FIRST_POPUP&amp;HEIGHT=450&amp;WIDTH=450&amp;START_MAXIMI","ZED=FALSE&amp;VAR:CALENDAR=FIVEDAY&amp;VAR:SYMBOL=605520&amp;VAR:INDEX=0"}</definedName>
    <definedName name="_2077__FDSAUDITLINK__" hidden="1">{"fdsup://directions/FAT Viewer?action=UPDATE&amp;creator=factset&amp;DYN_ARGS=TRUE&amp;DOC_NAME=FAT:FQL_AUDITING_CLIENT_TEMPLATE.FAT&amp;display_string=Audit&amp;VAR:KEY=XYPYVAFWVA&amp;VAR:QUERY=RkZfQ0FQRVgoQ0FMLDIwMDcsLCwsRVVSKQ==&amp;WINDOW=FIRST_POPUP&amp;HEIGHT=450&amp;WIDTH=450&amp;START_MA","XIMIZED=FALSE&amp;VAR:CALENDAR=FIVEDAY&amp;VAR:SYMBOL=606660&amp;VAR:INDEX=0"}</definedName>
    <definedName name="_2078__FDSAUDITLINK__" hidden="1">{"fdsup://directions/FAT Viewer?action=UPDATE&amp;creator=factset&amp;DYN_ARGS=TRUE&amp;DOC_NAME=FAT:FQL_AUDITING_CLIENT_TEMPLATE.FAT&amp;display_string=Audit&amp;VAR:KEY=SZGZAXCTUJ&amp;VAR:QUERY=RkZfRUJJVERBKENBTCwyMDA4LCwsLEVVUik=&amp;WINDOW=FIRST_POPUP&amp;HEIGHT=450&amp;WIDTH=450&amp;START_MA","XIMIZED=FALSE&amp;VAR:CALENDAR=FIVEDAY&amp;VAR:SYMBOL=07588710&amp;VAR:INDEX=0"}</definedName>
    <definedName name="_2079__FDSAUDITLINK__" hidden="1">{"fdsup://directions/FAT Viewer?action=UPDATE&amp;creator=factset&amp;DYN_ARGS=TRUE&amp;DOC_NAME=FAT:FQL_AUDITING_CLIENT_TEMPLATE.FAT&amp;display_string=Audit&amp;VAR:KEY=CHGDMNMFIJ&amp;VAR:QUERY=RkZfRUJJVChDQUwsMjAwOCwsLCxFVVIp&amp;WINDOW=FIRST_POPUP&amp;HEIGHT=450&amp;WIDTH=450&amp;START_MAXIMI","ZED=FALSE&amp;VAR:CALENDAR=FIVEDAY&amp;VAR:SYMBOL=07588710&amp;VAR:INDEX=0"}</definedName>
    <definedName name="_20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80__FDSAUDITLINK__" hidden="1">{"fdsup://directions/FAT Viewer?action=UPDATE&amp;creator=factset&amp;DYN_ARGS=TRUE&amp;DOC_NAME=FAT:FQL_AUDITING_CLIENT_TEMPLATE.FAT&amp;display_string=Audit&amp;VAR:KEY=VQTYRIVGHQ&amp;VAR:QUERY=RkZfRUJJVERBKENBTCwyMDA3LCwsLEVVUik=&amp;WINDOW=FIRST_POPUP&amp;HEIGHT=450&amp;WIDTH=450&amp;START_MA","XIMIZED=FALSE&amp;VAR:CALENDAR=FIVEDAY&amp;VAR:SYMBOL=646706&amp;VAR:INDEX=0"}</definedName>
    <definedName name="_208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9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ALA642C761" hidden="1">#N/A</definedName>
    <definedName name="_21__123Graph_AC04C_FF_T" hidden="1">#REF!</definedName>
    <definedName name="_21__123Graph_AC04C_FR_T1" hidden="1">#REF!</definedName>
    <definedName name="_21__123Graph_ACHART_1" hidden="1">#REF!</definedName>
    <definedName name="_21__123Graph_ACHART_4" hidden="1">#REF!</definedName>
    <definedName name="_21__123Graph_ECHART_3" hidden="1">#REF!</definedName>
    <definedName name="_21__123Graph_LBL_ACHART_3" hidden="1">#REF!</definedName>
    <definedName name="_21__123Graph_LBL_DCHART_1" hidden="1">#N/A</definedName>
    <definedName name="_21__123Graph_XCAP_PWR_93___95" hidden="1">#REF!</definedName>
    <definedName name="_21__123Graph_XCHART_4" hidden="1">#REF!</definedName>
    <definedName name="_2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1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0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1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2__FDSAUDITLINK__" hidden="1">{"fdsup://directions/FAT Viewer?action=UPDATE&amp;creator=factset&amp;DYN_ARGS=TRUE&amp;DOC_NAME=FAT:FQL_AUDITING_CLIENT_TEMPLATE.FAT&amp;display_string=Audit&amp;VAR:KEY=CBGXUJWVMR&amp;VAR:QUERY=RkZfQ0FQRVgoQ0FMLDIwMDksLCwsRVVSKQ==&amp;WINDOW=FIRST_POPUP&amp;HEIGHT=450&amp;WIDTH=450&amp;START_MA","XIMIZED=FALSE&amp;VAR:CALENDAR=FIVEDAY&amp;VAR:SYMBOL=B0KS38&amp;VAR:INDEX=0"}</definedName>
    <definedName name="_2113__FDSAUDITLINK__" hidden="1">{"fdsup://directions/FAT Viewer?action=UPDATE&amp;creator=factset&amp;DYN_ARGS=TRUE&amp;DOC_NAME=FAT:FQL_AUDITING_CLIENT_TEMPLATE.FAT&amp;display_string=Audit&amp;VAR:KEY=ITQFGZMFML&amp;VAR:QUERY=RkZfRUJJVERBKENBTCwyMDA5LCwsLEVVUik=&amp;WINDOW=FIRST_POPUP&amp;HEIGHT=450&amp;WIDTH=450&amp;START_MA","XIMIZED=FALSE&amp;VAR:CALENDAR=FIVEDAY&amp;VAR:SYMBOL=605520&amp;VAR:INDEX=0"}</definedName>
    <definedName name="_2114__FDSAUDITLINK__" hidden="1">{"fdsup://directions/FAT Viewer?action=UPDATE&amp;creator=factset&amp;DYN_ARGS=TRUE&amp;DOC_NAME=FAT:FQL_AUDITING_CLIENT_TEMPLATE.FAT&amp;display_string=Audit&amp;VAR:KEY=CLEVULKVWT&amp;VAR:QUERY=RkZfRUJJVERBKENBTCwyMDA5LCwsLEVVUik=&amp;WINDOW=FIRST_POPUP&amp;HEIGHT=450&amp;WIDTH=450&amp;START_MA","XIMIZED=FALSE&amp;VAR:CALENDAR=FIVEDAY&amp;VAR:SYMBOL=07588710&amp;VAR:INDEX=0"}</definedName>
    <definedName name="_2115__FDSAUDITLINK__" hidden="1">{"fdsup://directions/FAT Viewer?action=UPDATE&amp;creator=factset&amp;DYN_ARGS=TRUE&amp;DOC_NAME=FAT:FQL_AUDITING_CLIENT_TEMPLATE.FAT&amp;display_string=Audit&amp;VAR:KEY=GXITQFCNQX&amp;VAR:QUERY=RkZfREVCVF9MVChNT04sMCwsLCxFVVIp&amp;WINDOW=FIRST_POPUP&amp;HEIGHT=450&amp;WIDTH=450&amp;START_MAXIMI","ZED=FALSE&amp;VAR:CALENDAR=FIVEDAY&amp;VAR:SYMBOL=SIAL&amp;VAR:INDEX=0"}</definedName>
    <definedName name="_2116__FDSAUDITLINK__" hidden="1">{"fdsup://Directions/FactSet Auditing Viewer?action=AUDIT_VALUE&amp;DB=129&amp;ID1=516606&amp;VALUEID=P05202&amp;SDATE=2008&amp;PERIODTYPE=ANN_STD&amp;window=popup_no_bar&amp;width=385&amp;height=120&amp;START_MAXIMIZED=FALSE&amp;creator=factset&amp;display_string=Audit"}</definedName>
    <definedName name="_2117__FDSAUDITLINK__" hidden="1">{"fdsup://directions/FAT Viewer?action=UPDATE&amp;creator=factset&amp;DYN_ARGS=TRUE&amp;DOC_NAME=FAT:FQL_AUDITING_CLIENT_TEMPLATE.FAT&amp;display_string=Audit&amp;VAR:KEY=FWPQJURQRS&amp;VAR:QUERY=RkZfRUJJVERBKENBTCwyMDA3LCwsLEVVUik=&amp;WINDOW=FIRST_POPUP&amp;HEIGHT=450&amp;WIDTH=450&amp;START_MA","XIMIZED=FALSE&amp;VAR:CALENDAR=FIVEDAY&amp;VAR:SYMBOL=B1XHN3&amp;VAR:INDEX=0"}</definedName>
    <definedName name="_2118__FDSAUDITLINK__" hidden="1">{"fdsup://directions/FAT Viewer?action=UPDATE&amp;creator=factset&amp;DYN_ARGS=TRUE&amp;DOC_NAME=FAT:FQL_AUDITING_CLIENT_TEMPLATE.FAT&amp;display_string=Audit&amp;VAR:KEY=ZKZQPUHITE&amp;VAR:QUERY=RkZfQ0FQRVgoQ0FMLDIwMDgsLCwsRVVSKQ==&amp;WINDOW=FIRST_POPUP&amp;HEIGHT=450&amp;WIDTH=450&amp;START_MA","XIMIZED=FALSE&amp;VAR:CALENDAR=FIVEDAY&amp;VAR:SYMBOL=646706&amp;VAR:INDEX=0"}</definedName>
    <definedName name="_2119__FDSAUDITLINK__" hidden="1">{"fdsup://directions/FAT Viewer?action=UPDATE&amp;creator=factset&amp;DYN_ARGS=TRUE&amp;DOC_NAME=FAT:FQL_AUDITING_CLIENT_TEMPLATE.FAT&amp;display_string=Audit&amp;VAR:KEY=PENYPKXMVQ&amp;VAR:QUERY=RkZfQ0FQRVgoQ0FMLDIwMDksLCwsRVVSKQ==&amp;WINDOW=FIRST_POPUP&amp;HEIGHT=450&amp;WIDTH=450&amp;START_MA","XIMIZED=FALSE&amp;VAR:CALENDAR=FIVEDAY&amp;VAR:SYMBOL=646706&amp;VAR:INDEX=0"}</definedName>
    <definedName name="_21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20__FDSAUDITLINK__" hidden="1">{"fdsup://directions/FAT Viewer?action=UPDATE&amp;creator=factset&amp;DYN_ARGS=TRUE&amp;DOC_NAME=FAT:FQL_AUDITING_CLIENT_TEMPLATE.FAT&amp;display_string=Audit&amp;VAR:KEY=VUNYBCJMPO&amp;VAR:QUERY=RkZfRUJJVERBKENBTCwyMDA4LCwsLEVVUik=&amp;WINDOW=FIRST_POPUP&amp;HEIGHT=450&amp;WIDTH=450&amp;START_MA","XIMIZED=FALSE&amp;VAR:CALENDAR=FIVEDAY&amp;VAR:SYMBOL=516606&amp;VAR:INDEX=0"}</definedName>
    <definedName name="_2121__FDSAUDITLINK__" hidden="1">{"fdsup://directions/FAT Viewer?action=UPDATE&amp;creator=factset&amp;DYN_ARGS=TRUE&amp;DOC_NAME=FAT:FQL_AUDITING_CLIENT_TEMPLATE.FAT&amp;display_string=Audit&amp;VAR:KEY=HQRMBUVMFS&amp;VAR:QUERY=RkZfRUJJVChDQUwsMjAwNywsLCxFVVIp&amp;WINDOW=FIRST_POPUP&amp;HEIGHT=450&amp;WIDTH=450&amp;START_MAXIMI","ZED=FALSE&amp;VAR:CALENDAR=FIVEDAY&amp;VAR:SYMBOL=B1XHN3&amp;VAR:INDEX=0"}</definedName>
    <definedName name="_2122__FDSAUDITLINK__" hidden="1">{"fdsup://directions/FAT Viewer?action=UPDATE&amp;creator=factset&amp;DYN_ARGS=TRUE&amp;DOC_NAME=FAT:FQL_AUDITING_CLIENT_TEMPLATE.FAT&amp;display_string=Audit&amp;VAR:KEY=TGPWZMVARY&amp;VAR:QUERY=RkZfQ0FQRVgoQ0FMLDIwMDcsLCwsRVVSKQ==&amp;WINDOW=FIRST_POPUP&amp;HEIGHT=450&amp;WIDTH=450&amp;START_MA","XIMIZED=FALSE&amp;VAR:CALENDAR=FIVEDAY&amp;VAR:SYMBOL=B1XHN3&amp;VAR:INDEX=0"}</definedName>
    <definedName name="_2123__FDSAUDITLINK__" hidden="1">{"fdsup://directions/FAT Viewer?action=UPDATE&amp;creator=factset&amp;DYN_ARGS=TRUE&amp;DOC_NAME=FAT:FQL_AUDITING_CLIENT_TEMPLATE.FAT&amp;display_string=Audit&amp;VAR:KEY=HYVANETUVK&amp;VAR:QUERY=RkZfQ0FQRVgoQ0FMLDIwMDgsLCwsRVVSKQ==&amp;WINDOW=FIRST_POPUP&amp;HEIGHT=450&amp;WIDTH=450&amp;START_MA","XIMIZED=FALSE&amp;VAR:CALENDAR=FIVEDAY&amp;VAR:SYMBOL=B1XHN3&amp;VAR:INDEX=0"}</definedName>
    <definedName name="_2124__FDSAUDITLINK__" hidden="1">{"fdsup://directions/FAT Viewer?action=UPDATE&amp;creator=factset&amp;DYN_ARGS=TRUE&amp;DOC_NAME=FAT:FQL_AUDITING_CLIENT_TEMPLATE.FAT&amp;display_string=Audit&amp;VAR:KEY=UFUBMLITKB&amp;VAR:QUERY=RkZfRUJJVERBKENBTCwyMDA5LCwsLEVVUik=&amp;WINDOW=FIRST_POPUP&amp;HEIGHT=450&amp;WIDTH=450&amp;START_MA","XIMIZED=FALSE&amp;VAR:CALENDAR=FIVEDAY&amp;VAR:SYMBOL=546672&amp;VAR:INDEX=0"}</definedName>
    <definedName name="_2125__FDSAUDITLINK__" hidden="1">{"fdsup://directions/FAT Viewer?action=UPDATE&amp;creator=factset&amp;DYN_ARGS=TRUE&amp;DOC_NAME=FAT:FQL_AUDITING_CLIENT_TEMPLATE.FAT&amp;display_string=Audit&amp;VAR:KEY=VWLMPKPQBK&amp;VAR:QUERY=RkZfQ0FQRVgoQ0FMLDIwMDcsLCwsRVVSKQ==&amp;WINDOW=FIRST_POPUP&amp;HEIGHT=450&amp;WIDTH=450&amp;START_MA","XIMIZED=FALSE&amp;VAR:CALENDAR=FIVEDAY&amp;VAR:SYMBOL=646706&amp;VAR:INDEX=0"}</definedName>
    <definedName name="_2126__FDSAUDITLINK__" hidden="1">{"fdsup://directions/FAT Viewer?action=UPDATE&amp;creator=factset&amp;DYN_ARGS=TRUE&amp;DOC_NAME=FAT:FQL_AUDITING_CLIENT_TEMPLATE.FAT&amp;display_string=Audit&amp;VAR:KEY=LUVKJWZKBE&amp;VAR:QUERY=RkZfQ0FQRVgoQ0FMLDIwMDksLCwsRVVSKQ==&amp;WINDOW=FIRST_POPUP&amp;HEIGHT=450&amp;WIDTH=450&amp;START_MA","XIMIZED=FALSE&amp;VAR:CALENDAR=FIVEDAY&amp;VAR:SYMBOL=B0KS38&amp;VAR:INDEX=0"}</definedName>
    <definedName name="_2127__FDSAUDITLINK__" hidden="1">{"fdsup://directions/FAT Viewer?action=UPDATE&amp;creator=factset&amp;DYN_ARGS=TRUE&amp;DOC_NAME=FAT:FQL_AUDITING_CLIENT_TEMPLATE.FAT&amp;display_string=Audit&amp;VAR:KEY=HYVANETUVK&amp;VAR:QUERY=RkZfQ0FQRVgoQ0FMLDIwMDgsLCwsRVVSKQ==&amp;WINDOW=FIRST_POPUP&amp;HEIGHT=450&amp;WIDTH=450&amp;START_MA","XIMIZED=FALSE&amp;VAR:CALENDAR=FIVEDAY&amp;VAR:SYMBOL=B1XHN3&amp;VAR:INDEX=0"}</definedName>
    <definedName name="_2128__FDSAUDITLINK__" hidden="1">{"fdsup://directions/FAT Viewer?action=UPDATE&amp;creator=factset&amp;DYN_ARGS=TRUE&amp;DOC_NAME=FAT:FQL_AUDITING_CLIENT_TEMPLATE.FAT&amp;display_string=Audit&amp;VAR:KEY=KBYDKRKTUN&amp;VAR:QUERY=RkZfRUJJVERBKENBTCwyMDA3LCwsLEVVUik=&amp;WINDOW=FIRST_POPUP&amp;HEIGHT=450&amp;WIDTH=450&amp;START_MA","XIMIZED=FALSE&amp;VAR:CALENDAR=FIVEDAY&amp;VAR:SYMBOL=GLW&amp;VAR:INDEX=0"}</definedName>
    <definedName name="_2129__FDSAUDITLINK__" hidden="1">{"fdsup://directions/FAT Viewer?action=UPDATE&amp;creator=factset&amp;DYN_ARGS=TRUE&amp;DOC_NAME=FAT:FQL_AUDITING_CLIENT_TEMPLATE.FAT&amp;display_string=Audit&amp;VAR:KEY=YRGFKZWTOP&amp;VAR:QUERY=RkZfQ0FQRVgoQ0FMLDIwMDksLCwsRVVSKQ==&amp;WINDOW=FIRST_POPUP&amp;HEIGHT=450&amp;WIDTH=450&amp;START_MA","XIMIZED=FALSE&amp;VAR:CALENDAR=FIVEDAY&amp;VAR:SYMBOL=GLW&amp;VAR:INDEX=0"}</definedName>
    <definedName name="_212IQ_OPER塅䕃_塅EMEDIAN_EST_CIQ" hidden="1">"c12011"</definedName>
    <definedName name="_21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30__FDSAUDITLINK__" hidden="1">{"fdsup://Directions/FactSet Auditing Viewer?action=AUDIT_VALUE&amp;DB=129&amp;ID1=58733R10&amp;VALUEID=03501&amp;SDATE=2009&amp;PERIODTYPE=ANN_STD&amp;window=popup_no_bar&amp;width=385&amp;height=120&amp;START_MAXIMIZED=FALSE&amp;creator=factset&amp;display_string=Audit"}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Viewer?action=AUDIT_VALUE&amp;DB=129&amp;ID1=36238G10&amp;VALUEID=03501&amp;SDATE=2009&amp;PERIODTYPE=ANN_STD&amp;window=popup_no_bar&amp;width=385&amp;height=120&amp;START_MAXIMIZED=FALSE&amp;creator=factset&amp;display_string=Audit"}</definedName>
    <definedName name="_2132__FDSAUDITLINK__" hidden="1">{"fdsup://Directions/FactSet Auditing Viewer?action=AUDIT_VALUE&amp;DB=129&amp;ID1=27864210&amp;VALUEID=03501&amp;SDATE=2009&amp;PERIODTYPE=ANN_STD&amp;window=popup_no_bar&amp;width=385&amp;height=120&amp;START_MAXIMIZED=FALSE&amp;creator=factset&amp;display_string=Audit"}</definedName>
    <definedName name="_2133__FDSAUDITLINK__" hidden="1">{"fdsup://Directions/FactSet Auditing Viewer?action=AUDIT_VALUE&amp;DB=129&amp;ID1=02313510&amp;VALUEID=03501&amp;SDATE=2009&amp;PERIODTYPE=ANN_STD&amp;window=popup_no_bar&amp;width=385&amp;height=120&amp;START_MAXIMIZED=FALSE&amp;creator=factset&amp;display_string=Audit"}</definedName>
    <definedName name="_2134__FDSAUDITLINK__" hidden="1">{"fdsup://Directions/FactSet Auditing Viewer?action=AUDIT_VALUE&amp;DB=129&amp;ID1=B2R9XL&amp;VALUEID=03501&amp;SDATE=2009&amp;PERIODTYPE=ANN_STD&amp;window=popup_no_bar&amp;width=385&amp;height=120&amp;START_MAXIMIZED=FALSE&amp;creator=factset&amp;display_string=Audit"}</definedName>
    <definedName name="_2135__FDSAUDITLINK__" hidden="1">{"fdsup://Directions/FactSet Auditing Viewer?action=AUDIT_VALUE&amp;DB=129&amp;ID1=622959&amp;VALUEID=03501&amp;SDATE=2009&amp;PERIODTYPE=ANN_STD&amp;window=popup_no_bar&amp;width=385&amp;height=120&amp;START_MAXIMIZED=FALSE&amp;creator=factset&amp;display_string=Audit"}</definedName>
    <definedName name="_2136__FDSAUDITLINK__" hidden="1">{"fdsup://directions/FAT Viewer?action=UPDATE&amp;creator=factset&amp;DYN_ARGS=TRUE&amp;DOC_NAME=FAT:FQL_AUDITING_CLIENT_TEMPLATE.FAT&amp;display_string=Audit&amp;VAR:KEY=ILKFQXAPGL&amp;VAR:QUERY=RkZfRUJJVERBKENBTCwyMDA4LCwsLEVVUik=&amp;WINDOW=FIRST_POPUP&amp;HEIGHT=450&amp;WIDTH=450&amp;START_MA","XIMIZED=FALSE&amp;VAR:CALENDAR=FIVEDAY&amp;VAR:SYMBOL=516606&amp;VAR:INDEX=0"}</definedName>
    <definedName name="_2137__FDSAUDITLINK__" hidden="1">{"fdsup://directions/FAT Viewer?action=UPDATE&amp;creator=factset&amp;DYN_ARGS=TRUE&amp;DOC_NAME=FAT:FQL_AUDITING_CLIENT_TEMPLATE.FAT&amp;display_string=Audit&amp;VAR:KEY=CBQPCBOFMT&amp;VAR:QUERY=RkZfRUJJVERBKENBTCwyMDA5LCwsLEVVUik=&amp;WINDOW=FIRST_POPUP&amp;HEIGHT=450&amp;WIDTH=450&amp;START_MA","XIMIZED=FALSE&amp;VAR:CALENDAR=FIVEDAY&amp;VAR:SYMBOL=516606&amp;VAR:INDEX=0"}</definedName>
    <definedName name="_2138__FDSAUDITLINK__" hidden="1">{"fdsup://directions/FAT Viewer?action=UPDATE&amp;creator=factset&amp;DYN_ARGS=TRUE&amp;DOC_NAME=FAT:FQL_AUDITING_CLIENT_TEMPLATE.FAT&amp;display_string=Audit&amp;VAR:KEY=GPOFEBCRMJ&amp;VAR:QUERY=RkZfRUJJVChDQUwsMjAwNywsLCxFVVIp&amp;WINDOW=FIRST_POPUP&amp;HEIGHT=450&amp;WIDTH=450&amp;START_MAXIMI","ZED=FALSE&amp;VAR:CALENDAR=FIVEDAY&amp;VAR:SYMBOL=516606&amp;VAR:INDEX=0"}</definedName>
    <definedName name="_2139__FDSAUDITLINK__" hidden="1">{"fdsup://directions/FAT Viewer?action=UPDATE&amp;creator=factset&amp;DYN_ARGS=TRUE&amp;DOC_NAME=FAT:FQL_AUDITING_CLIENT_TEMPLATE.FAT&amp;display_string=Audit&amp;VAR:KEY=GPKJWHKTWZ&amp;VAR:QUERY=RkZfQ0FQRVgoQ0FMLDIwMDgsLCwsRVVSKQ==&amp;WINDOW=FIRST_POPUP&amp;HEIGHT=450&amp;WIDTH=450&amp;START_MA","XIMIZED=FALSE&amp;VAR:CALENDAR=FIVEDAY&amp;VAR:SYMBOL=B0KS38&amp;VAR:INDEX=0"}</definedName>
    <definedName name="_21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40__FDSAUDITLINK__" hidden="1">{"fdsup://directions/FAT Viewer?action=UPDATE&amp;creator=factset&amp;DYN_ARGS=TRUE&amp;DOC_NAME=FAT:FQL_AUDITING_CLIENT_TEMPLATE.FAT&amp;display_string=Audit&amp;VAR:KEY=SDYZOJYHCP&amp;VAR:QUERY=RkZfRUJJVERBKENBTCwyMDA3LCwsLEVVUik=&amp;WINDOW=FIRST_POPUP&amp;HEIGHT=450&amp;WIDTH=450&amp;START_MA","XIMIZED=FALSE&amp;VAR:CALENDAR=FIVEDAY&amp;VAR:SYMBOL=516606&amp;VAR:INDEX=0"}</definedName>
    <definedName name="_2141__FDSAUDITLINK__" hidden="1">{"fdsup://directions/FAT Viewer?action=UPDATE&amp;creator=factset&amp;DYN_ARGS=TRUE&amp;DOC_NAME=FAT:FQL_AUDITING_CLIENT_TEMPLATE.FAT&amp;display_string=Audit&amp;VAR:KEY=MLUVGJADMD&amp;VAR:QUERY=RkZfRUJJVERBKENBTCwyMDA5LCwsLEVVUik=&amp;WINDOW=FIRST_POPUP&amp;HEIGHT=450&amp;WIDTH=450&amp;START_MA","XIMIZED=FALSE&amp;VAR:CALENDAR=FIVEDAY&amp;VAR:SYMBOL=TMO&amp;VAR:INDEX=0"}</definedName>
    <definedName name="_2142__FDSAUDITLINK__" hidden="1">{"fdsup://directions/FAT Viewer?action=UPDATE&amp;creator=factset&amp;DYN_ARGS=TRUE&amp;DOC_NAME=FAT:FQL_AUDITING_CLIENT_TEMPLATE.FAT&amp;display_string=Audit&amp;VAR:KEY=WVAHOVMFWR&amp;VAR:QUERY=RkZfRUJJVChDQUwsMjAwOSwsLCxFVVIp&amp;WINDOW=FIRST_POPUP&amp;HEIGHT=450&amp;WIDTH=450&amp;START_MAXIMI","ZED=FALSE&amp;VAR:CALENDAR=FIVEDAY&amp;VAR:SYMBOL=646706&amp;VAR:INDEX=0"}</definedName>
    <definedName name="_2143__FDSAUDITLINK__" hidden="1">{"fdsup://Directions/FactSet Auditing Viewer?action=AUDIT_VALUE&amp;DB=129&amp;ID1=31540510&amp;VALUEID=01001&amp;SDATE=2009&amp;PERIODTYPE=ANN_STD&amp;window=popup_no_bar&amp;width=385&amp;height=120&amp;START_MAXIMIZED=FALSE&amp;creator=factset&amp;display_string=Audit"}</definedName>
    <definedName name="_2144__FDSAUDITLINK__" hidden="1">{"fdsup://Directions/FactSet Auditing Viewer?action=AUDIT_VALUE&amp;DB=129&amp;ID1=31540510&amp;VALUEID=01001&amp;SDATE=2008&amp;PERIODTYPE=ANN_STD&amp;window=popup_no_bar&amp;width=385&amp;height=120&amp;START_MAXIMIZED=FALSE&amp;creator=factset&amp;display_string=Audit"}</definedName>
    <definedName name="_2145__FDSAUDITLINK__" hidden="1">{"fdsup://Directions/FactSet Auditing Viewer?action=AUDIT_VALUE&amp;DB=129&amp;ID1=31540510&amp;VALUEID=01001&amp;SDATE=2007&amp;PERIODTYPE=ANN_STD&amp;window=popup_no_bar&amp;width=385&amp;height=120&amp;START_MAXIMIZED=FALSE&amp;creator=factset&amp;display_string=Audit"}</definedName>
    <definedName name="_2146__FDSAUDITLINK__" hidden="1">{"fdsup://Directions/FactSet Auditing Viewer?action=AUDIT_VALUE&amp;DB=129&amp;ID1=21935010&amp;VALUEID=01001&amp;SDATE=2009&amp;PERIODTYPE=ANN_STD&amp;window=popup_no_bar&amp;width=385&amp;height=120&amp;START_MAXIMIZED=FALSE&amp;creator=factset&amp;display_string=Audit"}</definedName>
    <definedName name="_2147__FDSAUDITLINK__" hidden="1">{"fdsup://Directions/FactSet Auditing Viewer?action=AUDIT_VALUE&amp;DB=129&amp;ID1=21935010&amp;VALUEID=01001&amp;SDATE=2008&amp;PERIODTYPE=ANN_STD&amp;window=popup_no_bar&amp;width=385&amp;height=120&amp;START_MAXIMIZED=FALSE&amp;creator=factset&amp;display_string=Audit"}</definedName>
    <definedName name="_2148__FDSAUDITLINK__" hidden="1">{"fdsup://Directions/FactSet Auditing Viewer?action=AUDIT_VALUE&amp;DB=129&amp;ID1=21935010&amp;VALUEID=01001&amp;SDATE=2007&amp;PERIODTYPE=ANN_STD&amp;window=popup_no_bar&amp;width=385&amp;height=120&amp;START_MAXIMIZED=FALSE&amp;creator=factset&amp;display_string=Audit"}</definedName>
    <definedName name="_2149__FDSAUDITLINK__" hidden="1">{"fdsup://Directions/FactSet Auditing Viewer?action=AUDIT_VALUE&amp;DB=129&amp;ID1=82655210&amp;VALUEID=01001&amp;SDATE=2009&amp;PERIODTYPE=ANN_STD&amp;window=popup_no_bar&amp;width=385&amp;height=120&amp;START_MAXIMIZED=FALSE&amp;creator=factset&amp;display_string=Audit"}</definedName>
    <definedName name="_21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50__FDSAUDITLINK__" hidden="1">{"fdsup://Directions/FactSet Auditing Viewer?action=AUDIT_VALUE&amp;DB=129&amp;ID1=82655210&amp;VALUEID=01001&amp;SDATE=2008&amp;PERIODTYPE=ANN_STD&amp;window=popup_no_bar&amp;width=385&amp;height=120&amp;START_MAXIMIZED=FALSE&amp;creator=factset&amp;display_string=Audit"}</definedName>
    <definedName name="_2151__FDSAUDITLINK__" hidden="1">{"fdsup://Directions/FactSet Auditing Viewer?action=AUDIT_VALUE&amp;DB=129&amp;ID1=82655210&amp;VALUEID=01001&amp;SDATE=2007&amp;PERIODTYPE=ANN_STD&amp;window=popup_no_bar&amp;width=385&amp;height=120&amp;START_MAXIMIZED=FALSE&amp;creator=factset&amp;display_string=Audit"}</definedName>
    <definedName name="_2152__FDSAUDITLINK__" hidden="1">{"fdsup://directions/FAT Viewer?action=UPDATE&amp;creator=factset&amp;DYN_ARGS=TRUE&amp;DOC_NAME=FAT:FQL_AUDITING_CLIENT_TEMPLATE.FAT&amp;display_string=Audit&amp;VAR:KEY=UNWZQNEHSZ&amp;VAR:QUERY=RkZfQ0FQRVgoQ0FMLDIwMDksLCwsRVVSKQ==&amp;WINDOW=FIRST_POPUP&amp;HEIGHT=450&amp;WIDTH=450&amp;START_MA","XIMIZED=FALSE&amp;VAR:CALENDAR=FIVEDAY&amp;VAR:SYMBOL=MTD&amp;VAR:INDEX=0"}</definedName>
    <definedName name="_2153__FDSAUDITLINK__" hidden="1">{"fdsup://directions/FAT Viewer?action=UPDATE&amp;creator=factset&amp;DYN_ARGS=TRUE&amp;DOC_NAME=FAT:FQL_AUDITING_CLIENT_TEMPLATE.FAT&amp;display_string=Audit&amp;VAR:KEY=SFAVCBIPYH&amp;VAR:QUERY=RkZfQ0FQRVgoQ0FMLDIwMDgsLCwsRVVSKQ==&amp;WINDOW=FIRST_POPUP&amp;HEIGHT=450&amp;WIDTH=450&amp;START_MA","XIMIZED=FALSE&amp;VAR:CALENDAR=FIVEDAY&amp;VAR:SYMBOL=MTD&amp;VAR:INDEX=0"}</definedName>
    <definedName name="_2154__FDSAUDITLINK__" hidden="1">{"fdsup://directions/FAT Viewer?action=UPDATE&amp;creator=factset&amp;DYN_ARGS=TRUE&amp;DOC_NAME=FAT:FQL_AUDITING_CLIENT_TEMPLATE.FAT&amp;display_string=Audit&amp;VAR:KEY=SNIJETGTYJ&amp;VAR:QUERY=RkZfQ0FQRVgoQ0FMLDIwMDcsLCwsRVVSKQ==&amp;WINDOW=FIRST_POPUP&amp;HEIGHT=450&amp;WIDTH=450&amp;START_MA","XIMIZED=FALSE&amp;VAR:CALENDAR=FIVEDAY&amp;VAR:SYMBOL=MTD&amp;VAR:INDEX=0"}</definedName>
    <definedName name="_2155__FDSAUDITLINK__" hidden="1">{"fdsup://directions/FAT Viewer?action=UPDATE&amp;creator=factset&amp;DYN_ARGS=TRUE&amp;DOC_NAME=FAT:FQL_AUDITING_CLIENT_TEMPLATE.FAT&amp;display_string=Audit&amp;VAR:KEY=SBMHGZGZGJ&amp;VAR:QUERY=RkZfRUJJVChDQUwsMjAwOSwsLCxFVVIp&amp;WINDOW=FIRST_POPUP&amp;HEIGHT=450&amp;WIDTH=450&amp;START_MAXIMI","ZED=FALSE&amp;VAR:CALENDAR=FIVEDAY&amp;VAR:SYMBOL=MTD&amp;VAR:INDEX=0"}</definedName>
    <definedName name="_2156__FDSAUDITLINK__" hidden="1">{"fdsup://directions/FAT Viewer?action=UPDATE&amp;creator=factset&amp;DYN_ARGS=TRUE&amp;DOC_NAME=FAT:FQL_AUDITING_CLIENT_TEMPLATE.FAT&amp;display_string=Audit&amp;VAR:KEY=QFMJSRGVGT&amp;VAR:QUERY=RkZfRUJJVChDQUwsMjAwOCwsLCxFVVIp&amp;WINDOW=FIRST_POPUP&amp;HEIGHT=450&amp;WIDTH=450&amp;START_MAXIMI","ZED=FALSE&amp;VAR:CALENDAR=FIVEDAY&amp;VAR:SYMBOL=MTD&amp;VAR:INDEX=0"}</definedName>
    <definedName name="_2157__FDSAUDITLINK__" hidden="1">{"fdsup://directions/FAT Viewer?action=UPDATE&amp;creator=factset&amp;DYN_ARGS=TRUE&amp;DOC_NAME=FAT:FQL_AUDITING_CLIENT_TEMPLATE.FAT&amp;display_string=Audit&amp;VAR:KEY=UZSDUBEXED&amp;VAR:QUERY=RkZfRUJJVChDQUwsMjAwNywsLCxFVVIp&amp;WINDOW=FIRST_POPUP&amp;HEIGHT=450&amp;WIDTH=450&amp;START_MAXIMI","ZED=FALSE&amp;VAR:CALENDAR=FIVEDAY&amp;VAR:SYMBOL=MTD&amp;VAR:INDEX=0"}</definedName>
    <definedName name="_2158__FDSAUDITLINK__" hidden="1">{"fdsup://directions/FAT Viewer?action=UPDATE&amp;creator=factset&amp;DYN_ARGS=TRUE&amp;DOC_NAME=FAT:FQL_AUDITING_CLIENT_TEMPLATE.FAT&amp;display_string=Audit&amp;VAR:KEY=SPADQLMRGJ&amp;VAR:QUERY=RkZfRUJJVERBKENBTCwyMDA5LCwsLEVVUik=&amp;WINDOW=FIRST_POPUP&amp;HEIGHT=450&amp;WIDTH=450&amp;START_MA","XIMIZED=FALSE&amp;VAR:CALENDAR=FIVEDAY&amp;VAR:SYMBOL=MTD&amp;VAR:INDEX=0"}</definedName>
    <definedName name="_2159__FDSAUDITLINK__" hidden="1">{"fdsup://directions/FAT Viewer?action=UPDATE&amp;creator=factset&amp;DYN_ARGS=TRUE&amp;DOC_NAME=FAT:FQL_AUDITING_CLIENT_TEMPLATE.FAT&amp;display_string=Audit&amp;VAR:KEY=AHYXAJKVMN&amp;VAR:QUERY=RkZfRUJJVERBKENBTCwyMDA4LCwsLEVVUik=&amp;WINDOW=FIRST_POPUP&amp;HEIGHT=450&amp;WIDTH=450&amp;START_MA","XIMIZED=FALSE&amp;VAR:CALENDAR=FIVEDAY&amp;VAR:SYMBOL=MTD&amp;VAR:INDEX=0"}</definedName>
    <definedName name="_21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60__FDSAUDITLINK__" hidden="1">{"fdsup://directions/FAT Viewer?action=UPDATE&amp;creator=factset&amp;DYN_ARGS=TRUE&amp;DOC_NAME=FAT:FQL_AUDITING_CLIENT_TEMPLATE.FAT&amp;display_string=Audit&amp;VAR:KEY=EDOXCROLQB&amp;VAR:QUERY=RkZfRUJJVERBKENBTCwyMDA3LCwsLEVVUik=&amp;WINDOW=FIRST_POPUP&amp;HEIGHT=450&amp;WIDTH=450&amp;START_MA","XIMIZED=FALSE&amp;VAR:CALENDAR=FIVEDAY&amp;VAR:SYMBOL=MTD&amp;VAR:INDEX=0"}</definedName>
    <definedName name="_2161__FDSAUDITLINK__" hidden="1">{"fdsup://Directions/FactSet Auditing Viewer?action=AUDIT_VALUE&amp;DB=129&amp;ID1=59268810&amp;VALUEID=01001&amp;SDATE=2009&amp;PERIODTYPE=ANN_STD&amp;window=popup_no_bar&amp;width=385&amp;height=120&amp;START_MAXIMIZED=FALSE&amp;creator=factset&amp;display_string=Audit"}</definedName>
    <definedName name="_2162__FDSAUDITLINK__" hidden="1">{"fdsup://Directions/FactSet Auditing Viewer?action=AUDIT_VALUE&amp;DB=129&amp;ID1=59268810&amp;VALUEID=01001&amp;SDATE=2008&amp;PERIODTYPE=ANN_STD&amp;window=popup_no_bar&amp;width=385&amp;height=120&amp;START_MAXIMIZED=FALSE&amp;creator=factset&amp;display_string=Audit"}</definedName>
    <definedName name="_2163__FDSAUDITLINK__" hidden="1">{"fdsup://Directions/FactSet Auditing Viewer?action=AUDIT_VALUE&amp;DB=129&amp;ID1=59268810&amp;VALUEID=01001&amp;SDATE=2007&amp;PERIODTYPE=ANN_STD&amp;window=popup_no_bar&amp;width=385&amp;height=120&amp;START_MAXIMIZED=FALSE&amp;creator=factset&amp;display_string=Audit"}</definedName>
    <definedName name="_2164__FDSAUDITLINK__" hidden="1">{"fdsup://Directions/FactSet Auditing Viewer?action=AUDIT_VALUE&amp;DB=129&amp;ID1=571062&amp;VALUEID=P05202&amp;SDATE=2009&amp;PERIODTYPE=ANN_STD&amp;window=popup_no_bar&amp;width=385&amp;height=120&amp;START_MAXIMIZED=FALSE&amp;creator=factset&amp;display_string=Audit"}</definedName>
    <definedName name="_2165__FDSAUDITLINK__" hidden="1">{"fdsup://Directions/FactSet Auditing Viewer?action=AUDIT_VALUE&amp;DB=129&amp;ID1=571062&amp;VALUEID=P05202&amp;SDATE=2008&amp;PERIODTYPE=ANN_STD&amp;window=popup_no_bar&amp;width=385&amp;height=120&amp;START_MAXIMIZED=FALSE&amp;creator=factset&amp;display_string=Audit"}</definedName>
    <definedName name="_2166__FDSAUDITLINK__" hidden="1">{"fdsup://Directions/FactSet Auditing Viewer?action=AUDIT_VALUE&amp;DB=129&amp;ID1=571062&amp;VALUEID=P05202&amp;SDATE=2007&amp;PERIODTYPE=ANN_STD&amp;window=popup_no_bar&amp;width=385&amp;height=120&amp;START_MAXIMIZED=FALSE&amp;creator=factset&amp;display_string=Audit"}</definedName>
    <definedName name="_2167__FDSAUDITLINK__" hidden="1">{"fdsup://directions/FAT Viewer?action=UPDATE&amp;creator=factset&amp;DYN_ARGS=TRUE&amp;DOC_NAME=FAT:FQL_AUDITING_CLIENT_TEMPLATE.FAT&amp;display_string=Audit&amp;VAR:KEY=ETEVKFWNIB&amp;VAR:QUERY=RkZfQ0FQRVgoQ0FMLDIwMDksLCwsRVVSKQ==&amp;WINDOW=FIRST_POPUP&amp;HEIGHT=450&amp;WIDTH=450&amp;START_MA","XIMIZED=FALSE&amp;VAR:CALENDAR=FIVEDAY&amp;VAR:SYMBOL=571062&amp;VAR:INDEX=0"}</definedName>
    <definedName name="_2168__FDSAUDITLINK__" hidden="1">{"fdsup://directions/FAT Viewer?action=UPDATE&amp;creator=factset&amp;DYN_ARGS=TRUE&amp;DOC_NAME=FAT:FQL_AUDITING_CLIENT_TEMPLATE.FAT&amp;display_string=Audit&amp;VAR:KEY=SXQRANMDSJ&amp;VAR:QUERY=RkZfQ0FQRVgoQ0FMLDIwMDgsLCwsRVVSKQ==&amp;WINDOW=FIRST_POPUP&amp;HEIGHT=450&amp;WIDTH=450&amp;START_MA","XIMIZED=FALSE&amp;VAR:CALENDAR=FIVEDAY&amp;VAR:SYMBOL=571062&amp;VAR:INDEX=0"}</definedName>
    <definedName name="_2169__FDSAUDITLINK__" hidden="1">{"fdsup://directions/FAT Viewer?action=UPDATE&amp;creator=factset&amp;DYN_ARGS=TRUE&amp;DOC_NAME=FAT:FQL_AUDITING_CLIENT_TEMPLATE.FAT&amp;display_string=Audit&amp;VAR:KEY=IDGVYRUJIH&amp;VAR:QUERY=RkZfQ0FQRVgoQ0FMLDIwMDcsLCwsRVVSKQ==&amp;WINDOW=FIRST_POPUP&amp;HEIGHT=450&amp;WIDTH=450&amp;START_MA","XIMIZED=FALSE&amp;VAR:CALENDAR=FIVEDAY&amp;VAR:SYMBOL=571062&amp;VAR:INDEX=0"}</definedName>
    <definedName name="_21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70__FDSAUDITLINK__" hidden="1">{"fdsup://directions/FAT Viewer?action=UPDATE&amp;creator=factset&amp;DYN_ARGS=TRUE&amp;DOC_NAME=FAT:FQL_AUDITING_CLIENT_TEMPLATE.FAT&amp;display_string=Audit&amp;VAR:KEY=ADCRKLSJEF&amp;VAR:QUERY=RkZfRUJJVChDQUwsMjAwOSwsLCxFVVIp&amp;WINDOW=FIRST_POPUP&amp;HEIGHT=450&amp;WIDTH=450&amp;START_MAXIMI","ZED=FALSE&amp;VAR:CALENDAR=FIVEDAY&amp;VAR:SYMBOL=571062&amp;VAR:INDEX=0"}</definedName>
    <definedName name="_2171__FDSAUDITLINK__" hidden="1">{"fdsup://directions/FAT Viewer?action=UPDATE&amp;creator=factset&amp;DYN_ARGS=TRUE&amp;DOC_NAME=FAT:FQL_AUDITING_CLIENT_TEMPLATE.FAT&amp;display_string=Audit&amp;VAR:KEY=KFMFYXENCZ&amp;VAR:QUERY=RkZfRUJJVChDQUwsMjAwOCwsLCxFVVIp&amp;WINDOW=FIRST_POPUP&amp;HEIGHT=450&amp;WIDTH=450&amp;START_MAXIMI","ZED=FALSE&amp;VAR:CALENDAR=FIVEDAY&amp;VAR:SYMBOL=571062&amp;VAR:INDEX=0"}</definedName>
    <definedName name="_2172__FDSAUDITLINK__" hidden="1">{"fdsup://directions/FAT Viewer?action=UPDATE&amp;creator=factset&amp;DYN_ARGS=TRUE&amp;DOC_NAME=FAT:FQL_AUDITING_CLIENT_TEMPLATE.FAT&amp;display_string=Audit&amp;VAR:KEY=QVCZITCPEX&amp;VAR:QUERY=RkZfRUJJVChDQUwsMjAwNywsLCxFVVIp&amp;WINDOW=FIRST_POPUP&amp;HEIGHT=450&amp;WIDTH=450&amp;START_MAXIMI","ZED=FALSE&amp;VAR:CALENDAR=FIVEDAY&amp;VAR:SYMBOL=571062&amp;VAR:INDEX=0"}</definedName>
    <definedName name="_2173__FDSAUDITLINK__" hidden="1">{"fdsup://directions/FAT Viewer?action=UPDATE&amp;creator=factset&amp;DYN_ARGS=TRUE&amp;DOC_NAME=FAT:FQL_AUDITING_CLIENT_TEMPLATE.FAT&amp;display_string=Audit&amp;VAR:KEY=ABOZEXUJSB&amp;VAR:QUERY=RkZfRUJJVERBKENBTCwyMDA5LCwsLEVVUik=&amp;WINDOW=FIRST_POPUP&amp;HEIGHT=450&amp;WIDTH=450&amp;START_MA","XIMIZED=FALSE&amp;VAR:CALENDAR=FIVEDAY&amp;VAR:SYMBOL=571062&amp;VAR:INDEX=0"}</definedName>
    <definedName name="_2174__FDSAUDITLINK__" hidden="1">{"fdsup://directions/FAT Viewer?action=UPDATE&amp;creator=factset&amp;DYN_ARGS=TRUE&amp;DOC_NAME=FAT:FQL_AUDITING_CLIENT_TEMPLATE.FAT&amp;display_string=Audit&amp;VAR:KEY=IZEPMVUNKN&amp;VAR:QUERY=RkZfRUJJVERBKENBTCwyMDA4LCwsLEVVUik=&amp;WINDOW=FIRST_POPUP&amp;HEIGHT=450&amp;WIDTH=450&amp;START_MA","XIMIZED=FALSE&amp;VAR:CALENDAR=FIVEDAY&amp;VAR:SYMBOL=571062&amp;VAR:INDEX=0"}</definedName>
    <definedName name="_2175__FDSAUDITLINK__" hidden="1">{"fdsup://directions/FAT Viewer?action=UPDATE&amp;creator=factset&amp;DYN_ARGS=TRUE&amp;DOC_NAME=FAT:FQL_AUDITING_CLIENT_TEMPLATE.FAT&amp;display_string=Audit&amp;VAR:KEY=MRUXMXORIZ&amp;VAR:QUERY=RkZfRUJJVERBKENBTCwyMDA3LCwsLEVVUik=&amp;WINDOW=FIRST_POPUP&amp;HEIGHT=450&amp;WIDTH=450&amp;START_MA","XIMIZED=FALSE&amp;VAR:CALENDAR=FIVEDAY&amp;VAR:SYMBOL=571062&amp;VAR:INDEX=0"}</definedName>
    <definedName name="_2176__FDSAUDITLINK__" hidden="1">{"fdsup://Directions/FactSet Auditing Viewer?action=AUDIT_VALUE&amp;DB=129&amp;ID1=571062&amp;VALUEID=01001&amp;SDATE=2009&amp;PERIODTYPE=ANN_STD&amp;window=popup_no_bar&amp;width=385&amp;height=120&amp;START_MAXIMIZED=FALSE&amp;creator=factset&amp;display_string=Audit"}</definedName>
    <definedName name="_2177__FDSAUDITLINK__" hidden="1">{"fdsup://Directions/FactSet Auditing Viewer?action=AUDIT_VALUE&amp;DB=129&amp;ID1=571062&amp;VALUEID=01001&amp;SDATE=2008&amp;PERIODTYPE=ANN_STD&amp;window=popup_no_bar&amp;width=385&amp;height=120&amp;START_MAXIMIZED=FALSE&amp;creator=factset&amp;display_string=Audit"}</definedName>
    <definedName name="_2178__FDSAUDITLINK__" hidden="1">{"fdsup://Directions/FactSet Auditing Viewer?action=AUDIT_VALUE&amp;DB=129&amp;ID1=571062&amp;VALUEID=01001&amp;SDATE=2007&amp;PERIODTYPE=ANN_STD&amp;window=popup_no_bar&amp;width=385&amp;height=120&amp;START_MAXIMIZED=FALSE&amp;creator=factset&amp;display_string=Audit"}</definedName>
    <definedName name="_2179__FDSAUDITLINK__" hidden="1">{"fdsup://directions/FAT Viewer?action=UPDATE&amp;creator=factset&amp;DYN_ARGS=TRUE&amp;DOC_NAME=FAT:FQL_AUDITING_CLIENT_TEMPLATE.FAT&amp;display_string=Audit&amp;VAR:KEY=ARWFITULYD&amp;VAR:QUERY=RkZfREVCVF9MVChNT04sMCwsLCxFVVIp&amp;WINDOW=FIRST_POPUP&amp;HEIGHT=450&amp;WIDTH=450&amp;START_MAXIMI","ZED=FALSE&amp;VAR:CALENDAR=FIVEDAY&amp;VAR:SYMBOL=MTD&amp;VAR:INDEX=0"}</definedName>
    <definedName name="_21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80__FDSAUDITLINK__" hidden="1">{"fdsup://directions/FAT Viewer?action=UPDATE&amp;creator=factset&amp;DYN_ARGS=TRUE&amp;DOC_NAME=FAT:FQL_AUDITING_CLIENT_TEMPLATE.FAT&amp;display_string=Audit&amp;VAR:KEY=CXQRONKDGJ&amp;VAR:QUERY=RkZfREVCVF9MVChNT04sMCwsLCxFVVIp&amp;WINDOW=FIRST_POPUP&amp;HEIGHT=450&amp;WIDTH=450&amp;START_MAXIMI","ZED=FALSE&amp;VAR:CALENDAR=FIVEDAY&amp;VAR:SYMBOL=571062&amp;VAR:INDEX=0"}</definedName>
    <definedName name="_2181__FDSAUDITLINK__" hidden="1">{"fdsup://directions/FAT Viewer?action=UPDATE&amp;creator=factset&amp;DYN_ARGS=TRUE&amp;DOC_NAME=FAT:FQL_AUDITING_CLIENT_TEMPLATE.FAT&amp;display_string=Audit&amp;VAR:KEY=GRSVMRWHSV&amp;VAR:QUERY=RkZfRUJJVChDQUwsMjAwNywsLCxFVVIp&amp;WINDOW=FIRST_POPUP&amp;HEIGHT=450&amp;WIDTH=450&amp;START_MAXIMI","ZED=FALSE&amp;VAR:CALENDAR=FIVEDAY&amp;VAR:SYMBOL=OI&amp;VAR:INDEX=0"}</definedName>
    <definedName name="_2182__FDSAUDITLINK__" hidden="1">{"fdsup://directions/FAT Viewer?action=UPDATE&amp;creator=factset&amp;DYN_ARGS=TRUE&amp;DOC_NAME=FAT:FQL_AUDITING_CLIENT_TEMPLATE.FAT&amp;display_string=Audit&amp;VAR:KEY=MLODSVETER&amp;VAR:QUERY=RkZfRUJJVChDQUwsMjAwOCwsLCxFVVIp&amp;WINDOW=FIRST_POPUP&amp;HEIGHT=450&amp;WIDTH=450&amp;START_MAXIMI","ZED=FALSE&amp;VAR:CALENDAR=FIVEDAY&amp;VAR:SYMBOL=OI&amp;VAR:INDEX=0"}</definedName>
    <definedName name="_2183__FDSAUDITLINK__" hidden="1">{"fdsup://directions/FAT Viewer?action=UPDATE&amp;creator=factset&amp;DYN_ARGS=TRUE&amp;DOC_NAME=FAT:FQL_AUDITING_CLIENT_TEMPLATE.FAT&amp;display_string=Audit&amp;VAR:KEY=SFUPWXINMF&amp;VAR:QUERY=RkZfRUJJVChDQUwsMjAwOSwsLCxFVVIp&amp;WINDOW=FIRST_POPUP&amp;HEIGHT=450&amp;WIDTH=450&amp;START_MAXIMI","ZED=FALSE&amp;VAR:CALENDAR=FIVEDAY&amp;VAR:SYMBOL=OI&amp;VAR:INDEX=0"}</definedName>
    <definedName name="_2184__FDSAUDITLINK__" hidden="1">{"fdsup://Directions/FactSet Auditing Viewer?action=AUDIT_VALUE&amp;DB=129&amp;ID1=69076840&amp;VALUEID=01001&amp;SDATE=2007&amp;PERIODTYPE=ANN_STD&amp;window=popup_no_bar&amp;width=385&amp;height=120&amp;START_MAXIMIZED=FALSE&amp;creator=factset&amp;display_string=Audit"}</definedName>
    <definedName name="_2185__FDSAUDITLINK__" hidden="1">{"fdsup://directions/FAT Viewer?action=UPDATE&amp;creator=factset&amp;DYN_ARGS=TRUE&amp;DOC_NAME=FAT:FQL_AUDITING_CLIENT_TEMPLATE.FAT&amp;display_string=Audit&amp;VAR:KEY=EHANQFGJYX&amp;VAR:QUERY=RkZfQ0FQRVgoQ0FMLDIwMDgsLCwsRVVSKQ==&amp;WINDOW=FIRST_POPUP&amp;HEIGHT=450&amp;WIDTH=450&amp;START_MA","XIMIZED=FALSE&amp;VAR:CALENDAR=FIVEDAY&amp;VAR:SYMBOL=646706&amp;VAR:INDEX=0"}</definedName>
    <definedName name="_2186__FDSAUDITLINK__" hidden="1">{"fdsup://directions/FAT Viewer?action=UPDATE&amp;creator=factset&amp;DYN_ARGS=TRUE&amp;DOC_NAME=FAT:FQL_AUDITING_CLIENT_TEMPLATE.FAT&amp;display_string=Audit&amp;VAR:KEY=MTUBWHYHKT&amp;VAR:QUERY=RkZfTkVUX0RFQlQoQU5OLDAp&amp;WINDOW=FIRST_POPUP&amp;HEIGHT=450&amp;WIDTH=450&amp;START_MAXIMIZED=FALS","E&amp;VAR:CALENDAR=FIVEDAY&amp;VAR:SYMBOL=606660&amp;VAR:INDEX=0"}</definedName>
    <definedName name="_2187__FDSAUDITLINK__" hidden="1">{"fdsup://directions/FAT Viewer?action=UPDATE&amp;creator=factset&amp;DYN_ARGS=TRUE&amp;DOC_NAME=FAT:FQL_AUDITING_CLIENT_TEMPLATE.FAT&amp;display_string=Audit&amp;VAR:KEY=ANMJOBCVAF&amp;VAR:QUERY=RkZfRUJJVChDQUwsMjAwOCwsLCxFVVIp&amp;WINDOW=FIRST_POPUP&amp;HEIGHT=450&amp;WIDTH=450&amp;START_MAXIMI","ZED=FALSE&amp;VAR:CALENDAR=FIVEDAY&amp;VAR:SYMBOL=TMO&amp;VAR:INDEX=0"}</definedName>
    <definedName name="_2188__FDSAUDITLINK__" hidden="1">{"fdsup://directions/FAT Viewer?action=UPDATE&amp;creator=factset&amp;DYN_ARGS=TRUE&amp;DOC_NAME=FAT:FQL_AUDITING_CLIENT_TEMPLATE.FAT&amp;display_string=Audit&amp;VAR:KEY=QBCFYXALYL&amp;VAR:QUERY=RkZfRUJJVERBKENBTCwyMDA3LCwsLEVVUik=&amp;WINDOW=FIRST_POPUP&amp;HEIGHT=450&amp;WIDTH=450&amp;START_MA","XIMIZED=FALSE&amp;VAR:CALENDAR=FIVEDAY&amp;VAR:SYMBOL=07588710&amp;VAR:INDEX=0"}</definedName>
    <definedName name="_2189__FDSAUDITLINK__" hidden="1">{"fdsup://directions/FAT Viewer?action=UPDATE&amp;creator=factset&amp;DYN_ARGS=TRUE&amp;DOC_NAME=FAT:FQL_AUDITING_CLIENT_TEMPLATE.FAT&amp;display_string=Audit&amp;VAR:KEY=ELCXIRUHEV&amp;VAR:QUERY=RkZfREVCVF9MVChNT04sMCwsLCxFVVIp&amp;WINDOW=FIRST_POPUP&amp;HEIGHT=450&amp;WIDTH=450&amp;START_MAXIMI","ZED=FALSE&amp;VAR:CALENDAR=FIVEDAY&amp;VAR:SYMBOL=07588710&amp;VAR:INDEX=0"}</definedName>
    <definedName name="_21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90__FDSAUDITLINK__" hidden="1">{"fdsup://directions/FAT Viewer?action=UPDATE&amp;creator=factset&amp;DYN_ARGS=TRUE&amp;DOC_NAME=FAT:FQL_AUDITING_CLIENT_TEMPLATE.FAT&amp;display_string=Audit&amp;VAR:KEY=GZGTAJGFAX&amp;VAR:QUERY=RkZfQ0FQRVgoQ0FMLDIwMDgsLCwsRVVSKQ==&amp;WINDOW=FIRST_POPUP&amp;HEIGHT=450&amp;WIDTH=450&amp;START_MA","XIMIZED=FALSE&amp;VAR:CALENDAR=FIVEDAY&amp;VAR:SYMBOL=605520&amp;VAR:INDEX=0"}</definedName>
    <definedName name="_2191__FDSAUDITLINK__" hidden="1">{"fdsup://directions/FAT Viewer?action=UPDATE&amp;creator=factset&amp;DYN_ARGS=TRUE&amp;DOC_NAME=FAT:FQL_AUDITING_CLIENT_TEMPLATE.FAT&amp;display_string=Audit&amp;VAR:KEY=ALQBYZUPWP&amp;VAR:QUERY=RkZfRUJJVERBKENBTCwyMDA4LCwsLEVVUik=&amp;WINDOW=FIRST_POPUP&amp;HEIGHT=450&amp;WIDTH=450&amp;START_MA","XIMIZED=FALSE&amp;VAR:CALENDAR=FIVEDAY&amp;VAR:SYMBOL=B1XHN3&amp;VAR:INDEX=0"}</definedName>
    <definedName name="_21ALA642C761" hidden="1">#N/A</definedName>
    <definedName name="_22__123Graph_AC04C_FR_L1" hidden="1">#REF!</definedName>
    <definedName name="_22__123Graph_AC04C_FR_T2" hidden="1">#REF!</definedName>
    <definedName name="_22__123Graph_ACHART_2" hidden="1">#REF!</definedName>
    <definedName name="_22__123Graph_ECHART_4" hidden="1">#REF!</definedName>
    <definedName name="_22__123Graph_LBL_ACHART_3" hidden="1">#REF!</definedName>
    <definedName name="_22__123Graph_LBL_DCHART_1" hidden="1">#REF!</definedName>
    <definedName name="_22__123Graph_LBL_DCHART_2" hidden="1">#REF!</definedName>
    <definedName name="_22__123Graph_XCAPITAL_ALL" hidden="1">#REF!</definedName>
    <definedName name="_22__123Graph_XCHART_8" hidden="1">#REF!</definedName>
    <definedName name="_2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2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ALA642C761" hidden="1">#N/A</definedName>
    <definedName name="_23__123Graph_AC04C_FR_L2" hidden="1">#REF!</definedName>
    <definedName name="_23__123Graph_ACHART_2" hidden="1">#REF!</definedName>
    <definedName name="_23__123Graph_ACHART_3" hidden="1">#REF!</definedName>
    <definedName name="_23__123Graph_ECHART_5" hidden="1">#REF!</definedName>
    <definedName name="_23__123Graph_LBL_AC04C_FF_L" hidden="1">#REF!</definedName>
    <definedName name="_23__123Graph_LBL_DCHART_2" hidden="1">#REF!</definedName>
    <definedName name="_23__123Graph_XCAPITAL_BY_OEM" hidden="1">#REF!</definedName>
    <definedName name="_23__123Graph_XCHART_2" hidden="1">#REF!</definedName>
    <definedName name="_2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3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ALA642C761" hidden="1">#N/A</definedName>
    <definedName name="_24__123Graph_AC04C_FF_T" hidden="1">#REF!</definedName>
    <definedName name="_24__123Graph_AC04C_FR_T1" hidden="1">#REF!</definedName>
    <definedName name="_24__123Graph_BCHART_1" hidden="1">#REF!</definedName>
    <definedName name="_24__123Graph_FCHART_2" hidden="1">#REF!</definedName>
    <definedName name="_24__123Graph_LBL_AC04C_FF_T" hidden="1">#REF!</definedName>
    <definedName name="_24__123Graph_LBL_DCHART_1" hidden="1">#REF!</definedName>
    <definedName name="_24__123Graph_XCHART_2" hidden="1">#REF!</definedName>
    <definedName name="_24__123Graph_XHR_BY_OEM" hidden="1">#REF!</definedName>
    <definedName name="_2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4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ALA642C761" hidden="1">#N/A</definedName>
    <definedName name="_25__123Graph_AC04C_FR_T2" hidden="1">#REF!</definedName>
    <definedName name="_25__123Graph_BCHART_2" hidden="1">#REF!</definedName>
    <definedName name="_25__123Graph_FCHART_3" hidden="1">#REF!</definedName>
    <definedName name="_25__123Graph_LBL_AC04C_FR_L1" hidden="1">#REF!</definedName>
    <definedName name="_25__123Graph_XUNIT_BY_OEM" hidden="1">#REF!</definedName>
    <definedName name="_2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5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ALA642C761" hidden="1">#N/A</definedName>
    <definedName name="_26__123Graph_Aｸﾞﾗﾌ_ጻ" hidden="1">#REF!</definedName>
    <definedName name="_26__123Graph_BCHART_3" hidden="1">#REF!</definedName>
    <definedName name="_26__123Graph_FCHART_4" hidden="1">#REF!</definedName>
    <definedName name="_26__123Graph_LBL_AC04C_FF_L" hidden="1">#REF!</definedName>
    <definedName name="_26__123Graph_LBL_AC04C_FR_L2" hidden="1">#REF!</definedName>
    <definedName name="_26__123Graph_LBL_DCHART_2" hidden="1">#REF!</definedName>
    <definedName name="_2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6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ALA642C761" hidden="1">#N/A</definedName>
    <definedName name="_27__123Graph_Aｸﾞﾗﾌ_1" hidden="1">#REF!</definedName>
    <definedName name="_27__123Graph_DCHART_1" hidden="1">#REF!</definedName>
    <definedName name="_27__123Graph_FCHART_5" hidden="1">#REF!</definedName>
    <definedName name="_27__123Graph_LBL_AC04C_FF_T" hidden="1">#REF!</definedName>
    <definedName name="_27__123Graph_LBL_AC04C_FR_T1" hidden="1">#REF!</definedName>
    <definedName name="_2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7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7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7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7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75__FDSAUDITLINK__" hidden="1">{"fdsup://Directions/FactSet Auditing Viewer?action=AUDIT_VALUE&amp;DB=129&amp;ID1=552902&amp;VALUEID=01001&amp;SDATE=2007&amp;PERIODTYPE=ANN_STD&amp;window=popup_no_bar&amp;width=385&amp;height=120&amp;START_MAXIMIZED=FALSE&amp;creator=factset&amp;display_string=Audit"}</definedName>
    <definedName name="_27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7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7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ALA642C761" hidden="1">#N/A</definedName>
    <definedName name="_27wrn.²Ä1­Ó¤ë1_Ü20¤H." hidden="1">{#N/A,#N/A,FALSE,"²Ä1­Ó¤ë"}</definedName>
    <definedName name="_28__123Graph_AC04C_FR_L1" hidden="1">#REF!</definedName>
    <definedName name="_28__123Graph_ACHART_8" hidden="1">#REF!</definedName>
    <definedName name="_28__123Graph_DCHART_2" hidden="1">#REF!</definedName>
    <definedName name="_28__123Graph_LBL_AC04C_FR_L1" hidden="1">#REF!</definedName>
    <definedName name="_28__123Graph_LBL_AC04C_FR_T2" hidden="1">#REF!</definedName>
    <definedName name="_28__123Graph_XCHART_2" hidden="1">#REF!</definedName>
    <definedName name="_2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8__0_S" hidden="1">#REF!</definedName>
    <definedName name="_28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8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8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8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8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85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28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28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28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28wrn.²Ä1­Ó¤ë1_Ü20¤H." hidden="1">{#N/A,#N/A,FALSE,"²Ä1­Ó¤ë"}</definedName>
    <definedName name="_29__123Graph_LBL_AC04C_FR_L2" hidden="1">#REF!</definedName>
    <definedName name="_29__123Graph_LBL_ACHART_1" hidden="1">#REF!</definedName>
    <definedName name="_29__123Graph_XC04C_ALL_T1" hidden="1">#REF!</definedName>
    <definedName name="_2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9__0_S" hidden="1">#REF!</definedName>
    <definedName name="_29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29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29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29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294__FDSAUDITLINK__" hidden="1">{"fdsup://directions/FAT Viewer?action=UPDATE&amp;creator=factset&amp;DYN_ARGS=TRUE&amp;DOC_NAME=FAT:FQL_AUDITING_CLIENT_TEMPLATE.FAT&amp;display_string=Audit&amp;VAR:KEY=TKZKJQDOVA&amp;VAR:QUERY=RkZfRVBTX0RJTChBTk4sMCwsLFJGKQ==&amp;WINDOW=FIRST_POPUP&amp;HEIGHT=450&amp;WIDTH=450&amp;START_MAXIMI","ZED=FALSE&amp;VAR:CALENDAR=FIVEDAY&amp;VAR:SYMBOL=564156&amp;VAR:INDEX=0"}</definedName>
    <definedName name="_295__FDSAUDITLINK__" hidden="1">{"fdsup://directions/FAT Viewer?action=UPDATE&amp;creator=factset&amp;DYN_ARGS=TRUE&amp;DOC_NAME=FAT:FQL_AUDITING_CLIENT_TEMPLATE.FAT&amp;display_string=Audit&amp;VAR:KEY=XQTIZSXKZG&amp;VAR:QUERY=RkZfRVBTX0RJTChBTk4sLTEsLCxSRik=&amp;WINDOW=FIRST_POPUP&amp;HEIGHT=450&amp;WIDTH=450&amp;START_MAXIMI","ZED=FALSE&amp;VAR:CALENDAR=FIVEDAY&amp;VAR:SYMBOL=564156&amp;VAR:INDEX=0"}</definedName>
    <definedName name="_29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9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9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9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ALA642C761" hidden="1">#N/A</definedName>
    <definedName name="_3__123Graph_A50_HERTZ" hidden="1">#REF!</definedName>
    <definedName name="_3__123Graph_ACHART_2" hidden="1">#REF!</definedName>
    <definedName name="_3__123Graph_ACHART_3" hidden="1">#REF!</definedName>
    <definedName name="_3__123Graph_AChart_3B" hidden="1">#REF!</definedName>
    <definedName name="_3__123Graph_ACHART_4" hidden="1">#REF!</definedName>
    <definedName name="_3__123Graph_BCHART_1" hidden="1">#REF!</definedName>
    <definedName name="_3_0__123Grap" hidden="1">#REF!</definedName>
    <definedName name="_30__123Graph_LBL_AC04C_FR_T1" hidden="1">#REF!</definedName>
    <definedName name="_30__123Graph_LBL_ACHART_2" hidden="1">#REF!</definedName>
    <definedName name="_30__123Graph_XC04C_ALL_T2" hidden="1">#REF!</definedName>
    <definedName name="_3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0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__123Graph_LBL_AC04C_FR_T2" hidden="1">#REF!</definedName>
    <definedName name="_31__123Graph_LBL_ACHART_3" hidden="1">#REF!</definedName>
    <definedName name="_31__123Graph_XC04C_FF_L" hidden="1">#REF!</definedName>
    <definedName name="_3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1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2__123Graph_AC04C_FR_L2" hidden="1">#REF!</definedName>
    <definedName name="_32__123Graph_LBL_DCHART_1" hidden="1">#REF!</definedName>
    <definedName name="_32__123Graph_XC04C_ALL_T1" hidden="1">#REF!</definedName>
    <definedName name="_32__123Graph_XC04C_FF_T" hidden="1">#REF!</definedName>
    <definedName name="_3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2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2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2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2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24__FDSAUDITLINK__" hidden="1">{"fdsup://directions/FAT Viewer?action=UPDATE&amp;creator=factset&amp;DYN_ARGS=TRUE&amp;DOC_NAME=FAT:FQL_AUDITING_CLIENT_TEMPLATE.FAT&amp;display_string=Audit&amp;VAR:KEY=RGTATIHCRA&amp;VAR:QUERY=RkZfRUJJVERBX0lCKEFOTiwyMDA5LCwsUkYsRVVSKQ==&amp;WINDOW=FIRST_POPUP&amp;HEIGHT=450&amp;WIDTH=450&amp;","START_MAXIMIZED=FALSE&amp;VAR:CALENDAR=FIVEDAY&amp;VAR:SYMBOL=710352&amp;VAR:INDEX=0"}</definedName>
    <definedName name="_325__FDSAUDITLINK__" hidden="1">{"fdsup://directions/FAT Viewer?action=UPDATE&amp;creator=factset&amp;DYN_ARGS=TRUE&amp;DOC_NAME=FAT:FQL_AUDITING_CLIENT_TEMPLATE.FAT&amp;display_string=Audit&amp;VAR:KEY=VCJSLOVMZS&amp;VAR:QUERY=RkZfRUJJVERBX0lCKEFOTiwyMDA4LCwsUkYsRVVSKQ==&amp;WINDOW=FIRST_POPUP&amp;HEIGHT=450&amp;WIDTH=450&amp;","START_MAXIMIZED=FALSE&amp;VAR:CALENDAR=FIVEDAY&amp;VAR:SYMBOL=710352&amp;VAR:INDEX=0"}</definedName>
    <definedName name="_326__FDSAUDITLINK__" hidden="1">{"fdsup://directions/FAT Viewer?action=UPDATE&amp;creator=factset&amp;DYN_ARGS=TRUE&amp;DOC_NAME=FAT:FQL_AUDITING_CLIENT_TEMPLATE.FAT&amp;display_string=Audit&amp;VAR:KEY=NSVCTETUDA&amp;VAR:QUERY=RkZfRUJJVERBX0lCKEFOTiwyMDA3LCwsUkYsRVVSKQ==&amp;WINDOW=FIRST_POPUP&amp;HEIGHT=450&amp;WIDTH=450&amp;","START_MAXIMIZED=FALSE&amp;VAR:CALENDAR=FIVEDAY&amp;VAR:SYMBOL=710352&amp;VAR:INDEX=0"}</definedName>
    <definedName name="_327__FDSAUDITLINK__" hidden="1">{"fdsup://directions/FAT Viewer?action=UPDATE&amp;creator=factset&amp;DYN_ARGS=TRUE&amp;DOC_NAME=FAT:FQL_AUDITING_CLIENT_TEMPLATE.FAT&amp;display_string=Audit&amp;VAR:KEY=FKRCBODIFW&amp;VAR:QUERY=RkZfRUJJVERBX0lCKEFOTiwyMDA5LCwsUkYsRVVSKQ==&amp;WINDOW=FIRST_POPUP&amp;HEIGHT=450&amp;WIDTH=450&amp;","START_MAXIMIZED=FALSE&amp;VAR:CALENDAR=FIVEDAY&amp;VAR:SYMBOL=471279&amp;VAR:INDEX=0"}</definedName>
    <definedName name="_328__FDSAUDITLINK__" hidden="1">{"fdsup://directions/FAT Viewer?action=UPDATE&amp;creator=factset&amp;DYN_ARGS=TRUE&amp;DOC_NAME=FAT:FQL_AUDITING_CLIENT_TEMPLATE.FAT&amp;display_string=Audit&amp;VAR:KEY=FEJALWXQLW&amp;VAR:QUERY=RkZfRUJJVERBX0lCKEFOTiwyMDA4LCwsUkYsRVVSKQ==&amp;WINDOW=FIRST_POPUP&amp;HEIGHT=450&amp;WIDTH=450&amp;","START_MAXIMIZED=FALSE&amp;VAR:CALENDAR=FIVEDAY&amp;VAR:SYMBOL=471279&amp;VAR:INDEX=0"}</definedName>
    <definedName name="_329__FDSAUDITLINK__" hidden="1">{"fdsup://Directions/FactSet Auditing Viewer?action=AUDIT_VALUE&amp;DB=129&amp;ID1=710352&amp;VALUEID=01001&amp;SDATE=2008&amp;PERIODTYPE=ANN_STD&amp;window=popup_no_bar&amp;width=385&amp;height=120&amp;START_MAXIMIZED=FALSE&amp;creator=factset&amp;display_string=Audit"}</definedName>
    <definedName name="_33__123Graph_LBL_DCHART_2" hidden="1">#REF!</definedName>
    <definedName name="_33__123Graph_XC04C_ALL_T2" hidden="1">#REF!</definedName>
    <definedName name="_33__123Graph_XC04C_FR_L1" hidden="1">#REF!</definedName>
    <definedName name="_3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30__FDSAUDITLINK__" hidden="1">{"fdsup://Directions/FactSet Auditing Viewer?action=AUDIT_VALUE&amp;DB=129&amp;ID1=710352&amp;VALUEID=01001&amp;SDATE=2007&amp;PERIODTYPE=ANN_STD&amp;window=popup_no_bar&amp;width=385&amp;height=120&amp;START_MAXIMIZED=FALSE&amp;creator=factset&amp;display_string=Audit"}</definedName>
    <definedName name="_331__FDSAUDITLINK__" hidden="1">{"fdsup://Directions/FactSet Auditing Viewer?action=AUDIT_VALUE&amp;DB=129&amp;ID1=549710&amp;VALUEID=01001&amp;SDATE=2008&amp;PERIODTYPE=ANN_STD&amp;window=popup_no_bar&amp;width=385&amp;height=120&amp;START_MAXIMIZED=FALSE&amp;creator=factset&amp;display_string=Audit"}</definedName>
    <definedName name="_332__FDSAUDITLINK__" hidden="1">{"fdsup://Directions/FactSet Auditing Viewer?action=AUDIT_VALUE&amp;DB=129&amp;ID1=34537086&amp;VALUEID=01001&amp;SDATE=2008&amp;PERIODTYPE=ANN_STD&amp;window=popup_no_bar&amp;width=385&amp;height=120&amp;START_MAXIMIZED=FALSE&amp;creator=factset&amp;display_string=Audit"}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Viewer?action=AUDIT_VALUE&amp;DB=129&amp;ID1=575602&amp;VALUEID=01001&amp;SDATE=2008&amp;PERIODTYPE=ANN_STD&amp;window=popup_no_bar&amp;width=385&amp;height=120&amp;START_MAXIMIZED=FALSE&amp;creator=factset&amp;display_string=Audit"}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335__FDSAUDITLINK__" hidden="1">{"fdsup://Directions/FactSet Auditing Viewer?action=AUDIT_VALUE&amp;DB=129&amp;ID1=710352&amp;VALUEID=18352&amp;SDATE=2009&amp;PERIODTYPE=ANN_STD&amp;window=popup_no_bar&amp;width=385&amp;height=120&amp;START_MAXIMIZED=FALSE&amp;creator=factset&amp;display_string=Audit"}</definedName>
    <definedName name="_336__FDSAUDITLINK__" hidden="1">{"fdsup://Directions/FactSet Auditing Viewer?action=AUDIT_VALUE&amp;DB=129&amp;ID1=710352&amp;VALUEID=18352&amp;SDATE=2008&amp;PERIODTYPE=ANN_STD&amp;window=popup_no_bar&amp;width=385&amp;height=120&amp;START_MAXIMIZED=FALSE&amp;creator=factset&amp;display_string=Audit"}</definedName>
    <definedName name="_337__FDSAUDITLINK__" hidden="1">{"fdsup://Directions/FactSet Auditing Viewer?action=AUDIT_VALUE&amp;DB=129&amp;ID1=710352&amp;VALUEID=18352&amp;SDATE=2007&amp;PERIODTYPE=ANN_STD&amp;window=popup_no_bar&amp;width=385&amp;height=120&amp;START_MAXIMIZED=FALSE&amp;creator=factset&amp;display_string=Audit"}</definedName>
    <definedName name="_338__FDSAUDITLINK__" hidden="1">{"fdsup://Directions/FactSet Auditing Viewer?action=AUDIT_VALUE&amp;DB=129&amp;ID1=471279&amp;VALUEID=18352&amp;SDATE=2009&amp;PERIODTYPE=ANN_STD&amp;window=popup_no_bar&amp;width=385&amp;height=120&amp;START_MAXIMIZED=FALSE&amp;creator=factset&amp;display_string=Audit"}</definedName>
    <definedName name="_339__FDSAUDITLINK__" hidden="1">{"fdsup://Directions/FactSet Auditing Viewer?action=AUDIT_VALUE&amp;DB=129&amp;ID1=471279&amp;VALUEID=18352&amp;SDATE=2007&amp;PERIODTYPE=ANN_STD&amp;window=popup_no_bar&amp;width=385&amp;height=120&amp;START_MAXIMIZED=FALSE&amp;creator=factset&amp;display_string=Audit"}</definedName>
    <definedName name="_34__123Graph_XC04C_FF_L" hidden="1">#REF!</definedName>
    <definedName name="_34__123Graph_XC04C_FR_L2" hidden="1">#REF!</definedName>
    <definedName name="_34__123Graph_XCHART_2" hidden="1">#REF!</definedName>
    <definedName name="_3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40__FDSAUDITLINK__" hidden="1">{"fdsup://Directions/FactSet Auditing Viewer?action=AUDIT_VALUE&amp;DB=129&amp;ID1=549710&amp;VALUEID=18352&amp;SDATE=2009&amp;PERIODTYPE=ANN_STD&amp;window=popup_no_bar&amp;width=385&amp;height=120&amp;START_MAXIMIZED=FALSE&amp;creator=factset&amp;display_string=Audit"}</definedName>
    <definedName name="_341__FDSAUDITLINK__" hidden="1">{"fdsup://Directions/FactSet Auditing Viewer?action=AUDIT_VALUE&amp;DB=129&amp;ID1=549710&amp;VALUEID=18352&amp;SDATE=2008&amp;PERIODTYPE=ANN_STD&amp;window=popup_no_bar&amp;width=385&amp;height=120&amp;START_MAXIMIZED=FALSE&amp;creator=factset&amp;display_string=Audit"}</definedName>
    <definedName name="_342__FDSAUDITLINK__" hidden="1">{"fdsup://Directions/FactSet Auditing Viewer?action=AUDIT_VALUE&amp;DB=129&amp;ID1=549710&amp;VALUEID=18352&amp;SDATE=2007&amp;PERIODTYPE=ANN_STD&amp;window=popup_no_bar&amp;width=385&amp;height=120&amp;START_MAXIMIZED=FALSE&amp;creator=factset&amp;display_string=Audit"}</definedName>
    <definedName name="_343__FDSAUDITLINK__" hidden="1">{"fdsup://Directions/FactSet Auditing Viewer?action=AUDIT_VALUE&amp;DB=129&amp;ID1=574852&amp;VALUEID=18352&amp;SDATE=2009&amp;PERIODTYPE=ANN_STD&amp;window=popup_no_bar&amp;width=385&amp;height=120&amp;START_MAXIMIZED=FALSE&amp;creator=factset&amp;display_string=Audit"}</definedName>
    <definedName name="_344__FDSAUDITLINK__" hidden="1">{"fdsup://Directions/FactSet Auditing Viewer?action=AUDIT_VALUE&amp;DB=129&amp;ID1=574852&amp;VALUEID=18352&amp;SDATE=2007&amp;PERIODTYPE=ANN_STD&amp;window=popup_no_bar&amp;width=385&amp;height=120&amp;START_MAXIMIZED=FALSE&amp;creator=factset&amp;display_string=Audit"}</definedName>
    <definedName name="_345__FDSAUDITLINK__" hidden="1">{"fdsup://Directions/FactSet Auditing Viewer?action=AUDIT_VALUE&amp;DB=129&amp;ID1=34537086&amp;VALUEID=18352&amp;SDATE=2009&amp;PERIODTYPE=ANN_STD&amp;window=popup_no_bar&amp;width=385&amp;height=120&amp;START_MAXIMIZED=FALSE&amp;creator=factset&amp;display_string=Audit"}</definedName>
    <definedName name="_346__FDSAUDITLINK__" hidden="1">{"fdsup://Directions/FactSet Auditing Viewer?action=AUDIT_VALUE&amp;DB=129&amp;ID1=34537086&amp;VALUEID=18352&amp;SDATE=2008&amp;PERIODTYPE=ANN_STD&amp;window=popup_no_bar&amp;width=385&amp;height=120&amp;START_MAXIMIZED=FALSE&amp;creator=factset&amp;display_string=Audit"}</definedName>
    <definedName name="_347__FDSAUDITLINK__" hidden="1">{"fdsup://Directions/FactSet Auditing Viewer?action=AUDIT_VALUE&amp;DB=129&amp;ID1=34537086&amp;VALUEID=18352&amp;SDATE=2007&amp;PERIODTYPE=ANN_STD&amp;window=popup_no_bar&amp;width=385&amp;height=120&amp;START_MAXIMIZED=FALSE&amp;creator=factset&amp;display_string=Audit"}</definedName>
    <definedName name="_348__FDSAUDITLINK__" hidden="1">{"fdsup://Directions/FactSet Auditing Viewer?action=AUDIT_VALUE&amp;DB=129&amp;ID1=575602&amp;VALUEID=18352&amp;SDATE=2009&amp;PERIODTYPE=ANN_STD&amp;window=popup_no_bar&amp;width=385&amp;height=120&amp;START_MAXIMIZED=FALSE&amp;creator=factset&amp;display_string=Audit"}</definedName>
    <definedName name="_349__FDSAUDITLINK__" hidden="1">{"fdsup://Directions/FactSet Auditing Viewer?action=AUDIT_VALUE&amp;DB=129&amp;ID1=575602&amp;VALUEID=18352&amp;SDATE=2008&amp;PERIODTYPE=ANN_STD&amp;window=popup_no_bar&amp;width=385&amp;height=120&amp;START_MAXIMIZED=FALSE&amp;creator=factset&amp;display_string=Audit"}</definedName>
    <definedName name="_35__123Graph_BCHART_1" hidden="1">#REF!</definedName>
    <definedName name="_35__123Graph_XC04C_FF_T" hidden="1">#REF!</definedName>
    <definedName name="_35__123Graph_XC04C_FR_T1" hidden="1">#REF!</definedName>
    <definedName name="_3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50__FDSAUDITLINK__" hidden="1">{"fdsup://Directions/FactSet Auditing Viewer?action=AUDIT_VALUE&amp;DB=129&amp;ID1=575602&amp;VALUEID=18352&amp;SDATE=2007&amp;PERIODTYPE=ANN_STD&amp;window=popup_no_bar&amp;width=385&amp;height=120&amp;START_MAXIMIZED=FALSE&amp;creator=factset&amp;display_string=Audit"}</definedName>
    <definedName name="_351__FDSAUDITLINK__" hidden="1">{"fdsup://Directions/FactSet Auditing Viewer?action=AUDIT_VALUE&amp;DB=129&amp;ID1=710352&amp;VALUEID=18813&amp;SDATE=2009&amp;PERIODTYPE=ANN_STD&amp;window=popup_no_bar&amp;width=385&amp;height=120&amp;START_MAXIMIZED=FALSE&amp;creator=factset&amp;display_string=Audit"}</definedName>
    <definedName name="_352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353__FDSAUDITLINK__" hidden="1">{"fdsup://Directions/FactSet Auditing Viewer?action=AUDIT_VALUE&amp;DB=129&amp;ID1=710352&amp;VALUEID=18813&amp;SDATE=2008&amp;PERIODTYPE=ANN_STD&amp;window=popup_no_bar&amp;width=385&amp;height=120&amp;START_MAXIMIZED=FALSE&amp;creator=factset&amp;display_string=Audit"}</definedName>
    <definedName name="_354__FDSAUDITLINK__" hidden="1">{"fdsup://Directions/FactSet Auditing Viewer?action=AUDIT_VALUE&amp;DB=129&amp;ID1=549710&amp;VALUEID=18813&amp;SDATE=2009&amp;PERIODTYPE=ANN_STD&amp;window=popup_no_bar&amp;width=385&amp;height=120&amp;START_MAXIMIZED=FALSE&amp;creator=factset&amp;display_string=Audit"}</definedName>
    <definedName name="_355__FDSAUDITLINK__" hidden="1">{"fdsup://Directions/FactSet Auditing Viewer?action=AUDIT_VALUE&amp;DB=129&amp;ID1=549710&amp;VALUEID=18813&amp;SDATE=2008&amp;PERIODTYPE=ANN_STD&amp;window=popup_no_bar&amp;width=385&amp;height=120&amp;START_MAXIMIZED=FALSE&amp;creator=factset&amp;display_string=Audit"}</definedName>
    <definedName name="_356__FDSAUDITLINK__" hidden="1">{"fdsup://Directions/FactSet Auditing Viewer?action=AUDIT_VALUE&amp;DB=129&amp;ID1=549710&amp;VALUEID=18813&amp;SDATE=2007&amp;PERIODTYPE=ANN_STD&amp;window=popup_no_bar&amp;width=385&amp;height=120&amp;START_MAXIMIZED=FALSE&amp;creator=factset&amp;display_string=Audit"}</definedName>
    <definedName name="_357__FDSAUDITLINK__" hidden="1">{"fdsup://Directions/FactSet Auditing Viewer?action=AUDIT_VALUE&amp;DB=129&amp;ID1=574852&amp;VALUEID=18813&amp;SDATE=2009&amp;PERIODTYPE=ANN_STD&amp;window=popup_no_bar&amp;width=385&amp;height=120&amp;START_MAXIMIZED=FALSE&amp;creator=factset&amp;display_string=Audit"}</definedName>
    <definedName name="_358__FDSAUDITLINK__" hidden="1">{"fdsup://Directions/FactSet Auditing Viewer?action=AUDIT_VALUE&amp;DB=129&amp;ID1=574852&amp;VALUEID=18813&amp;SDATE=2007&amp;PERIODTYPE=ANN_STD&amp;window=popup_no_bar&amp;width=385&amp;height=120&amp;START_MAXIMIZED=FALSE&amp;creator=factset&amp;display_string=Audit"}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Viewer?action=AUDIT_VALUE&amp;DB=129&amp;ID1=34537086&amp;VALUEID=18813&amp;SDATE=2009&amp;PERIODTYPE=ANN_STD&amp;window=popup_no_bar&amp;width=385&amp;height=120&amp;START_MAXIMIZED=FALSE&amp;creator=factset&amp;display_string=Audit"}</definedName>
    <definedName name="_36__123Graph_AC04C_FR_T1" hidden="1">#REF!</definedName>
    <definedName name="_36__123Graph_XC04C_FR_L1" hidden="1">#REF!</definedName>
    <definedName name="_36__123Graph_XC04C_FR_T2" hidden="1">#REF!</definedName>
    <definedName name="_3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6_0__123Grap" hidden="1">#REF!</definedName>
    <definedName name="_360__FDSAUDITLINK__" hidden="1">{"fdsup://Directions/FactSet Auditing Viewer?action=AUDIT_VALUE&amp;DB=129&amp;ID1=34537086&amp;VALUEID=18813&amp;SDATE=2008&amp;PERIODTYPE=ANN_STD&amp;window=popup_no_bar&amp;width=385&amp;height=120&amp;START_MAXIMIZED=FALSE&amp;creator=factset&amp;display_string=Audit"}</definedName>
    <definedName name="_361__FDSAUDITLINK__" hidden="1">{"fdsup://Directions/FactSet Auditing Viewer?action=AUDIT_VALUE&amp;DB=129&amp;ID1=34537086&amp;VALUEID=18813&amp;SDATE=2007&amp;PERIODTYPE=ANN_STD&amp;window=popup_no_bar&amp;width=385&amp;height=120&amp;START_MAXIMIZED=FALSE&amp;creator=factset&amp;display_string=Audit"}</definedName>
    <definedName name="_362__FDSAUDITLINK__" hidden="1">{"fdsup://Directions/FactSet Auditing Viewer?action=AUDIT_VALUE&amp;DB=129&amp;ID1=552902&amp;VALUEID=18813&amp;SDATE=2009&amp;PERIODTYPE=ANN_STD&amp;window=popup_no_bar&amp;width=385&amp;height=120&amp;START_MAXIMIZED=FALSE&amp;creator=factset&amp;display_string=Audit"}</definedName>
    <definedName name="_363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364__FDSAUDITLINK__" hidden="1">{"fdsup://Directions/FactSet Auditing Viewer?action=AUDIT_VALUE&amp;DB=129&amp;ID1=471279&amp;VALUEID=18140&amp;SDATE=2007&amp;PERIODTYPE=ANN_STD&amp;window=popup_no_bar&amp;width=385&amp;height=120&amp;START_MAXIMIZED=FALSE&amp;creator=factset&amp;display_string=Audit"}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Viewer?action=AUDIT_VALUE&amp;DB=129&amp;ID1=549710&amp;VALUEID=18140&amp;SDATE=2009&amp;PERIODTYPE=ANN_STD&amp;window=popup_no_bar&amp;width=385&amp;height=120&amp;START_MAXIMIZED=FALSE&amp;creator=factset&amp;display_string=Audit"}</definedName>
    <definedName name="_366__FDSAUDITLINK__" hidden="1">{"fdsup://Directions/FactSet Auditing Viewer?action=AUDIT_VALUE&amp;DB=129&amp;ID1=549710&amp;VALUEID=18140&amp;SDATE=2008&amp;PERIODTYPE=ANN_STD&amp;window=popup_no_bar&amp;width=385&amp;height=120&amp;START_MAXIMIZED=FALSE&amp;creator=factset&amp;display_string=Audit"}</definedName>
    <definedName name="_367__FDSAUDITLINK__" hidden="1">{"fdsup://Directions/FactSet Auditing Viewer?action=AUDIT_VALUE&amp;DB=129&amp;ID1=549710&amp;VALUEID=18140&amp;SDATE=2007&amp;PERIODTYPE=ANN_STD&amp;window=popup_no_bar&amp;width=385&amp;height=120&amp;START_MAXIMIZED=FALSE&amp;creator=factset&amp;display_string=Audit"}</definedName>
    <definedName name="_368__FDSAUDITLINK__" hidden="1">{"fdsup://Directions/FactSet Auditing Viewer?action=AUDIT_VALUE&amp;DB=129&amp;ID1=574852&amp;VALUEID=18140&amp;SDATE=2009&amp;PERIODTYPE=ANN_STD&amp;window=popup_no_bar&amp;width=385&amp;height=120&amp;START_MAXIMIZED=FALSE&amp;creator=factset&amp;display_string=Audit"}</definedName>
    <definedName name="_369__FDSAUDITLINK__" hidden="1">{"fdsup://Directions/FactSet Auditing Viewer?action=AUDIT_VALUE&amp;DB=129&amp;ID1=574852&amp;VALUEID=18140&amp;SDATE=2007&amp;PERIODTYPE=ANN_STD&amp;window=popup_no_bar&amp;width=385&amp;height=120&amp;START_MAXIMIZED=FALSE&amp;creator=factset&amp;display_string=Audit"}</definedName>
    <definedName name="_37__123Graph_XC04C_FR_L2" hidden="1">#REF!</definedName>
    <definedName name="_3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70__FDSAUDITLINK__" hidden="1">{"fdsup://Directions/FactSet Auditing Viewer?action=AUDIT_VALUE&amp;DB=129&amp;ID1=34537086&amp;VALUEID=18140&amp;SDATE=2009&amp;PERIODTYPE=ANN_STD&amp;window=popup_no_bar&amp;width=385&amp;height=120&amp;START_MAXIMIZED=FALSE&amp;creator=factset&amp;display_string=Audit"}</definedName>
    <definedName name="_371__FDSAUDITLINK__" hidden="1">{"fdsup://Directions/FactSet Auditing Viewer?action=AUDIT_VALUE&amp;DB=129&amp;ID1=34537086&amp;VALUEID=18140&amp;SDATE=2008&amp;PERIODTYPE=ANN_STD&amp;window=popup_no_bar&amp;width=385&amp;height=120&amp;START_MAXIMIZED=FALSE&amp;creator=factset&amp;display_string=Audit"}</definedName>
    <definedName name="_372__FDSAUDITLINK__" hidden="1">{"fdsup://Directions/FactSet Auditing Viewer?action=AUDIT_VALUE&amp;DB=129&amp;ID1=34537086&amp;VALUEID=18140&amp;SDATE=2007&amp;PERIODTYPE=ANN_STD&amp;window=popup_no_bar&amp;width=385&amp;height=120&amp;START_MAXIMIZED=FALSE&amp;creator=factset&amp;display_string=Audit"}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Viewer?action=AUDIT_VALUE&amp;DB=129&amp;ID1=575602&amp;VALUEID=18140&amp;SDATE=2007&amp;PERIODTYPE=ANN_STD&amp;window=popup_no_bar&amp;width=385&amp;height=120&amp;START_MAXIMIZED=FALSE&amp;creator=factset&amp;display_string=Audit"}</definedName>
    <definedName name="_374__FDSAUDITLINK__" hidden="1">{"fdsup://Directions/FactSet Auditing Viewer?action=AUDIT_VALUE&amp;DB=129&amp;ID1=552902&amp;VALUEID=18140&amp;SDATE=2009&amp;PERIODTYPE=ANN_STD&amp;window=popup_no_bar&amp;width=385&amp;height=120&amp;START_MAXIMIZED=FALSE&amp;creator=factset&amp;display_string=Audit"}</definedName>
    <definedName name="_375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376__FDSAUDITLINK__" hidden="1">{"fdsup://directions/FAT Viewer?action=UPDATE&amp;creator=factset&amp;DYN_ARGS=TRUE&amp;DOC_NAME=FAT:FQL_AUDITING_CLIENT_TEMPLATE.FAT&amp;display_string=Audit&amp;VAR:KEY=IRCLOZKZCH&amp;VAR:QUERY=RkZfRU5UUlBSX1ZBTF9EQUlMWSgwLCwsLCwnRElMJyk=&amp;WINDOW=FIRST_POPUP&amp;HEIGHT=450&amp;WIDTH=450&amp;","START_MAXIMIZED=FALSE&amp;VAR:CALENDAR=US&amp;VAR:SYMBOL=710352&amp;VAR:INDEX=0"}</definedName>
    <definedName name="_377__FDSAUDITLINK__" hidden="1">{"fdsup://directions/FAT Viewer?action=UPDATE&amp;creator=factset&amp;DYN_ARGS=TRUE&amp;DOC_NAME=FAT:FQL_AUDITING_CLIENT_TEMPLATE.FAT&amp;display_string=Audit&amp;VAR:KEY=UPYVONUTKJ&amp;VAR:QUERY=RkZfRU5UUlBSX1ZBTF9EQUlMWSgwLCwsLCwnRElMJyk=&amp;WINDOW=FIRST_POPUP&amp;HEIGHT=450&amp;WIDTH=450&amp;","START_MAXIMIZED=FALSE&amp;VAR:CALENDAR=US&amp;VAR:SYMBOL=471279&amp;VAR:INDEX=0"}</definedName>
    <definedName name="_378__FDSAUDITLINK__" hidden="1">{"fdsup://directions/FAT Viewer?action=UPDATE&amp;creator=factset&amp;DYN_ARGS=TRUE&amp;DOC_NAME=FAT:FQL_AUDITING_CLIENT_TEMPLATE.FAT&amp;display_string=Audit&amp;VAR:KEY=OLKFUDSDCP&amp;VAR:QUERY=RkZfRU5UUlBSX1ZBTF9EQUlMWSgwLCwsLCwnRElMJyk=&amp;WINDOW=FIRST_POPUP&amp;HEIGHT=450&amp;WIDTH=450&amp;","START_MAXIMIZED=FALSE&amp;VAR:CALENDAR=US&amp;VAR:SYMBOL=549710&amp;VAR:INDEX=0"}</definedName>
    <definedName name="_379__FDSAUDITLINK__" hidden="1">{"fdsup://directions/FAT Viewer?action=UPDATE&amp;creator=factset&amp;DYN_ARGS=TRUE&amp;DOC_NAME=FAT:FQL_AUDITING_CLIENT_TEMPLATE.FAT&amp;display_string=Audit&amp;VAR:KEY=ARWJQDQDIH&amp;VAR:QUERY=RkZfRU5UUlBSX1ZBTF9EQUlMWSgwLCwsLCwnRElMJyk=&amp;WINDOW=FIRST_POPUP&amp;HEIGHT=450&amp;WIDTH=450&amp;","START_MAXIMIZED=FALSE&amp;VAR:CALENDAR=US&amp;VAR:SYMBOL=574852&amp;VAR:INDEX=0"}</definedName>
    <definedName name="_38__123Graph_XC04C_FR_T1" hidden="1">#REF!</definedName>
    <definedName name="_3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80__FDSAUDITLINK__" hidden="1">{"fdsup://directions/FAT Viewer?action=UPDATE&amp;creator=factset&amp;DYN_ARGS=TRUE&amp;DOC_NAME=FAT:FQL_AUDITING_CLIENT_TEMPLATE.FAT&amp;display_string=Audit&amp;VAR:KEY=CLIFCJUPKV&amp;VAR:QUERY=RkZfRU5UUlBSX1ZBTF9EQUlMWSgwLCwsLCwnRElMJyk=&amp;WINDOW=FIRST_POPUP&amp;HEIGHT=450&amp;WIDTH=450&amp;","START_MAXIMIZED=FALSE&amp;VAR:CALENDAR=US&amp;VAR:SYMBOL=34537086&amp;VAR:INDEX=0"}</definedName>
    <definedName name="_381__FDSAUDITLINK__" hidden="1">{"fdsup://directions/FAT Viewer?action=UPDATE&amp;creator=factset&amp;DYN_ARGS=TRUE&amp;DOC_NAME=FAT:FQL_AUDITING_CLIENT_TEMPLATE.FAT&amp;display_string=Audit&amp;VAR:KEY=CBSNUFKZIH&amp;VAR:QUERY=RkZfRU5UUlBSX1ZBTF9EQUlMWSgwLCwsLCwnRElMJyk=&amp;WINDOW=FIRST_POPUP&amp;HEIGHT=450&amp;WIDTH=450&amp;","START_MAXIMIZED=FALSE&amp;VAR:CALENDAR=US&amp;VAR:SYMBOL=575602&amp;VAR:INDEX=0"}</definedName>
    <definedName name="_382__FDSAUDITLINK__" hidden="1">{"fdsup://directions/FAT Viewer?action=UPDATE&amp;creator=factset&amp;DYN_ARGS=TRUE&amp;DOC_NAME=FAT:FQL_AUDITING_CLIENT_TEMPLATE.FAT&amp;display_string=Audit&amp;VAR:KEY=SJGFWHORAL&amp;VAR:QUERY=RkZfRU5UUlBSX1ZBTF9EQUlMWSgwLCwsLCwnRElMJyk=&amp;WINDOW=FIRST_POPUP&amp;HEIGHT=450&amp;WIDTH=450&amp;","START_MAXIMIZED=FALSE&amp;VAR:CALENDAR=US&amp;VAR:SYMBOL=552902&amp;VAR:INDEX=0"}</definedName>
    <definedName name="_383__FDSAUDITLINK__" hidden="1">{"fdsup://directions/FAT Viewer?action=UPDATE&amp;creator=factset&amp;DYN_ARGS=TRUE&amp;DOC_NAME=FAT:FQL_AUDITING_CLIENT_TEMPLATE.FAT&amp;display_string=Audit&amp;VAR:KEY=JKXKXARYZY&amp;VAR:QUERY=RkZfRUJJVF9PUEVSKEFOTiwtMSwsLFJGKQ==&amp;WINDOW=FIRST_POPUP&amp;HEIGHT=450&amp;WIDTH=450&amp;START_MA","XIMIZED=FALSE&amp;VAR:CALENDAR=FIVEDAY&amp;VAR:SYMBOL=93114210&amp;VAR:INDEX=0"}</definedName>
    <definedName name="_384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386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387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388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389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39__123Graph_XC04C_FR_T2" hidden="1">#REF!</definedName>
    <definedName name="_3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90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391__FDSAUDITLINK__" hidden="1">{"fdsup://Directions/FactSet Auditing Viewer?action=AUDIT_VALUE&amp;DB=129&amp;ID1=710352&amp;VALUEID=01001&amp;SDATE=2008&amp;PERIODTYPE=ANN_STD&amp;window=popup_no_bar&amp;width=385&amp;height=120&amp;START_MAXIMIZED=FALSE&amp;creator=factset&amp;display_string=Audit"}</definedName>
    <definedName name="_392__FDSAUDITLINK__" hidden="1">{"fdsup://Directions/FactSet Auditing Viewer?action=AUDIT_VALUE&amp;DB=129&amp;ID1=710352&amp;VALUEID=01001&amp;SDATE=2007&amp;PERIODTYPE=ANN_STD&amp;window=popup_no_bar&amp;width=385&amp;height=120&amp;START_MAXIMIZED=FALSE&amp;creator=factset&amp;display_string=Audit"}</definedName>
    <definedName name="_393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394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395__FDSAUDITLINK__" hidden="1">{"fdsup://Directions/FactSet Auditing Viewer?action=AUDIT_VALUE&amp;DB=129&amp;ID1=549710&amp;VALUEID=01001&amp;SDATE=2008&amp;PERIODTYPE=ANN_STD&amp;window=popup_no_bar&amp;width=385&amp;height=120&amp;START_MAXIMIZED=FALSE&amp;creator=factset&amp;display_string=Audit"}</definedName>
    <definedName name="_396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Viewer?action=AUDIT_VALUE&amp;DB=129&amp;ID1=574852&amp;VALUEID=01001&amp;SDATE=2009&amp;PERIODTYPE=ANN_STD&amp;window=popup_no_bar&amp;width=385&amp;height=120&amp;START_MAXIMIZED=FALSE&amp;creator=factset&amp;display_string=Audit"}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Viewer?action=AUDIT_VALUE&amp;DB=129&amp;ID1=34537086&amp;VALUEID=01001&amp;SDATE=2009&amp;PERIODTYPE=ANN_STD&amp;window=popup_no_bar&amp;width=385&amp;height=120&amp;START_MAXIMIZED=FALSE&amp;creator=factset&amp;display_string=Audit"}</definedName>
    <definedName name="_3ALA642C761" hidden="1">#N/A</definedName>
    <definedName name="_4__123Graph_AC04C_ALL_L1" hidden="1">#REF!</definedName>
    <definedName name="_4__123Graph_ACAPITAL_ALL" hidden="1">#REF!</definedName>
    <definedName name="_4__123Graph_ACHART_2" hidden="1">#REF!</definedName>
    <definedName name="_4__123Graph_ACHART_4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2" hidden="1">#REF!</definedName>
    <definedName name="_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4_0_0_K" hidden="1">#REF!</definedName>
    <definedName name="_4_123Grap" hidden="1">#REF!</definedName>
    <definedName name="_4__0_S" hidden="1">#REF!</definedName>
    <definedName name="_40__123Graph_AC04C_FR_T2" hidden="1">#REF!</definedName>
    <definedName name="_4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00__FDSAUDITLINK__" hidden="1">{"fdsup://Directions/FactSet Auditing Viewer?action=AUDIT_VALUE&amp;DB=129&amp;ID1=34537086&amp;VALUEID=01001&amp;SDATE=2008&amp;PERIODTYPE=ANN_STD&amp;window=popup_no_bar&amp;width=385&amp;height=120&amp;START_MAXIMIZED=FALSE&amp;creator=factset&amp;display_string=Audit"}</definedName>
    <definedName name="_401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402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403__FDSAUDITLINK__" hidden="1">{"fdsup://Directions/FactSet Auditing Viewer?action=AUDIT_VALUE&amp;DB=129&amp;ID1=575602&amp;VALUEID=01001&amp;SDATE=2008&amp;PERIODTYPE=ANN_STD&amp;window=popup_no_bar&amp;width=385&amp;height=120&amp;START_MAXIMIZED=FALSE&amp;creator=factset&amp;display_string=Audit"}</definedName>
    <definedName name="_404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405__FDSAUDITLINK__" hidden="1">{"fdsup://Directions/FactSet Auditing Viewer?action=AUDIT_VALUE&amp;DB=129&amp;ID1=552902&amp;VALUEID=01001&amp;SDATE=2009&amp;PERIODTYPE=ANN_STD&amp;window=popup_no_bar&amp;width=385&amp;height=120&amp;START_MAXIMIZED=FALSE&amp;creator=factset&amp;display_string=Audit"}</definedName>
    <definedName name="_406__FDSAUDITLINK__" hidden="1">{"fdsup://Directions/FactSet Auditing Viewer?action=AUDIT_VALUE&amp;DB=129&amp;ID1=552902&amp;VALUEID=01001&amp;SDATE=2007&amp;PERIODTYPE=ANN_STD&amp;window=popup_no_bar&amp;width=385&amp;height=120&amp;START_MAXIMIZED=FALSE&amp;creator=factset&amp;display_string=Audit"}</definedName>
    <definedName name="_407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409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41__123Graph_Aｸﾞﾗﾌ_1" hidden="1">#REF!</definedName>
    <definedName name="_4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10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411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412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413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414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415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416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417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418__FDSAUDITLINK__" hidden="1">{"fdsup://Directions/FactSet Auditing Viewer?action=AUDIT_VALUE&amp;DB=129&amp;ID1=471279&amp;VALUEID=01001&amp;SDATE=2007&amp;PERIODTYPE=ANN_STD&amp;window=popup_no_bar&amp;width=385&amp;height=120&amp;START_MAXIMIZED=FALSE&amp;creator=factset&amp;display_string=Audit"}</definedName>
    <definedName name="_419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42__123Graph_ACHART_1" hidden="1">#REF!</definedName>
    <definedName name="_42__123Graph_BCHART_3" hidden="1">#REF!</definedName>
    <definedName name="_4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20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421__FDSAUDITLINK__" hidden="1">{"fdsup://directions/FAT Viewer?action=UPDATE&amp;creator=factset&amp;DYN_ARGS=TRUE&amp;DOC_NAME=FAT:FQL_AUDITING_CLIENT_TEMPLATE.FAT&amp;display_string=Audit&amp;VAR:KEY=LOLKLQHEHO&amp;VAR:QUERY=RkZfRVBTX0RJTChBTk4sLTEsLCxSRik=&amp;WINDOW=FIRST_POPUP&amp;HEIGHT=450&amp;WIDTH=450&amp;START_MAXIMI","ZED=FALSE&amp;VAR:CALENDAR=FIVEDAY&amp;VAR:SYMBOL=088470&amp;VAR:INDEX=0"}</definedName>
    <definedName name="_422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423__FDSAUDITLINK__" hidden="1">{"fdsup://directions/FAT Viewer?action=UPDATE&amp;creator=factset&amp;DYN_ARGS=TRUE&amp;DOC_NAME=FAT:FQL_AUDITING_CLIENT_TEMPLATE.FAT&amp;display_string=Audit&amp;VAR:KEY=HEVCVEZQZK&amp;VAR:QUERY=RkZfRUJJVF9PUEVSKEFOTiwtMSwsLFJGKQ==&amp;WINDOW=FIRST_POPUP&amp;HEIGHT=450&amp;WIDTH=450&amp;START_MA","XIMIZED=FALSE&amp;VAR:CALENDAR=FIVEDAY&amp;VAR:SYMBOL=088470&amp;VAR:INDEX=0"}</definedName>
    <definedName name="_424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428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429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42wrn.²Ä1­Ó¤ë1_Ü20¤H." hidden="1">{#N/A,#N/A,FALSE,"²Ä1­Ó¤ë"}</definedName>
    <definedName name="_43__123Graph_ACHART_2" hidden="1">#REF!</definedName>
    <definedName name="_43__123Graph_Aｸﾞﾗﾌ_2" hidden="1">#REF!</definedName>
    <definedName name="_4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30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431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432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433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434__FDSAUDITLINK__" hidden="1">{"fdsup://directions/FAT Viewer?action=UPDATE&amp;creator=factset&amp;DYN_ARGS=TRUE&amp;DOC_NAME=FAT:FQL_AUDITING_CLIENT_TEMPLATE.FAT&amp;display_string=Audit&amp;VAR:KEY=JOLQXYJAPA&amp;VAR:QUERY=RkZfRVBTX0RJTChBTk4sMCwsLFJGKQ==&amp;WINDOW=FIRST_POPUP&amp;HEIGHT=450&amp;WIDTH=450&amp;START_MAXIMI","ZED=FALSE&amp;VAR:CALENDAR=FIVEDAY&amp;VAR:SYMBOL=93114210&amp;VAR:INDEX=0"}</definedName>
    <definedName name="_435__FDSAUDITLINK__" hidden="1">{"fdsup://directions/FAT Viewer?action=UPDATE&amp;creator=factset&amp;DYN_ARGS=TRUE&amp;DOC_NAME=FAT:FQL_AUDITING_CLIENT_TEMPLATE.FAT&amp;display_string=Audit&amp;VAR:KEY=NYXMRQTMBE&amp;VAR:QUERY=RkZfRVBTX0RJTChBTk4sLTEsLCxSRik=&amp;WINDOW=FIRST_POPUP&amp;HEIGHT=450&amp;WIDTH=450&amp;START_MAXIMI","ZED=FALSE&amp;VAR:CALENDAR=FIVEDAY&amp;VAR:SYMBOL=93114210&amp;VAR:INDEX=0"}</definedName>
    <definedName name="_436__FDSAUDITLINK__" hidden="1">{"fdsup://directions/FAT Viewer?action=UPDATE&amp;creator=factset&amp;DYN_ARGS=TRUE&amp;DOC_NAME=FAT:FQL_AUDITING_CLIENT_TEMPLATE.FAT&amp;display_string=Audit&amp;VAR:KEY=ZAVWJGDARM&amp;VAR:QUERY=RkZfRUJJVF9PUEVSKEFOTiwwLCwsUkYp&amp;WINDOW=FIRST_POPUP&amp;HEIGHT=450&amp;WIDTH=450&amp;START_MAXIMI","ZED=FALSE&amp;VAR:CALENDAR=FIVEDAY&amp;VAR:SYMBOL=93114210&amp;VAR:INDEX=0"}</definedName>
    <definedName name="_437__FDSAUDITLINK__" hidden="1">{"fdsup://directions/FAT Viewer?action=UPDATE&amp;creator=factset&amp;DYN_ARGS=TRUE&amp;DOC_NAME=FAT:FQL_AUDITING_CLIENT_TEMPLATE.FAT&amp;display_string=Audit&amp;VAR:KEY=DUBOVCJMRM&amp;VAR:QUERY=RkZfRUJJVF9PUEVSKEFOTiwtMSwsLFJGKQ==&amp;WINDOW=FIRST_POPUP&amp;HEIGHT=450&amp;WIDTH=450&amp;START_MA","XIMIZED=FALSE&amp;VAR:CALENDAR=FIVEDAY&amp;VAR:SYMBOL=93114210&amp;VAR:INDEX=0"}</definedName>
    <definedName name="_438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44__123Graph_ACHART_3" hidden="1">#REF!</definedName>
    <definedName name="_44__123Graph_Bｸﾞﾗﾌ_1" hidden="1">#REF!</definedName>
    <definedName name="_44__123Graph_LBL_AC04C_FF_L" hidden="1">#REF!</definedName>
    <definedName name="_4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4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441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442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443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444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445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44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44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44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44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4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5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45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45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45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454__FDSAUDITLINK__" hidden="1">{"fdsup://directions/FAT Viewer?action=UPDATE&amp;creator=factset&amp;DYN_ARGS=TRUE&amp;DOC_NAME=FAT:FQL_AUDITING_CLIENT_TEMPLATE.FAT&amp;display_string=Audit&amp;VAR:KEY=FMVQLGFCXC&amp;VAR:QUERY=RkZfRVBTX0RJTChBTk4sMCwsLFJGKQ==&amp;WINDOW=FIRST_POPUP&amp;HEIGHT=450&amp;WIDTH=450&amp;START_MAXIMI","ZED=FALSE&amp;VAR:CALENDAR=FIVEDAY&amp;VAR:SYMBOL=564156&amp;VAR:INDEX=0"}</definedName>
    <definedName name="_455__FDSAUDITLINK__" hidden="1">{"fdsup://directions/FAT Viewer?action=UPDATE&amp;creator=factset&amp;DYN_ARGS=TRUE&amp;DOC_NAME=FAT:FQL_AUDITING_CLIENT_TEMPLATE.FAT&amp;display_string=Audit&amp;VAR:KEY=HGJYPGBMRS&amp;VAR:QUERY=RkZfRVBTX0RJTChBTk4sLTEsLCxSRik=&amp;WINDOW=FIRST_POPUP&amp;HEIGHT=450&amp;WIDTH=450&amp;START_MAXIMI","ZED=FALSE&amp;VAR:CALENDAR=FIVEDAY&amp;VAR:SYMBOL=564156&amp;VAR:INDEX=0"}</definedName>
    <definedName name="_456__FDSAUDITLINK__" hidden="1">{"fdsup://directions/FAT Viewer?action=UPDATE&amp;creator=factset&amp;DYN_ARGS=TRUE&amp;DOC_NAME=FAT:FQL_AUDITING_CLIENT_TEMPLATE.FAT&amp;display_string=Audit&amp;VAR:KEY=BGJEJEFGFC&amp;VAR:QUERY=RkZfRUJJVF9PUEVSKEFOTiwwLCwsUkYp&amp;WINDOW=FIRST_POPUP&amp;HEIGHT=450&amp;WIDTH=450&amp;START_MAXIMI","ZED=FALSE&amp;VAR:CALENDAR=FIVEDAY&amp;VAR:SYMBOL=564156&amp;VAR:INDEX=0"}</definedName>
    <definedName name="_457__FDSAUDITLINK__" hidden="1">{"fdsup://directions/FAT Viewer?action=UPDATE&amp;creator=factset&amp;DYN_ARGS=TRUE&amp;DOC_NAME=FAT:FQL_AUDITING_CLIENT_TEMPLATE.FAT&amp;display_string=Audit&amp;VAR:KEY=PIHULWDABO&amp;VAR:QUERY=RkZfRUJJVF9PUEVSKEFOTiwtMSwsLFJGKQ==&amp;WINDOW=FIRST_POPUP&amp;HEIGHT=450&amp;WIDTH=450&amp;START_MA","XIMIZED=FALSE&amp;VAR:CALENDAR=FIVEDAY&amp;VAR:SYMBOL=564156&amp;VAR:INDEX=0"}</definedName>
    <definedName name="_458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459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46__123Graph_Aｸﾞﾗﾌ_3" hidden="1">#REF!</definedName>
    <definedName name="_46__123Graph_BCHART_1" hidden="1">#REF!</definedName>
    <definedName name="_46__123Graph_BCHART_2" hidden="1">#REF!</definedName>
    <definedName name="_46__123Graph_Bｸﾞﾗﾌ_2" hidden="1">#REF!</definedName>
    <definedName name="_4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6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46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462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463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464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46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466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467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46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46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47__123Graph_BCHART_2" hidden="1">#REF!</definedName>
    <definedName name="_4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7_0ACwvu.Pag" hidden="1">#N/A</definedName>
    <definedName name="_470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474__FDSAUDITLINK__" hidden="1">{"fdsup://directions/FAT Viewer?action=UPDATE&amp;creator=factset&amp;DYN_ARGS=TRUE&amp;DOC_NAME=FAT:FQL_AUDITING_CLIENT_TEMPLATE.FAT&amp;display_string=Audit&amp;VAR:KEY=IJGVQLETSP&amp;VAR:QUERY=RkZfRVBTX0RJTChBTk4sMCwsLFJGKQ==&amp;WINDOW=FIRST_POPUP&amp;HEIGHT=450&amp;WIDTH=450&amp;START_MAXIMI","ZED=FALSE&amp;VAR:CALENDAR=FIVEDAY&amp;VAR:SYMBOL=088470&amp;VAR:INDEX=0"}</definedName>
    <definedName name="_475__FDSAUDITLINK__" hidden="1">{"fdsup://directions/FAT Viewer?action=UPDATE&amp;creator=factset&amp;DYN_ARGS=TRUE&amp;DOC_NAME=FAT:FQL_AUDITING_CLIENT_TEMPLATE.FAT&amp;display_string=Audit&amp;VAR:KEY=ERGLUDAZMX&amp;VAR:QUERY=RkZfRVBTX0RJTChBTk4sLTEsLCxSRik=&amp;WINDOW=FIRST_POPUP&amp;HEIGHT=450&amp;WIDTH=450&amp;START_MAXIMI","ZED=FALSE&amp;VAR:CALENDAR=FIVEDAY&amp;VAR:SYMBOL=088470&amp;VAR:INDEX=0"}</definedName>
    <definedName name="_476__FDSAUDITLINK__" hidden="1">{"fdsup://directions/FAT Viewer?action=UPDATE&amp;creator=factset&amp;DYN_ARGS=TRUE&amp;DOC_NAME=FAT:FQL_AUDITING_CLIENT_TEMPLATE.FAT&amp;display_string=Audit&amp;VAR:KEY=YBOXMJGVYD&amp;VAR:QUERY=RkZfRUJJVF9PUEVSKEFOTiwwLCwsUkYp&amp;WINDOW=FIRST_POPUP&amp;HEIGHT=450&amp;WIDTH=450&amp;START_MAXIMI","ZED=FALSE&amp;VAR:CALENDAR=FIVEDAY&amp;VAR:SYMBOL=088470&amp;VAR:INDEX=0"}</definedName>
    <definedName name="_477__FDSAUDITLINK__" hidden="1">{"fdsup://directions/FAT Viewer?action=UPDATE&amp;creator=factset&amp;DYN_ARGS=TRUE&amp;DOC_NAME=FAT:FQL_AUDITING_CLIENT_TEMPLATE.FAT&amp;display_string=Audit&amp;VAR:KEY=AXIFARGXCJ&amp;VAR:QUERY=RkZfRUJJVF9PUEVSKEFOTiwtMSwsLFJGKQ==&amp;WINDOW=FIRST_POPUP&amp;HEIGHT=450&amp;WIDTH=450&amp;START_MA","XIMIZED=FALSE&amp;VAR:CALENDAR=FIVEDAY&amp;VAR:SYMBOL=088470&amp;VAR:INDEX=0"}</definedName>
    <definedName name="_478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48__123Graph_BCHART_3" hidden="1">#REF!</definedName>
    <definedName name="_48__123Graph_LBL_AC04C_FF_T" hidden="1">#REF!</definedName>
    <definedName name="_4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8_0Swvu.Pag" hidden="1">#N/A</definedName>
    <definedName name="_480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48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482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483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484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485__FDSAUDITLINK__" hidden="1">{"fdsup://directions/FAT Viewer?action=UPDATE&amp;creator=factset&amp;DYN_ARGS=TRUE&amp;DOC_NAME=FAT:FQL_AUDITING_CLIENT_TEMPLATE.FAT&amp;display_string=Audit&amp;VAR:KEY=QTMBGLWHEP&amp;VAR:QUERY=MzE5NzIuMTYyMTA5L0ZGX0VCSVQoQ0FMLDIwMDksLCwsRVVSKQ==&amp;WINDOW=FIRST_POPUP&amp;HEIGHT=450&amp;WI","DTH=450&amp;START_MAXIMIZED=FALSE&amp;VAR:CALENDAR=FIVEDAY&amp;VAR:SYMBOL=471279&amp;VAR:INDEX=0"}</definedName>
    <definedName name="_486__FDSAUDITLINK__" hidden="1">{"fdsup://directions/FAT Viewer?action=UPDATE&amp;creator=factset&amp;DYN_ARGS=TRUE&amp;DOC_NAME=FAT:FQL_AUDITING_CLIENT_TEMPLATE.FAT&amp;display_string=Audit&amp;VAR:KEY=YHWBUVONAH&amp;VAR:QUERY=ODY0NzcuNzU3ODEyL0ZGX0VCSVQoQ0FMLDIwMDksLCwsRVVSKQ==&amp;WINDOW=FIRST_POPUP&amp;HEIGHT=450&amp;WI","DTH=450&amp;START_MAXIMIZED=FALSE&amp;VAR:CALENDAR=FIVEDAY&amp;VAR:SYMBOL=549710&amp;VAR:INDEX=0"}</definedName>
    <definedName name="_48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QVGBKHSJWH&amp;VAR:QUERY=RkZfRVBTX0RJTChBTk4sMCwsLFJGKQ==&amp;WINDOW=FIRST_POPUP&amp;HEIGHT=450&amp;WIDTH=450&amp;START_MAXIMI","ZED=FALSE&amp;VAR:CALENDAR=FIVEDAY&amp;VAR:SYMBOL=93114210&amp;VAR:INDEX=0"}</definedName>
    <definedName name="_489__FDSAUDITLINK__" hidden="1">{"fdsup://directions/FAT Viewer?action=UPDATE&amp;creator=factset&amp;DYN_ARGS=TRUE&amp;DOC_NAME=FAT:FQL_AUDITING_CLIENT_TEMPLATE.FAT&amp;display_string=Audit&amp;VAR:KEY=MXGNOVUNUT&amp;VAR:QUERY=RkZfRVBTX0RJTChBTk4sLTEsLCxSRik=&amp;WINDOW=FIRST_POPUP&amp;HEIGHT=450&amp;WIDTH=450&amp;START_MAXIMI","ZED=FALSE&amp;VAR:CALENDAR=FIVEDAY&amp;VAR:SYMBOL=93114210&amp;VAR:INDEX=0"}</definedName>
    <definedName name="_49__123Graph_A_Chart_1A" hidden="1">#N/A</definedName>
    <definedName name="_49__123Graph_BCHART_4" hidden="1">#REF!</definedName>
    <definedName name="_4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90__FDSAUDITLINK__" hidden="1">{"fdsup://directions/FAT Viewer?action=UPDATE&amp;creator=factset&amp;DYN_ARGS=TRUE&amp;DOC_NAME=FAT:FQL_AUDITING_CLIENT_TEMPLATE.FAT&amp;display_string=Audit&amp;VAR:KEY=QHOBULIZOX&amp;VAR:QUERY=RkZfRUJJVF9PUEVSKEFOTiwwLCwsUkYp&amp;WINDOW=FIRST_POPUP&amp;HEIGHT=450&amp;WIDTH=450&amp;START_MAXIMI","ZED=FALSE&amp;VAR:CALENDAR=FIVEDAY&amp;VAR:SYMBOL=93114210&amp;VAR:INDEX=0"}</definedName>
    <definedName name="_491__FDSAUDITLINK__" hidden="1">{"fdsup://directions/FAT Viewer?action=UPDATE&amp;creator=factset&amp;DYN_ARGS=TRUE&amp;DOC_NAME=FAT:FQL_AUDITING_CLIENT_TEMPLATE.FAT&amp;display_string=Audit&amp;VAR:KEY=UVYJCBGJQZ&amp;VAR:QUERY=MjcxNDguNDY2Nzk3L0ZGX0VCSVREQShDQUwsMjAwOSwsLCxFVVIp&amp;WINDOW=FIRST_POPUP&amp;HEIGHT=450&amp;WI","DTH=450&amp;START_MAXIMIZED=FALSE&amp;VAR:CALENDAR=FIVEDAY&amp;VAR:SYMBOL=710352&amp;VAR:INDEX=0"}</definedName>
    <definedName name="_492__FDSAUDITLINK__" hidden="1">{"fdsup://directions/FAT Viewer?action=UPDATE&amp;creator=factset&amp;DYN_ARGS=TRUE&amp;DOC_NAME=FAT:FQL_AUDITING_CLIENT_TEMPLATE.FAT&amp;display_string=Audit&amp;VAR:KEY=GVUZWFGLQL&amp;VAR:QUERY=MzE5NzIuMTYyMTA5L0ZGX0VCSVREQShDQUwsMjAwOSwsLCxFVVIp&amp;WINDOW=FIRST_POPUP&amp;HEIGHT=450&amp;WI","DTH=450&amp;START_MAXIMIZED=FALSE&amp;VAR:CALENDAR=FIVEDAY&amp;VAR:SYMBOL=471279&amp;VAR:INDEX=0"}</definedName>
    <definedName name="_493__FDSAUDITLINK__" hidden="1">{"fdsup://directions/FAT Viewer?action=UPDATE&amp;creator=factset&amp;DYN_ARGS=TRUE&amp;DOC_NAME=FAT:FQL_AUDITING_CLIENT_TEMPLATE.FAT&amp;display_string=Audit&amp;VAR:KEY=YROXULQPAD&amp;VAR:QUERY=ODY0NzcuNzU3ODEyL0ZGX0VCSVREQShDQUwsMjAwOSwsLCxFVVIp&amp;WINDOW=FIRST_POPUP&amp;HEIGHT=450&amp;WI","DTH=450&amp;START_MAXIMIZED=FALSE&amp;VAR:CALENDAR=FIVEDAY&amp;VAR:SYMBOL=549710&amp;VAR:INDEX=0"}</definedName>
    <definedName name="_494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49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497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498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499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4ALA642C761" hidden="1">#N/A</definedName>
    <definedName name="_5__123Graph_ACAPITAL_BY_OEM" hidden="1">#REF!</definedName>
    <definedName name="_5__123Graph_ACHART_3" hidden="1">#REF!</definedName>
    <definedName name="_5__123Graph_BCHART_1" hidden="1">#REF!</definedName>
    <definedName name="_5__123Graph_BCHART_2" hidden="1">#REF!</definedName>
    <definedName name="_5__123Graph_BChart_2A" hidden="1">#REF!</definedName>
    <definedName name="_5__123Graph_CCHART_2" hidden="1">#REF!</definedName>
    <definedName name="_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50__123Graph_AChart_1" hidden="1">#N/A</definedName>
    <definedName name="_50__123Graph_Aｸﾞﾗﾌ_4" hidden="1">#REF!</definedName>
    <definedName name="_50__123Graph_DCHART_1" hidden="1">#REF!</definedName>
    <definedName name="_5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00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501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502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50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50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505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506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507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508__FDSAUDITLINK__" hidden="1">{"fdsup://directions/FAT Viewer?action=UPDATE&amp;creator=factset&amp;DYN_ARGS=TRUE&amp;DOC_NAME=FAT:FQL_AUDITING_CLIENT_TEMPLATE.FAT&amp;display_string=Audit&amp;VAR:KEY=WXIXYLEPIN&amp;VAR:QUERY=NzkzLjE2NDY3My9GRl9FQklUKENBTCwyMDA5LCwsLEVVUik=&amp;WINDOW=FIRST_POPUP&amp;HEIGHT=450&amp;WIDTH=","450&amp;START_MAXIMIZED=FALSE&amp;VAR:CALENDAR=FIVEDAY&amp;VAR:SYMBOL=B0P9M7&amp;VAR:INDEX=0"}</definedName>
    <definedName name="_509__FDSAUDITLINK__" hidden="1">{"fdsup://directions/FAT Viewer?action=UPDATE&amp;creator=factset&amp;DYN_ARGS=TRUE&amp;DOC_NAME=FAT:FQL_AUDITING_CLIENT_TEMPLATE.FAT&amp;display_string=Audit&amp;VAR:KEY=SVWLURQXSH&amp;VAR:QUERY=NzkzLjE2NDY3My9GRl9FQklUREEoQ0FMLDIwMDksLCwsRVVSKQ==&amp;WINDOW=FIRST_POPUP&amp;HEIGHT=450&amp;WI","DTH=450&amp;START_MAXIMIZED=FALSE&amp;VAR:CALENDAR=FIVEDAY&amp;VAR:SYMBOL=B0P9M7&amp;VAR:INDEX=0"}</definedName>
    <definedName name="_51__123Graph_ACHART_19" hidden="1">#N/A</definedName>
    <definedName name="_51__123Graph_Aｸﾞﾗﾌ_5" hidden="1">#REF!</definedName>
    <definedName name="_51__123Graph_DCHART_2" hidden="1">#REF!</definedName>
    <definedName name="_5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10__FDSAUDITLINK__" hidden="1">{"fdsup://directions/FAT Viewer?action=UPDATE&amp;creator=factset&amp;DYN_ARGS=TRUE&amp;DOC_NAME=FAT:FQL_AUDITING_CLIENT_TEMPLATE.FAT&amp;display_string=Audit&amp;VAR:KEY=UXAPOXYPST&amp;VAR:QUERY=RkZfRUJJVF9PUEVSKEFOTiwwLCwsUkYp&amp;WINDOW=FIRST_POPUP&amp;HEIGHT=450&amp;WIDTH=450&amp;START_MAXIMI","ZED=FALSE&amp;VAR:CALENDAR=FIVEDAY&amp;VAR:SYMBOL=564156&amp;VAR:INDEX=0"}</definedName>
    <definedName name="_511__FDSAUDITLINK__" hidden="1">{"fdsup://directions/FAT Viewer?action=UPDATE&amp;creator=factset&amp;DYN_ARGS=TRUE&amp;DOC_NAME=FAT:FQL_AUDITING_CLIENT_TEMPLATE.FAT&amp;display_string=Audit&amp;VAR:KEY=EPQBSVAZAV&amp;VAR:QUERY=RkZfRUJJVF9PUEVSKEFOTiwtMSwsLFJGKQ==&amp;WINDOW=FIRST_POPUP&amp;HEIGHT=450&amp;WIDTH=450&amp;START_MA","XIMIZED=FALSE&amp;VAR:CALENDAR=FIVEDAY&amp;VAR:SYMBOL=564156&amp;VAR:INDEX=0"}</definedName>
    <definedName name="_51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52__123Graph_AChart_2" hidden="1">#N/A</definedName>
    <definedName name="_52__123Graph_Aｸﾞﾗﾌ_6" hidden="1">#REF!</definedName>
    <definedName name="_52__123Graph_LBL_AC04C_FR_L1" hidden="1">#REF!</definedName>
    <definedName name="_5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20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522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523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524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525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526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528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529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53__123Graph_ACHART_20" hidden="1">#N/A</definedName>
    <definedName name="_53__123Graph_LBL_ACHART_1" hidden="1">#REF!</definedName>
    <definedName name="_5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30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53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532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533__FDSAUDITLINK__" hidden="1">{"fdsup://directions/FAT Viewer?action=UPDATE&amp;creator=factset&amp;DYN_ARGS=TRUE&amp;DOC_NAME=FAT:FQL_AUDITING_CLIENT_TEMPLATE.FAT&amp;display_string=Audit&amp;VAR:KEY=YBOXMJGVYD&amp;VAR:QUERY=RkZfRUJJVF9PUEVSKEFOTiwwLCwsUkYp&amp;WINDOW=FIRST_POPUP&amp;HEIGHT=450&amp;WIDTH=450&amp;START_MAXIMI","ZED=FALSE&amp;VAR:CALENDAR=FIVEDAY&amp;VAR:SYMBOL=088470&amp;VAR:INDEX=0"}</definedName>
    <definedName name="_534__FDSAUDITLINK__" hidden="1">{"fdsup://directions/FAT Viewer?action=UPDATE&amp;creator=factset&amp;DYN_ARGS=TRUE&amp;DOC_NAME=FAT:FQL_AUDITING_CLIENT_TEMPLATE.FAT&amp;display_string=Audit&amp;VAR:KEY=IJGVQLETSP&amp;VAR:QUERY=RkZfRVBTX0RJTChBTk4sMCwsLFJGKQ==&amp;WINDOW=FIRST_POPUP&amp;HEIGHT=450&amp;WIDTH=450&amp;START_MAXIMI","ZED=FALSE&amp;VAR:CALENDAR=FIVEDAY&amp;VAR:SYMBOL=088470&amp;VAR:INDEX=0"}</definedName>
    <definedName name="_535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537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538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539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54__123Graph_ACHART_22" hidden="1">#N/A</definedName>
    <definedName name="_54__123Graph_LBL_ACHART_2" hidden="1">#REF!</definedName>
    <definedName name="_5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4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54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542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543__FDSAUDITLINK__" hidden="1">{"fdsup://directions/FAT Viewer?action=UPDATE&amp;creator=factset&amp;DYN_ARGS=TRUE&amp;DOC_NAME=FAT:FQL_AUDITING_CLIENT_TEMPLATE.FAT&amp;display_string=Audit&amp;VAR:KEY=MBKRYDOVWZ&amp;VAR:QUERY=RkZfRUJJVF9PUEVSKEFOTiwtMSwsLFJGKQ==&amp;WINDOW=FIRST_POPUP&amp;HEIGHT=450&amp;WIDTH=450&amp;START_MA","XIMIZED=FALSE&amp;VAR:CALENDAR=FIVEDAY&amp;VAR:SYMBOL=93114210&amp;VAR:INDEX=0"}</definedName>
    <definedName name="_544__FDSAUDITLINK__" hidden="1">{"fdsup://directions/FAT Viewer?action=UPDATE&amp;creator=factset&amp;DYN_ARGS=TRUE&amp;DOC_NAME=FAT:FQL_AUDITING_CLIENT_TEMPLATE.FAT&amp;display_string=Audit&amp;VAR:KEY=AXIFARGXCJ&amp;VAR:QUERY=RkZfRUJJVF9PUEVSKEFOTiwtMSwsLFJGKQ==&amp;WINDOW=FIRST_POPUP&amp;HEIGHT=450&amp;WIDTH=450&amp;START_MA","XIMIZED=FALSE&amp;VAR:CALENDAR=FIVEDAY&amp;VAR:SYMBOL=088470&amp;VAR:INDEX=0"}</definedName>
    <definedName name="_545__FDSAUDITLINK__" hidden="1">{"fdsup://directions/FAT Viewer?action=UPDATE&amp;creator=factset&amp;DYN_ARGS=TRUE&amp;DOC_NAME=FAT:FQL_AUDITING_CLIENT_TEMPLATE.FAT&amp;display_string=Audit&amp;VAR:KEY=ERGLUDAZMX&amp;VAR:QUERY=RkZfRVBTX0RJTChBTk4sLTEsLCxSRik=&amp;WINDOW=FIRST_POPUP&amp;HEIGHT=450&amp;WIDTH=450&amp;START_MAXIMI","ZED=FALSE&amp;VAR:CALENDAR=FIVEDAY&amp;VAR:SYMBOL=088470&amp;VAR:INDEX=0"}</definedName>
    <definedName name="_546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55__123Graph_ACHART_23" hidden="1">#N/A</definedName>
    <definedName name="_55__123Graph_LBL_ACHART_3" hidden="1">#REF!</definedName>
    <definedName name="_5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50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551__FDSAUDITLINK__" hidden="1">{"fdsup://directions/FAT Viewer?action=UPDATE&amp;creator=factset&amp;DYN_ARGS=TRUE&amp;DOC_NAME=FAT:FQL_AUDITING_CLIENT_TEMPLATE.FAT&amp;display_string=Audit&amp;VAR:KEY=QHOBULIZOX&amp;VAR:QUERY=RkZfRUJJVF9PUEVSKEFOTiwwLCwsUkYp&amp;WINDOW=FIRST_POPUP&amp;HEIGHT=450&amp;WIDTH=450&amp;START_MAXIMI","ZED=FALSE&amp;VAR:CALENDAR=FIVEDAY&amp;VAR:SYMBOL=93114210&amp;VAR:INDEX=0"}</definedName>
    <definedName name="_552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55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554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55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556__FDSAUDITLINK__" hidden="1">{"fdsup://directions/FAT Viewer?action=UPDATE&amp;creator=factset&amp;DYN_ARGS=TRUE&amp;DOC_NAME=FAT:FQL_AUDITING_CLIENT_TEMPLATE.FAT&amp;display_string=Audit&amp;VAR:KEY=MXGNOVUNUT&amp;VAR:QUERY=RkZfRVBTX0RJTChBTk4sLTEsLCxSRik=&amp;WINDOW=FIRST_POPUP&amp;HEIGHT=450&amp;WIDTH=450&amp;START_MAXIMI","ZED=FALSE&amp;VAR:CALENDAR=FIVEDAY&amp;VAR:SYMBOL=93114210&amp;VAR:INDEX=0"}</definedName>
    <definedName name="_55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55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559__FDSAUDITLINK__" hidden="1">{"fdsup://directions/FAT Viewer?action=UPDATE&amp;creator=factset&amp;DYN_ARGS=TRUE&amp;DOC_NAME=FAT:FQL_AUDITING_CLIENT_TEMPLATE.FAT&amp;display_string=Audit&amp;VAR:KEY=QVGBKHSJWH&amp;VAR:QUERY=RkZfRVBTX0RJTChBTk4sMCwsLFJGKQ==&amp;WINDOW=FIRST_POPUP&amp;HEIGHT=450&amp;WIDTH=450&amp;START_MAXIMI","ZED=FALSE&amp;VAR:CALENDAR=FIVEDAY&amp;VAR:SYMBOL=93114210&amp;VAR:INDEX=0"}</definedName>
    <definedName name="_56__123Graph_AChart_3" hidden="1">#N/A</definedName>
    <definedName name="_56__123Graph_BCHART_8" hidden="1">#REF!</definedName>
    <definedName name="_56__123Graph_Bｸﾞﾗﾌ_1" hidden="1">#REF!</definedName>
    <definedName name="_56__123Graph_LBL_AC04C_FR_L2" hidden="1">#REF!</definedName>
    <definedName name="_5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60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561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562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56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564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565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566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567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56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56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57__123Graph_AChart_4" hidden="1">#N/A</definedName>
    <definedName name="_57__123Graph_LBL_DCHART_1" hidden="1">#REF!</definedName>
    <definedName name="_5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70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57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57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573__FDSAUDITLINK__" hidden="1">{"fdsup://directions/FAT Viewer?action=UPDATE&amp;creator=factset&amp;DYN_ARGS=TRUE&amp;DOC_NAME=FAT:FQL_AUDITING_CLIENT_TEMPLATE.FAT&amp;display_string=Audit&amp;VAR:KEY=EPQBSVAZAV&amp;VAR:QUERY=RkZfRUJJVF9PUEVSKEFOTiwtMSwsLFJGKQ==&amp;WINDOW=FIRST_POPUP&amp;HEIGHT=450&amp;WIDTH=450&amp;START_MA","XIMIZED=FALSE&amp;VAR:CALENDAR=FIVEDAY&amp;VAR:SYMBOL=564156&amp;VAR:INDEX=0"}</definedName>
    <definedName name="_574__FDSAUDITLINK__" hidden="1">{"fdsup://directions/FAT Viewer?action=UPDATE&amp;creator=factset&amp;DYN_ARGS=TRUE&amp;DOC_NAME=FAT:FQL_AUDITING_CLIENT_TEMPLATE.FAT&amp;display_string=Audit&amp;VAR:KEY=KJGTQBYDOV&amp;VAR:QUERY=RkZfRVBTX0RJTChBTk4sLTEsLCxSRik=&amp;WINDOW=FIRST_POPUP&amp;HEIGHT=450&amp;WIDTH=450&amp;START_MAXIMI","ZED=FALSE&amp;VAR:CALENDAR=FIVEDAY&amp;VAR:SYMBOL=564156&amp;VAR:INDEX=0"}</definedName>
    <definedName name="_575__FDSAUDITLINK__" hidden="1">{"fdsup://directions/FAT Viewer?action=UPDATE&amp;creator=factset&amp;DYN_ARGS=TRUE&amp;DOC_NAME=FAT:FQL_AUDITING_CLIENT_TEMPLATE.FAT&amp;display_string=Audit&amp;VAR:KEY=CZWPORSTUB&amp;VAR:QUERY=ODMzNTguODEyNTAwL0ZGX0VCSVREQShDQUwsMjAwOSwsLCxFVVIp&amp;WINDOW=FIRST_POPUP&amp;HEIGHT=450&amp;WI","DTH=450&amp;START_MAXIMIZED=FALSE&amp;VAR:CALENDAR=FIVEDAY&amp;VAR:SYMBOL=552902&amp;VAR:INDEX=0"}</definedName>
    <definedName name="_576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577__FDSAUDITLINK__" hidden="1">{"fdsup://directions/FAT Viewer?action=UPDATE&amp;creator=factset&amp;DYN_ARGS=TRUE&amp;DOC_NAME=FAT:FQL_AUDITING_CLIENT_TEMPLATE.FAT&amp;display_string=Audit&amp;VAR:KEY=UXAPOXYPST&amp;VAR:QUERY=RkZfRUJJVF9PUEVSKEFOTiwwLCwsUkYp&amp;WINDOW=FIRST_POPUP&amp;HEIGHT=450&amp;WIDTH=450&amp;START_MAXIMI","ZED=FALSE&amp;VAR:CALENDAR=FIVEDAY&amp;VAR:SYMBOL=564156&amp;VAR:INDEX=0"}</definedName>
    <definedName name="_578__FDSAUDITLINK__" hidden="1">{"fdsup://directions/FAT Viewer?action=UPDATE&amp;creator=factset&amp;DYN_ARGS=TRUE&amp;DOC_NAME=FAT:FQL_AUDITING_CLIENT_TEMPLATE.FAT&amp;display_string=Audit&amp;VAR:KEY=ILSFYDIXYL&amp;VAR:QUERY=RkZfRVBTX0RJTChBTk4sMCwsLFJGKQ==&amp;WINDOW=FIRST_POPUP&amp;HEIGHT=450&amp;WIDTH=450&amp;START_MAXIMI","ZED=FALSE&amp;VAR:CALENDAR=FIVEDAY&amp;VAR:SYMBOL=564156&amp;VAR:INDEX=0"}</definedName>
    <definedName name="_579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58__123Graph_AChart_5" hidden="1">#N/A</definedName>
    <definedName name="_58__123Graph_LBL_DCHART_2" hidden="1">#REF!</definedName>
    <definedName name="_5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80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581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582__FDSAUDITLINK__" hidden="1">{"fdsup://directions/FAT Viewer?action=UPDATE&amp;creator=factset&amp;DYN_ARGS=TRUE&amp;DOC_NAME=FAT:FQL_AUDITING_CLIENT_TEMPLATE.FAT&amp;display_string=Audit&amp;VAR:KEY=WZADQZSDQH&amp;VAR:QUERY=RkZfRVBTX0RJTChBTk4sMCwsLFJGKQ==&amp;WINDOW=FIRST_POPUP&amp;HEIGHT=450&amp;WIDTH=450&amp;START_MAXIMI","ZED=FALSE&amp;VAR:CALENDAR=FIVEDAY&amp;VAR:SYMBOL=088470&amp;VAR:INDEX=0"}</definedName>
    <definedName name="_583__FDSAUDITLINK__" hidden="1">{"fdsup://directions/FAT Viewer?action=UPDATE&amp;creator=factset&amp;DYN_ARGS=TRUE&amp;DOC_NAME=FAT:FQL_AUDITING_CLIENT_TEMPLATE.FAT&amp;display_string=Audit&amp;VAR:KEY=EJCBYZWHOV&amp;VAR:QUERY=RkZfRVBTX0RJTChBTk4sLTEsLCxSRik=&amp;WINDOW=FIRST_POPUP&amp;HEIGHT=450&amp;WIDTH=450&amp;START_MAXIMI","ZED=FALSE&amp;VAR:CALENDAR=FIVEDAY&amp;VAR:SYMBOL=088470&amp;VAR:INDEX=0"}</definedName>
    <definedName name="_583IQ___SET_WRITEDOWN_INS" hidden="1">"c59"</definedName>
    <definedName name="_584__FDSAUDITLINK__" hidden="1">{"fdsup://directions/FAT Viewer?action=UPDATE&amp;creator=factset&amp;DYN_ARGS=TRUE&amp;DOC_NAME=FAT:FQL_AUDITING_CLIENT_TEMPLATE.FAT&amp;display_string=Audit&amp;VAR:KEY=WZOXADSLSZ&amp;VAR:QUERY=RkZfRUJJVF9PUEVSKEFOTiwwLCwsUkYp&amp;WINDOW=FIRST_POPUP&amp;HEIGHT=450&amp;WIDTH=450&amp;START_MAXIMI","ZED=FALSE&amp;VAR:CALENDAR=FIVEDAY&amp;VAR:SYMBOL=088470&amp;VAR:INDEX=0"}</definedName>
    <definedName name="_585__FDSAUDITLINK__" hidden="1">{"fdsup://directions/FAT Viewer?action=UPDATE&amp;creator=factset&amp;DYN_ARGS=TRUE&amp;DOC_NAME=FAT:FQL_AUDITING_CLIENT_TEMPLATE.FAT&amp;display_string=Audit&amp;VAR:KEY=KFSHGTMHEH&amp;VAR:QUERY=RkZfRUJJVF9PUEVSKEFOTiwtMSwsLFJGKQ==&amp;WINDOW=FIRST_POPUP&amp;HEIGHT=450&amp;WIDTH=450&amp;START_MA","XIMIZED=FALSE&amp;VAR:CALENDAR=FIVEDAY&amp;VAR:SYMBOL=088470&amp;VAR:INDEX=0"}</definedName>
    <definedName name="_586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587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588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589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59__123Graph_AChart_6" hidden="1">#N/A</definedName>
    <definedName name="_59__123Graph_XCHART_2" hidden="1">#REF!</definedName>
    <definedName name="_5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90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591__FDSAUDITLINK__" hidden="1">{"fdsup://directions/FAT Viewer?action=UPDATE&amp;creator=factset&amp;DYN_ARGS=TRUE&amp;DOC_NAME=FAT:FQL_AUDITING_CLIENT_TEMPLATE.FAT&amp;display_string=Audit&amp;VAR:KEY=EPARIVMLMT&amp;VAR:QUERY=MTAxMC4yMjk0OTIvRkZfRUJJVChDQUwsMjAwOSwsLCxFVVIp&amp;WINDOW=FIRST_POPUP&amp;HEIGHT=450&amp;WIDTH=","450&amp;START_MAXIMIZED=FALSE&amp;VAR:CALENDAR=FIVEDAY&amp;VAR:SYMBOL=509233&amp;VAR:INDEX=0"}</definedName>
    <definedName name="_592__FDSAUDITLINK__" hidden="1">{"fdsup://directions/FAT Viewer?action=UPDATE&amp;creator=factset&amp;DYN_ARGS=TRUE&amp;DOC_NAME=FAT:FQL_AUDITING_CLIENT_TEMPLATE.FAT&amp;display_string=Audit&amp;VAR:KEY=WRCXAZKNUV&amp;VAR:QUERY=MTAxMC4yMjk0OTIvRkZfRUJJVERBKENBTCwyMDA5LCwsLEVVUik=&amp;WINDOW=FIRST_POPUP&amp;HEIGHT=450&amp;WI","DTH=450&amp;START_MAXIMIZED=FALSE&amp;VAR:CALENDAR=FIVEDAY&amp;VAR:SYMBOL=509233&amp;VAR:INDEX=0"}</definedName>
    <definedName name="_593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594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595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596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59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598__FDSAUDITLINK__" hidden="1">{"fdsup://directions/FAT Viewer?action=UPDATE&amp;creator=factset&amp;DYN_ARGS=TRUE&amp;DOC_NAME=FAT:FQL_AUDITING_CLIENT_TEMPLATE.FAT&amp;display_string=Audit&amp;VAR:KEY=YJSJWHMNOZ&amp;VAR:QUERY=RkZfRVBTX0RJTChBTk4sMCwsLFJGKQ==&amp;WINDOW=FIRST_POPUP&amp;HEIGHT=450&amp;WIDTH=450&amp;START_MAXIMI","ZED=FALSE&amp;VAR:CALENDAR=FIVEDAY&amp;VAR:SYMBOL=93114210&amp;VAR:INDEX=0"}</definedName>
    <definedName name="_599__FDSAUDITLINK__" hidden="1">{"fdsup://directions/FAT Viewer?action=UPDATE&amp;creator=factset&amp;DYN_ARGS=TRUE&amp;DOC_NAME=FAT:FQL_AUDITING_CLIENT_TEMPLATE.FAT&amp;display_string=Audit&amp;VAR:KEY=WVGVONSVSN&amp;VAR:QUERY=RkZfRVBTX0RJTChBTk4sLTEsLCxSRik=&amp;WINDOW=FIRST_POPUP&amp;HEIGHT=450&amp;WIDTH=450&amp;START_MAXIMI","ZED=FALSE&amp;VAR:CALENDAR=FIVEDAY&amp;VAR:SYMBOL=93114210&amp;VAR:INDEX=0"}</definedName>
    <definedName name="_5ALA642C761" hidden="1">#N/A</definedName>
    <definedName name="_6__123Graph_ACHART_3" hidden="1">#REF!</definedName>
    <definedName name="_6__123Graph_ACHART_4" hidden="1">#REF!</definedName>
    <definedName name="_6__123Graph_AHR_BY_OEM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CCHART_1" hidden="1">#REF!</definedName>
    <definedName name="_6__123Graph_DCHART_2" hidden="1">#REF!</definedName>
    <definedName name="_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6_0__123Grap" hidden="1">#REF!</definedName>
    <definedName name="_6_0_0_S" hidden="1">#REF!</definedName>
    <definedName name="_6_123Grap" hidden="1">#REF!</definedName>
    <definedName name="_60__123Graph_AINVAR_A" hidden="1">#N/A</definedName>
    <definedName name="_60__123Graph_LBL_AC04C_FR_T1" hidden="1">#REF!</definedName>
    <definedName name="_6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00__FDSAUDITLINK__" hidden="1">{"fdsup://directions/FAT Viewer?action=UPDATE&amp;creator=factset&amp;DYN_ARGS=TRUE&amp;DOC_NAME=FAT:FQL_AUDITING_CLIENT_TEMPLATE.FAT&amp;display_string=Audit&amp;VAR:KEY=OLYTIBILUR&amp;VAR:QUERY=RkZfRUJJVF9PUEVSKEFOTiwwLCwsUkYp&amp;WINDOW=FIRST_POPUP&amp;HEIGHT=450&amp;WIDTH=450&amp;START_MAXIMI","ZED=FALSE&amp;VAR:CALENDAR=FIVEDAY&amp;VAR:SYMBOL=93114210&amp;VAR:INDEX=0"}</definedName>
    <definedName name="_601__FDSAUDITLINK__" hidden="1">{"fdsup://directions/FAT Viewer?action=UPDATE&amp;creator=factset&amp;DYN_ARGS=TRUE&amp;DOC_NAME=FAT:FQL_AUDITING_CLIENT_TEMPLATE.FAT&amp;display_string=Audit&amp;VAR:KEY=IJURSPOXER&amp;VAR:QUERY=NTQyMjAuMDE1NjI1L0ZGX0VCSVQoQ0FMLDIwMDksLCwsRVVSKQ==&amp;WINDOW=FIRST_POPUP&amp;HEIGHT=450&amp;WI","DTH=450&amp;START_MAXIMIZED=FALSE&amp;VAR:CALENDAR=FIVEDAY&amp;VAR:SYMBOL=659678&amp;VAR:INDEX=0"}</definedName>
    <definedName name="_602__FDSAUDITLINK__" hidden="1">{"fdsup://directions/FAT Viewer?action=UPDATE&amp;creator=factset&amp;DYN_ARGS=TRUE&amp;DOC_NAME=FAT:FQL_AUDITING_CLIENT_TEMPLATE.FAT&amp;display_string=Audit&amp;VAR:KEY=CFQFCNIRAL&amp;VAR:QUERY=NTQyMjAuMDE1NjI1L0ZGX0VCSVREQShDQUwsMjAwOSwsLCxFVVIp&amp;WINDOW=FIRST_POPUP&amp;HEIGHT=450&amp;WI","DTH=450&amp;START_MAXIMIZED=FALSE&amp;VAR:CALENDAR=FIVEDAY&amp;VAR:SYMBOL=659678&amp;VAR:INDEX=0"}</definedName>
    <definedName name="_603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604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60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606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607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608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609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61__123Graph_ASS6_A" hidden="1">#N/A</definedName>
    <definedName name="_6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1__0_S" hidden="1">#REF!</definedName>
    <definedName name="_610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611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612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61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61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615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616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617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618__FDSAUDITLINK__" hidden="1">{"fdsup://directions/FAT Viewer?action=UPDATE&amp;creator=factset&amp;DYN_ARGS=TRUE&amp;DOC_NAME=FAT:FQL_AUDITING_CLIENT_TEMPLATE.FAT&amp;display_string=Audit&amp;VAR:KEY=EDCFUXORCH&amp;VAR:QUERY=RkZfRVBTX0RJTChBTk4sMCwsLFJGKQ==&amp;WINDOW=FIRST_POPUP&amp;HEIGHT=450&amp;WIDTH=450&amp;START_MAXIMI","ZED=FALSE&amp;VAR:CALENDAR=FIVEDAY&amp;VAR:SYMBOL=564156&amp;VAR:INDEX=0"}</definedName>
    <definedName name="_619__FDSAUDITLINK__" hidden="1">{"fdsup://directions/FAT Viewer?action=UPDATE&amp;creator=factset&amp;DYN_ARGS=TRUE&amp;DOC_NAME=FAT:FQL_AUDITING_CLIENT_TEMPLATE.FAT&amp;display_string=Audit&amp;VAR:KEY=QXQRCJGTUH&amp;VAR:QUERY=RkZfRVBTX0RJTChBTk4sLTEsLCxSRik=&amp;WINDOW=FIRST_POPUP&amp;HEIGHT=450&amp;WIDTH=450&amp;START_MAXIMI","ZED=FALSE&amp;VAR:CALENDAR=FIVEDAY&amp;VAR:SYMBOL=564156&amp;VAR:INDEX=0"}</definedName>
    <definedName name="_62__123Graph_ASTD_A" hidden="1">#N/A</definedName>
    <definedName name="_6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20__FDSAUDITLINK__" hidden="1">{"fdsup://directions/FAT Viewer?action=UPDATE&amp;creator=factset&amp;DYN_ARGS=TRUE&amp;DOC_NAME=FAT:FQL_AUDITING_CLIENT_TEMPLATE.FAT&amp;display_string=Audit&amp;VAR:KEY=YXKJSDUVIZ&amp;VAR:QUERY=RkZfRUJJVF9PUEVSKEFOTiwwLCwsUkYp&amp;WINDOW=FIRST_POPUP&amp;HEIGHT=450&amp;WIDTH=450&amp;START_MAXIMI","ZED=FALSE&amp;VAR:CALENDAR=FIVEDAY&amp;VAR:SYMBOL=564156&amp;VAR:INDEX=0"}</definedName>
    <definedName name="_621__FDSAUDITLINK__" hidden="1">{"fdsup://directions/FAT Viewer?action=UPDATE&amp;creator=factset&amp;DYN_ARGS=TRUE&amp;DOC_NAME=FAT:FQL_AUDITING_CLIENT_TEMPLATE.FAT&amp;display_string=Audit&amp;VAR:KEY=UHQVAZIXYN&amp;VAR:QUERY=RkZfRUJJVF9PUEVSKEFOTiwtMSwsLFJGKQ==&amp;WINDOW=FIRST_POPUP&amp;HEIGHT=450&amp;WIDTH=450&amp;START_MA","XIMIZED=FALSE&amp;VAR:CALENDAR=FIVEDAY&amp;VAR:SYMBOL=564156&amp;VAR:INDEX=0"}</definedName>
    <definedName name="_62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62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624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625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62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627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628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629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63__123Graph_B_Chart_1A" hidden="1">#N/A</definedName>
    <definedName name="_63__123Graph_CCHART_1" hidden="1">#REF!</definedName>
    <definedName name="_6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30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631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632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633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634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635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636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637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638__FDSAUDITLINK__" hidden="1">{"fdsup://directions/FAT Viewer?action=UPDATE&amp;creator=factset&amp;DYN_ARGS=TRUE&amp;DOC_NAME=FAT:FQL_AUDITING_CLIENT_TEMPLATE.FAT&amp;display_string=Audit&amp;VAR:KEY=RWNQFETUNC&amp;VAR:QUERY=RkZfRVBTX0RJTChBTk4sMCwsLFJGKQ==&amp;WINDOW=FIRST_POPUP&amp;HEIGHT=450&amp;WIDTH=450&amp;START_MAXIMI","ZED=FALSE&amp;VAR:CALENDAR=FIVEDAY&amp;VAR:SYMBOL=088470&amp;VAR:INDEX=0"}</definedName>
    <definedName name="_639__FDSAUDITLINK__" hidden="1">{"fdsup://directions/FAT Viewer?action=UPDATE&amp;creator=factset&amp;DYN_ARGS=TRUE&amp;DOC_NAME=FAT:FQL_AUDITING_CLIENT_TEMPLATE.FAT&amp;display_string=Audit&amp;VAR:KEY=VKFAPGZIPY&amp;VAR:QUERY=RkZfRVBTX0RJTChBTk4sLTEsLCxSRik=&amp;WINDOW=FIRST_POPUP&amp;HEIGHT=450&amp;WIDTH=450&amp;START_MAXIMI","ZED=FALSE&amp;VAR:CALENDAR=FIVEDAY&amp;VAR:SYMBOL=088470&amp;VAR:INDEX=0"}</definedName>
    <definedName name="_64__123Graph_BCHART_12" hidden="1">#N/A</definedName>
    <definedName name="_64__123Graph_LBL_AC04C_FR_T2" hidden="1">#REF!</definedName>
    <definedName name="_6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40__FDSAUDITLINK__" hidden="1">{"fdsup://directions/FAT Viewer?action=UPDATE&amp;creator=factset&amp;DYN_ARGS=TRUE&amp;DOC_NAME=FAT:FQL_AUDITING_CLIENT_TEMPLATE.FAT&amp;display_string=Audit&amp;VAR:KEY=BMBYPWDMXG&amp;VAR:QUERY=RkZfRUJJVF9PUEVSKEFOTiwwLCwsUkYp&amp;WINDOW=FIRST_POPUP&amp;HEIGHT=450&amp;WIDTH=450&amp;START_MAXIMI","ZED=FALSE&amp;VAR:CALENDAR=FIVEDAY&amp;VAR:SYMBOL=088470&amp;VAR:INDEX=0"}</definedName>
    <definedName name="_641__FDSAUDITLINK__" hidden="1">{"fdsup://directions/FAT Viewer?action=UPDATE&amp;creator=factset&amp;DYN_ARGS=TRUE&amp;DOC_NAME=FAT:FQL_AUDITING_CLIENT_TEMPLATE.FAT&amp;display_string=Audit&amp;VAR:KEY=FANGHMHGXG&amp;VAR:QUERY=RkZfRUJJVF9PUEVSKEFOTiwtMSwsLFJGKQ==&amp;WINDOW=FIRST_POPUP&amp;HEIGHT=450&amp;WIDTH=450&amp;START_MA","XIMIZED=FALSE&amp;VAR:CALENDAR=FIVEDAY&amp;VAR:SYMBOL=088470&amp;VAR:INDEX=0"}</definedName>
    <definedName name="_642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643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644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645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646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647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648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649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65__123Graph_BINVAR_A" hidden="1">#N/A</definedName>
    <definedName name="_6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50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651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652__FDSAUDITLINK__" hidden="1">{"fdsup://directions/FAT Viewer?action=UPDATE&amp;creator=factset&amp;DYN_ARGS=TRUE&amp;DOC_NAME=FAT:FQL_AUDITING_CLIENT_TEMPLATE.FAT&amp;display_string=Audit&amp;VAR:KEY=FKRWBWPYJQ&amp;VAR:QUERY=RkZfSExUSF9GVU5ERURfU1RBVFVTKEFOTiw0MDk1NSwtMTBBWSxXLCxFVVIp&amp;WINDOW=FIRST_POPUP&amp;HEIGH","T=450&amp;WIDTH=450&amp;START_MAXIMIZED=FALSE&amp;VAR:CALENDAR=FIVEDAY&amp;VAR:SYMBOL=572797&amp;VAR:INDEX=520"}</definedName>
    <definedName name="_653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654__FDSAUDITLINK__" hidden="1">{"fdsup://directions/FAT Viewer?action=UPDATE&amp;creator=factset&amp;DYN_ARGS=TRUE&amp;DOC_NAME=FAT:FQL_AUDITING_CLIENT_TEMPLATE.FAT&amp;display_string=Audit&amp;VAR:KEY=VCPYHUXYRQ&amp;VAR:QUERY=RkZfRVBTX0RJTChBTk4sMCwsLFJGKQ==&amp;WINDOW=FIRST_POPUP&amp;HEIGHT=450&amp;WIDTH=450&amp;START_MAXIMI","ZED=FALSE&amp;VAR:CALENDAR=FIVEDAY&amp;VAR:SYMBOL=93114210&amp;VAR:INDEX=0"}</definedName>
    <definedName name="_655__FDSAUDITLINK__" hidden="1">{"fdsup://directions/FAT Viewer?action=UPDATE&amp;creator=factset&amp;DYN_ARGS=TRUE&amp;DOC_NAME=FAT:FQL_AUDITING_CLIENT_TEMPLATE.FAT&amp;display_string=Audit&amp;VAR:KEY=LELYZKPUJA&amp;VAR:QUERY=RkZfRVBTX0RJTChBTk4sLTEsLCxSRik=&amp;WINDOW=FIRST_POPUP&amp;HEIGHT=450&amp;WIDTH=450&amp;START_MAXIMI","ZED=FALSE&amp;VAR:CALENDAR=FIVEDAY&amp;VAR:SYMBOL=93114210&amp;VAR:INDEX=0"}</definedName>
    <definedName name="_656__FDSAUDITLINK__" hidden="1">{"fdsup://directions/FAT Viewer?action=UPDATE&amp;creator=factset&amp;DYN_ARGS=TRUE&amp;DOC_NAME=FAT:FQL_AUDITING_CLIENT_TEMPLATE.FAT&amp;display_string=Audit&amp;VAR:KEY=ZCVIJUHUJK&amp;VAR:QUERY=RkZfRUJJVF9PUEVSKEFOTiwwLCwsUkYp&amp;WINDOW=FIRST_POPUP&amp;HEIGHT=450&amp;WIDTH=450&amp;START_MAXIMI","ZED=FALSE&amp;VAR:CALENDAR=FIVEDAY&amp;VAR:SYMBOL=93114210&amp;VAR:INDEX=0"}</definedName>
    <definedName name="_657__FDSAUDITLINK__" hidden="1">{"fdsup://directions/FAT Viewer?action=UPDATE&amp;creator=factset&amp;DYN_ARGS=TRUE&amp;DOC_NAME=FAT:FQL_AUDITING_CLIENT_TEMPLATE.FAT&amp;display_string=Audit&amp;VAR:KEY=XUZUVGFSFO&amp;VAR:QUERY=RkZfRUJJVF9PUEVSKEFOTiwtMSwsLFJGKQ==&amp;WINDOW=FIRST_POPUP&amp;HEIGHT=450&amp;WIDTH=450&amp;START_MA","XIMIZED=FALSE&amp;VAR:CALENDAR=FIVEDAY&amp;VAR:SYMBOL=93114210&amp;VAR:INDEX=0"}</definedName>
    <definedName name="_658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659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66__123Graph_BSS5_A" hidden="1">#N/A</definedName>
    <definedName name="_6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6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661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662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663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664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665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66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66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66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66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67__123Graph_BSS6_A" hidden="1">#N/A</definedName>
    <definedName name="_6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7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67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67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67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674__FDSAUDITLINK__" hidden="1">{"fdsup://directions/FAT Viewer?action=UPDATE&amp;creator=factset&amp;DYN_ARGS=TRUE&amp;DOC_NAME=FAT:FQL_AUDITING_CLIENT_TEMPLATE.FAT&amp;display_string=Audit&amp;VAR:KEY=NQHABSFYPG&amp;VAR:QUERY=RkZfRVBTX0RJTChBTk4sMCwsLFJGKQ==&amp;WINDOW=FIRST_POPUP&amp;HEIGHT=450&amp;WIDTH=450&amp;START_MAXIMI","ZED=FALSE&amp;VAR:CALENDAR=FIVEDAY&amp;VAR:SYMBOL=564156&amp;VAR:INDEX=0"}</definedName>
    <definedName name="_675__FDSAUDITLINK__" hidden="1">{"fdsup://directions/FAT Viewer?action=UPDATE&amp;creator=factset&amp;DYN_ARGS=TRUE&amp;DOC_NAME=FAT:FQL_AUDITING_CLIENT_TEMPLATE.FAT&amp;display_string=Audit&amp;VAR:KEY=FKFKNCZSDO&amp;VAR:QUERY=RkZfRVBTX0RJTChBTk4sLTEsLCxSRik=&amp;WINDOW=FIRST_POPUP&amp;HEIGHT=450&amp;WIDTH=450&amp;START_MAXIMI","ZED=FALSE&amp;VAR:CALENDAR=FIVEDAY&amp;VAR:SYMBOL=564156&amp;VAR:INDEX=0"}</definedName>
    <definedName name="_676__FDSAUDITLINK__" hidden="1">{"fdsup://directions/FAT Viewer?action=UPDATE&amp;creator=factset&amp;DYN_ARGS=TRUE&amp;DOC_NAME=FAT:FQL_AUDITING_CLIENT_TEMPLATE.FAT&amp;display_string=Audit&amp;VAR:KEY=VGLSPWVGPM&amp;VAR:QUERY=RkZfRUJJVF9PUEVSKEFOTiwwLCwsUkYp&amp;WINDOW=FIRST_POPUP&amp;HEIGHT=450&amp;WIDTH=450&amp;START_MAXIMI","ZED=FALSE&amp;VAR:CALENDAR=FIVEDAY&amp;VAR:SYMBOL=564156&amp;VAR:INDEX=0"}</definedName>
    <definedName name="_677__FDSAUDITLINK__" hidden="1">{"fdsup://directions/FAT Viewer?action=UPDATE&amp;creator=factset&amp;DYN_ARGS=TRUE&amp;DOC_NAME=FAT:FQL_AUDITING_CLIENT_TEMPLATE.FAT&amp;display_string=Audit&amp;VAR:KEY=NCZODYPIBS&amp;VAR:QUERY=RkZfRUJJVF9PUEVSKEFOTiwtMSwsLFJGKQ==&amp;WINDOW=FIRST_POPUP&amp;HEIGHT=450&amp;WIDTH=450&amp;START_MA","XIMIZED=FALSE&amp;VAR:CALENDAR=FIVEDAY&amp;VAR:SYMBOL=564156&amp;VAR:INDEX=0"}</definedName>
    <definedName name="_678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679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68__123Graph_BSS6_B" hidden="1">#N/A</definedName>
    <definedName name="_68__123Graph_XC04C_ALL_T1" hidden="1">#REF!</definedName>
    <definedName name="_6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8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68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682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683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684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68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686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687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68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68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69__123Graph_BSTD_A" hidden="1">#N/A</definedName>
    <definedName name="_69__123Graph_Bｸﾞﾗﾌ_3" hidden="1">#REF!</definedName>
    <definedName name="_6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90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69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692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693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694__FDSAUDITLINK__" hidden="1">{"fdsup://directions/FAT Viewer?action=UPDATE&amp;creator=factset&amp;DYN_ARGS=TRUE&amp;DOC_NAME=FAT:FQL_AUDITING_CLIENT_TEMPLATE.FAT&amp;display_string=Audit&amp;VAR:KEY=ZMHERWHUXQ&amp;VAR:QUERY=RkZfRVBTX0RJTChBTk4sMCwsLFJGKQ==&amp;WINDOW=FIRST_POPUP&amp;HEIGHT=450&amp;WIDTH=450&amp;START_MAXIMI","ZED=FALSE&amp;VAR:CALENDAR=FIVEDAY&amp;VAR:SYMBOL=088470&amp;VAR:INDEX=0"}</definedName>
    <definedName name="_695__FDSAUDITLINK__" hidden="1">{"fdsup://directions/FAT Viewer?action=UPDATE&amp;creator=factset&amp;DYN_ARGS=TRUE&amp;DOC_NAME=FAT:FQL_AUDITING_CLIENT_TEMPLATE.FAT&amp;display_string=Audit&amp;VAR:KEY=LODANYLONW&amp;VAR:QUERY=RkZfRVBTX0RJTChBTk4sLTEsLCxSRik=&amp;WINDOW=FIRST_POPUP&amp;HEIGHT=450&amp;WIDTH=450&amp;START_MAXIMI","ZED=FALSE&amp;VAR:CALENDAR=FIVEDAY&amp;VAR:SYMBOL=088470&amp;VAR:INDEX=0"}</definedName>
    <definedName name="_696__FDSAUDITLINK__" hidden="1">{"fdsup://directions/FAT Viewer?action=UPDATE&amp;creator=factset&amp;DYN_ARGS=TRUE&amp;DOC_NAME=FAT:FQL_AUDITING_CLIENT_TEMPLATE.FAT&amp;display_string=Audit&amp;VAR:KEY=BOLEFSDQDY&amp;VAR:QUERY=RkZfRUJJVF9PUEVSKEFOTiwwLCwsUkYp&amp;WINDOW=FIRST_POPUP&amp;HEIGHT=450&amp;WIDTH=450&amp;START_MAXIMI","ZED=FALSE&amp;VAR:CALENDAR=FIVEDAY&amp;VAR:SYMBOL=088470&amp;VAR:INDEX=0"}</definedName>
    <definedName name="_697__FDSAUDITLINK__" hidden="1">{"fdsup://directions/FAT Viewer?action=UPDATE&amp;creator=factset&amp;DYN_ARGS=TRUE&amp;DOC_NAME=FAT:FQL_AUDITING_CLIENT_TEMPLATE.FAT&amp;display_string=Audit&amp;VAR:KEY=DIVIFWJURE&amp;VAR:QUERY=RkZfRUJJVF9PUEVSKEFOTiwtMSwsLFJGKQ==&amp;WINDOW=FIRST_POPUP&amp;HEIGHT=450&amp;WIDTH=450&amp;START_MA","XIMIZED=FALSE&amp;VAR:CALENDAR=FIVEDAY&amp;VAR:SYMBOL=088470&amp;VAR:INDEX=0"}</definedName>
    <definedName name="_698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699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6ALA642C761" hidden="1">#N/A</definedName>
    <definedName name="_7__123Graph_ACHART_1" hidden="1">#REF!</definedName>
    <definedName name="_7__123Graph_ACHART_5" hidden="1">#REF!</definedName>
    <definedName name="_7__123Graph_AUNIT_BY_OEM" hidden="1">#REF!</definedName>
    <definedName name="_7__123Graph_BCHART_3" hidden="1">#REF!</definedName>
    <definedName name="_7__123Graph_BCHART_4" hidden="1">#REF!</definedName>
    <definedName name="_7__123Graph_CChart_1A" hidden="1">#REF!</definedName>
    <definedName name="_7__123Graph_DCHART_1" hidden="1">#REF!</definedName>
    <definedName name="_7__123Graph_XCHART_1" hidden="1">#REF!</definedName>
    <definedName name="_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7_123Grap" hidden="1">#REF!</definedName>
    <definedName name="_70__123Graph_Bｸﾞﾗﾌ_4" hidden="1">#REF!</definedName>
    <definedName name="_70__123Graph_C_Chart_1A" hidden="1">#N/A</definedName>
    <definedName name="_70__123Graph_CCHART_3" hidden="1">#REF!</definedName>
    <definedName name="_7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00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70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702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703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704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705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706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707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708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709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71__123Graph_CCHART_10" hidden="1">#N/A</definedName>
    <definedName name="_7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10__FDSAUDITLINK__" hidden="1">{"fdsup://directions/FAT Viewer?action=UPDATE&amp;creator=factset&amp;DYN_ARGS=TRUE&amp;DOC_NAME=FAT:FQL_AUDITING_CLIENT_TEMPLATE.FAT&amp;display_string=Audit&amp;VAR:KEY=ZQXCDWFSBC&amp;VAR:QUERY=RkZfRVBTX0RJTChBTk4sMCwsLFJGKQ==&amp;WINDOW=FIRST_POPUP&amp;HEIGHT=450&amp;WIDTH=450&amp;START_MAXIMI","ZED=FALSE&amp;VAR:CALENDAR=FIVEDAY&amp;VAR:SYMBOL=93114210&amp;VAR:INDEX=0"}</definedName>
    <definedName name="_711__FDSAUDITLINK__" hidden="1">{"fdsup://directions/FAT Viewer?action=UPDATE&amp;creator=factset&amp;DYN_ARGS=TRUE&amp;DOC_NAME=FAT:FQL_AUDITING_CLIENT_TEMPLATE.FAT&amp;display_string=Audit&amp;VAR:KEY=VODOVGPMZU&amp;VAR:QUERY=RkZfRVBTX0RJTChBTk4sLTEsLCxSRik=&amp;WINDOW=FIRST_POPUP&amp;HEIGHT=450&amp;WIDTH=450&amp;START_MAXIMI","ZED=FALSE&amp;VAR:CALENDAR=FIVEDAY&amp;VAR:SYMBOL=93114210&amp;VAR:INDEX=0"}</definedName>
    <definedName name="_712__FDSAUDITLINK__" hidden="1">{"fdsup://directions/FAT Viewer?action=UPDATE&amp;creator=factset&amp;DYN_ARGS=TRUE&amp;DOC_NAME=FAT:FQL_AUDITING_CLIENT_TEMPLATE.FAT&amp;display_string=Audit&amp;VAR:KEY=RIBQDEFMBU&amp;VAR:QUERY=RkZfRUJJVF9PUEVSKEFOTiwwLCwsUkYp&amp;WINDOW=FIRST_POPUP&amp;HEIGHT=450&amp;WIDTH=450&amp;START_MAXIMI","ZED=FALSE&amp;VAR:CALENDAR=FIVEDAY&amp;VAR:SYMBOL=93114210&amp;VAR:INDEX=0"}</definedName>
    <definedName name="_713__FDSAUDITLINK__" hidden="1">{"fdsup://directions/FAT Viewer?action=UPDATE&amp;creator=factset&amp;DYN_ARGS=TRUE&amp;DOC_NAME=FAT:FQL_AUDITING_CLIENT_TEMPLATE.FAT&amp;display_string=Audit&amp;VAR:KEY=RMFOJSFSJW&amp;VAR:QUERY=RkZfRUJJVF9PUEVSKEFOTiwtMSwsLFJGKQ==&amp;WINDOW=FIRST_POPUP&amp;HEIGHT=450&amp;WIDTH=450&amp;START_MA","XIMIZED=FALSE&amp;VAR:CALENDAR=FIVEDAY&amp;VAR:SYMBOL=93114210&amp;VAR:INDEX=0"}</definedName>
    <definedName name="_714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715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716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717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718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719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72__123Graph_CCHART_11" hidden="1">#N/A</definedName>
    <definedName name="_72__123Graph_XC04C_ALL_T2" hidden="1">#REF!</definedName>
    <definedName name="_7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20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721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722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723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724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725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726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727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728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729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73__123Graph_CCHART_12" hidden="1">#N/A</definedName>
    <definedName name="_7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30__FDSAUDITLINK__" hidden="1">{"fdsup://directions/FAT Viewer?action=UPDATE&amp;creator=factset&amp;DYN_ARGS=TRUE&amp;DOC_NAME=FAT:FQL_AUDITING_CLIENT_TEMPLATE.FAT&amp;display_string=Audit&amp;VAR:KEY=XSXMRQRWBW&amp;VAR:QUERY=RkZfRVBTX0RJTChBTk4sMCwsLFJGKQ==&amp;WINDOW=FIRST_POPUP&amp;HEIGHT=450&amp;WIDTH=450&amp;START_MAXIMI","ZED=FALSE&amp;VAR:CALENDAR=FIVEDAY&amp;VAR:SYMBOL=564156&amp;VAR:INDEX=0"}</definedName>
    <definedName name="_731__FDSAUDITLINK__" hidden="1">{"fdsup://directions/FAT Viewer?action=UPDATE&amp;creator=factset&amp;DYN_ARGS=TRUE&amp;DOC_NAME=FAT:FQL_AUDITING_CLIENT_TEMPLATE.FAT&amp;display_string=Audit&amp;VAR:KEY=HYNAJCPEDQ&amp;VAR:QUERY=RkZfRVBTX0RJTChBTk4sLTEsLCxSRik=&amp;WINDOW=FIRST_POPUP&amp;HEIGHT=450&amp;WIDTH=450&amp;START_MAXIMI","ZED=FALSE&amp;VAR:CALENDAR=FIVEDAY&amp;VAR:SYMBOL=564156&amp;VAR:INDEX=0"}</definedName>
    <definedName name="_732__FDSAUDITLINK__" hidden="1">{"fdsup://directions/FAT Viewer?action=UPDATE&amp;creator=factset&amp;DYN_ARGS=TRUE&amp;DOC_NAME=FAT:FQL_AUDITING_CLIENT_TEMPLATE.FAT&amp;display_string=Audit&amp;VAR:KEY=RCJMVUHUVM&amp;VAR:QUERY=RkZfRUJJVF9PUEVSKEFOTiwwLCwsUkYp&amp;WINDOW=FIRST_POPUP&amp;HEIGHT=450&amp;WIDTH=450&amp;START_MAXIMI","ZED=FALSE&amp;VAR:CALENDAR=FIVEDAY&amp;VAR:SYMBOL=564156&amp;VAR:INDEX=0"}</definedName>
    <definedName name="_733__FDSAUDITLINK__" hidden="1">{"fdsup://directions/FAT Viewer?action=UPDATE&amp;creator=factset&amp;DYN_ARGS=TRUE&amp;DOC_NAME=FAT:FQL_AUDITING_CLIENT_TEMPLATE.FAT&amp;display_string=Audit&amp;VAR:KEY=XKFAPUBGZI&amp;VAR:QUERY=RkZfRUJJVF9PUEVSKEFOTiwtMSwsLFJGKQ==&amp;WINDOW=FIRST_POPUP&amp;HEIGHT=450&amp;WIDTH=450&amp;START_MA","XIMIZED=FALSE&amp;VAR:CALENDAR=FIVEDAY&amp;VAR:SYMBOL=564156&amp;VAR:INDEX=0"}</definedName>
    <definedName name="_734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735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736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737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73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739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74__123Graph_CCHART_13" hidden="1">#N/A</definedName>
    <definedName name="_74__123Graph_Cｸﾞﾗﾌ_1" hidden="1">#REF!</definedName>
    <definedName name="_7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40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741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742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743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744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745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746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747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748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749__FDSAUDITLINK__" hidden="1">{"fdsup://directions/FAT Viewer?action=UPDATE&amp;creator=factset&amp;DYN_ARGS=TRUE&amp;DOC_NAME=FAT:FQL_AUDITING_CLIENT_TEMPLATE.FAT&amp;display_string=Audit&amp;VAR:KEY=BOLEFSDQDY&amp;VAR:QUERY=RkZfRUJJVF9PUEVSKEFOTiwwLCwsUkYp&amp;WINDOW=FIRST_POPUP&amp;HEIGHT=450&amp;WIDTH=450&amp;START_MAXIMI","ZED=FALSE&amp;VAR:CALENDAR=FIVEDAY&amp;VAR:SYMBOL=088470&amp;VAR:INDEX=0"}</definedName>
    <definedName name="_75__123Graph_CCHART_14" hidden="1">#N/A</definedName>
    <definedName name="_7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50__FDSAUDITLINK__" hidden="1">{"fdsup://directions/FAT Viewer?action=UPDATE&amp;creator=factset&amp;DYN_ARGS=TRUE&amp;DOC_NAME=FAT:FQL_AUDITING_CLIENT_TEMPLATE.FAT&amp;display_string=Audit&amp;VAR:KEY=ZMHERWHUXQ&amp;VAR:QUERY=RkZfRVBTX0RJTChBTk4sMCwsLFJGKQ==&amp;WINDOW=FIRST_POPUP&amp;HEIGHT=450&amp;WIDTH=450&amp;START_MAXIMI","ZED=FALSE&amp;VAR:CALENDAR=FIVEDAY&amp;VAR:SYMBOL=088470&amp;VAR:INDEX=0"}</definedName>
    <definedName name="_751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752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753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754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755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756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757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758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759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76__123Graph_CCHART_15" hidden="1">#N/A</definedName>
    <definedName name="_76__123Graph_XC04C_FF_L" hidden="1">#REF!</definedName>
    <definedName name="_7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60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761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762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76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76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765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766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767__FDSAUDITLINK__" hidden="1">{"fdsup://directions/FAT Viewer?action=UPDATE&amp;creator=factset&amp;DYN_ARGS=TRUE&amp;DOC_NAME=FAT:FQL_AUDITING_CLIENT_TEMPLATE.FAT&amp;display_string=Audit&amp;VAR:KEY=DIVIFWJURE&amp;VAR:QUERY=RkZfRUJJVF9PUEVSKEFOTiwtMSwsLFJGKQ==&amp;WINDOW=FIRST_POPUP&amp;HEIGHT=450&amp;WIDTH=450&amp;START_MA","XIMIZED=FALSE&amp;VAR:CALENDAR=FIVEDAY&amp;VAR:SYMBOL=088470&amp;VAR:INDEX=0"}</definedName>
    <definedName name="_768__FDSAUDITLINK__" hidden="1">{"fdsup://directions/FAT Viewer?action=UPDATE&amp;creator=factset&amp;DYN_ARGS=TRUE&amp;DOC_NAME=FAT:FQL_AUDITING_CLIENT_TEMPLATE.FAT&amp;display_string=Audit&amp;VAR:KEY=LODANYLONW&amp;VAR:QUERY=RkZfRVBTX0RJTChBTk4sLTEsLCxSRik=&amp;WINDOW=FIRST_POPUP&amp;HEIGHT=450&amp;WIDTH=450&amp;START_MAXIMI","ZED=FALSE&amp;VAR:CALENDAR=FIVEDAY&amp;VAR:SYMBOL=088470&amp;VAR:INDEX=0"}</definedName>
    <definedName name="_769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77__123Graph_CCHART_16" hidden="1">#N/A</definedName>
    <definedName name="_77__123Graph_CCHART_8" hidden="1">#REF!</definedName>
    <definedName name="_7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70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771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772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773__FDSAUDITLINK__" hidden="1">{"fdsup://directions/FAT Viewer?action=UPDATE&amp;creator=factset&amp;DYN_ARGS=TRUE&amp;DOC_NAME=FAT:FQL_AUDITING_CLIENT_TEMPLATE.FAT&amp;display_string=Audit&amp;VAR:KEY=VODOVGPMZU&amp;VAR:QUERY=RkZfRVBTX0RJTChBTk4sLTEsLCxSRik=&amp;WINDOW=FIRST_POPUP&amp;HEIGHT=450&amp;WIDTH=450&amp;START_MAXIMI","ZED=FALSE&amp;VAR:CALENDAR=FIVEDAY&amp;VAR:SYMBOL=93114210&amp;VAR:INDEX=0"}</definedName>
    <definedName name="_774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775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77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778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78__123Graph_CCHART_17" hidden="1">#N/A</definedName>
    <definedName name="_7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80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781__FDSAUDITLINK__" hidden="1">{"fdsup://directions/FAT Viewer?action=UPDATE&amp;creator=factset&amp;DYN_ARGS=TRUE&amp;DOC_NAME=FAT:FQL_AUDITING_CLIENT_TEMPLATE.FAT&amp;display_string=Audit&amp;VAR:KEY=RMFOJSFSJW&amp;VAR:QUERY=RkZfRUJJVF9PUEVSKEFOTiwtMSwsLFJGKQ==&amp;WINDOW=FIRST_POPUP&amp;HEIGHT=450&amp;WIDTH=450&amp;START_MA","XIMIZED=FALSE&amp;VAR:CALENDAR=FIVEDAY&amp;VAR:SYMBOL=93114210&amp;VAR:INDEX=0"}</definedName>
    <definedName name="_782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783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784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786__FDSAUDITLINK__" hidden="1">{"fdsup://directions/FAT Viewer?action=UPDATE&amp;creator=factset&amp;DYN_ARGS=TRUE&amp;DOC_NAME=FAT:FQL_AUDITING_CLIENT_TEMPLATE.FAT&amp;display_string=Audit&amp;VAR:KEY=RIBQDEFMBU&amp;VAR:QUERY=RkZfRUJJVF9PUEVSKEFOTiwwLCwsUkYp&amp;WINDOW=FIRST_POPUP&amp;HEIGHT=450&amp;WIDTH=450&amp;START_MAXIMI","ZED=FALSE&amp;VAR:CALENDAR=FIVEDAY&amp;VAR:SYMBOL=93114210&amp;VAR:INDEX=0"}</definedName>
    <definedName name="_787__FDSAUDITLINK__" hidden="1">{"fdsup://directions/FAT Viewer?action=UPDATE&amp;creator=factset&amp;DYN_ARGS=TRUE&amp;DOC_NAME=FAT:FQL_AUDITING_CLIENT_TEMPLATE.FAT&amp;display_string=Audit&amp;VAR:KEY=ZQXCDWFSBC&amp;VAR:QUERY=RkZfRVBTX0RJTChBTk4sMCwsLFJGKQ==&amp;WINDOW=FIRST_POPUP&amp;HEIGHT=450&amp;WIDTH=450&amp;START_MAXIMI","ZED=FALSE&amp;VAR:CALENDAR=FIVEDAY&amp;VAR:SYMBOL=93114210&amp;VAR:INDEX=0"}</definedName>
    <definedName name="_788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79__123Graph_CCHART_18" hidden="1">#N/A</definedName>
    <definedName name="_7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90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792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793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795__FDSAUDITLINK__" hidden="1">{"fdsup://directions/FAT Viewer?action=UPDATE&amp;creator=factset&amp;DYN_ARGS=TRUE&amp;DOC_NAME=FAT:FQL_AUDITING_CLIENT_TEMPLATE.FAT&amp;display_string=Audit&amp;VAR:KEY=XKFAPUBGZI&amp;VAR:QUERY=RkZfRUJJVF9PUEVSKEFOTiwtMSwsLFJGKQ==&amp;WINDOW=FIRST_POPUP&amp;HEIGHT=450&amp;WIDTH=450&amp;START_MA","XIMIZED=FALSE&amp;VAR:CALENDAR=FIVEDAY&amp;VAR:SYMBOL=564156&amp;VAR:INDEX=0"}</definedName>
    <definedName name="_79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797__FDSAUDITLINK__" hidden="1">{"fdsup://directions/FAT Viewer?action=UPDATE&amp;creator=factset&amp;DYN_ARGS=TRUE&amp;DOC_NAME=FAT:FQL_AUDITING_CLIENT_TEMPLATE.FAT&amp;display_string=Audit&amp;VAR:KEY=HYNAJCPEDQ&amp;VAR:QUERY=RkZfRVBTX0RJTChBTk4sLTEsLCxSRik=&amp;WINDOW=FIRST_POPUP&amp;HEIGHT=450&amp;WIDTH=450&amp;START_MAXIMI","ZED=FALSE&amp;VAR:CALENDAR=FIVEDAY&amp;VAR:SYMBOL=564156&amp;VAR:INDEX=0"}</definedName>
    <definedName name="_798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799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7ALA642C761" hidden="1">#N/A</definedName>
    <definedName name="_7wrn.²Ä1­Ó¤ë1_Ü20¤H." hidden="1">{#N/A,#N/A,FALSE,"²Ä1­Ó¤ë"}</definedName>
    <definedName name="_8__123Graph_AC04C_ALL_L2" hidden="1">#REF!</definedName>
    <definedName name="_8__123Graph_ACHART_2" hidden="1">#REF!</definedName>
    <definedName name="_8__123Graph_ACHART_3" hidden="1">#REF!</definedName>
    <definedName name="_8__123Graph_AR_M_MARG" hidden="1">#REF!</definedName>
    <definedName name="_8__123Graph_BCAP_PWR_93___95" hidden="1">#REF!</definedName>
    <definedName name="_8__123Graph_BCHART_1" hidden="1">#REF!</definedName>
    <definedName name="_8__123Graph_BCHART_2" hidden="1">#REF!</definedName>
    <definedName name="_8__123Graph_BCHART_4" hidden="1">#REF!</definedName>
    <definedName name="_8__123Graph_BCHART_8" hidden="1">#REF!</definedName>
    <definedName name="_8__123Graph_CChart_2A" hidden="1">#REF!</definedName>
    <definedName name="_8__123Graph_DCHART_2" hidden="1">#REF!</definedName>
    <definedName name="_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_0__123Grap" hidden="1">#REF!</definedName>
    <definedName name="_80__123Graph_CCHART_4" hidden="1">#N/A</definedName>
    <definedName name="_80__123Graph_XC04C_FF_T" hidden="1">#REF!</definedName>
    <definedName name="_8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0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801__FDSAUDITLINK__" hidden="1">{"fdsup://directions/FAT Viewer?action=UPDATE&amp;creator=factset&amp;DYN_ARGS=TRUE&amp;DOC_NAME=FAT:FQL_AUDITING_CLIENT_TEMPLATE.FAT&amp;display_string=Audit&amp;VAR:KEY=RCJMVUHUVM&amp;VAR:QUERY=RkZfRUJJVF9PUEVSKEFOTiwwLCwsUkYp&amp;WINDOW=FIRST_POPUP&amp;HEIGHT=450&amp;WIDTH=450&amp;START_MAXIMI","ZED=FALSE&amp;VAR:CALENDAR=FIVEDAY&amp;VAR:SYMBOL=564156&amp;VAR:INDEX=0"}</definedName>
    <definedName name="_802__FDSAUDITLINK__" hidden="1">{"fdsup://directions/FAT Viewer?action=UPDATE&amp;creator=factset&amp;DYN_ARGS=TRUE&amp;DOC_NAME=FAT:FQL_AUDITING_CLIENT_TEMPLATE.FAT&amp;display_string=Audit&amp;VAR:KEY=XSXMRQRWBW&amp;VAR:QUERY=RkZfRVBTX0RJTChBTk4sMCwsLFJGKQ==&amp;WINDOW=FIRST_POPUP&amp;HEIGHT=450&amp;WIDTH=450&amp;START_MAXIMI","ZED=FALSE&amp;VAR:CALENDAR=FIVEDAY&amp;VAR:SYMBOL=564156&amp;VAR:INDEX=0"}</definedName>
    <definedName name="_803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81__123Graph_CCHART_6" hidden="1">#N/A</definedName>
    <definedName name="_8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19__FDSAUDITLINK__" hidden="1">{"fdsup://Directions/FactSet Auditing Viewer?action=AUDIT_VALUE&amp;DB=129&amp;ID1=35702310&amp;VALUEID=18140&amp;SDATE=2009&amp;PERIODTYPE=ANN_STD&amp;window=popup_no_bar&amp;width=385&amp;height=120&amp;START_MAXIMIZED=FALSE&amp;creator=factset&amp;display_string=Audit"}</definedName>
    <definedName name="_82__123Graph_CCHART_7" hidden="1">#N/A</definedName>
    <definedName name="_82__123Graph_Cｸﾞﾗﾌ_2" hidden="1">#REF!</definedName>
    <definedName name="_8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20__FDSAUDITLINK__" hidden="1">{"fdsup://Directions/FactSet Auditing Viewer?action=AUDIT_VALUE&amp;DB=129&amp;ID1=35702310&amp;VALUEID=18140&amp;SDATE=2008&amp;PERIODTYPE=ANN_STD&amp;window=popup_no_bar&amp;width=385&amp;height=120&amp;START_MAXIMIZED=FALSE&amp;creator=factset&amp;display_string=Audit"}</definedName>
    <definedName name="_821__FDSAUDITLINK__" hidden="1">{"fdsup://Directions/FactSet Auditing Viewer?action=AUDIT_VALUE&amp;DB=129&amp;ID1=35702310&amp;VALUEID=18140&amp;SDATE=2007&amp;PERIODTYPE=ANN_STD&amp;window=popup_no_bar&amp;width=385&amp;height=120&amp;START_MAXIMIZED=FALSE&amp;creator=factset&amp;display_string=Audit"}</definedName>
    <definedName name="_822__FDSAUDITLINK__" hidden="1">{"fdsup://Directions/FactSet Auditing Viewer?action=AUDIT_VALUE&amp;DB=129&amp;ID1=02916P10&amp;VALUEID=18140&amp;SDATE=2009&amp;PERIODTYPE=ANN_STD&amp;window=popup_no_bar&amp;width=385&amp;height=120&amp;START_MAXIMIZED=FALSE&amp;creator=factset&amp;display_string=Audit"}</definedName>
    <definedName name="_823__FDSAUDITLINK__" hidden="1">{"fdsup://Directions/FactSet Auditing Viewer?action=AUDIT_VALUE&amp;DB=129&amp;ID1=02916P10&amp;VALUEID=18140&amp;SDATE=2008&amp;PERIODTYPE=ANN_STD&amp;window=popup_no_bar&amp;width=385&amp;height=120&amp;START_MAXIMIZED=FALSE&amp;creator=factset&amp;display_string=Audit"}</definedName>
    <definedName name="_824__FDSAUDITLINK__" hidden="1">{"fdsup://Directions/FactSet Auditing Viewer?action=AUDIT_VALUE&amp;DB=129&amp;ID1=02916P10&amp;VALUEID=18140&amp;SDATE=2007&amp;PERIODTYPE=ANN_STD&amp;window=popup_no_bar&amp;width=385&amp;height=120&amp;START_MAXIMIZED=FALSE&amp;creator=factset&amp;display_string=Audit"}</definedName>
    <definedName name="_825__FDSAUDITLINK__" hidden="1">{"fdsup://Directions/FactSet Auditing Viewer?action=AUDIT_VALUE&amp;DB=129&amp;ID1=509233&amp;VALUEID=18140&amp;SDATE=2009&amp;PERIODTYPE=ANN_STD&amp;window=popup_no_bar&amp;width=385&amp;height=120&amp;START_MAXIMIZED=FALSE&amp;creator=factset&amp;display_string=Audit"}</definedName>
    <definedName name="_826__FDSAUDITLINK__" hidden="1">{"fdsup://Directions/FactSet Auditing Viewer?action=AUDIT_VALUE&amp;DB=129&amp;ID1=509233&amp;VALUEID=18140&amp;SDATE=2008&amp;PERIODTYPE=ANN_STD&amp;window=popup_no_bar&amp;width=385&amp;height=120&amp;START_MAXIMIZED=FALSE&amp;creator=factset&amp;display_string=Audit"}</definedName>
    <definedName name="_827__FDSAUDITLINK__" hidden="1">{"fdsup://Directions/FactSet Auditing Viewer?action=AUDIT_VALUE&amp;DB=129&amp;ID1=509233&amp;VALUEID=18140&amp;SDATE=2007&amp;PERIODTYPE=ANN_STD&amp;window=popup_no_bar&amp;width=385&amp;height=120&amp;START_MAXIMIZED=FALSE&amp;creator=factset&amp;display_string=Audit"}</definedName>
    <definedName name="_828__FDSAUDITLINK__" hidden="1">{"fdsup://Directions/FactSet Auditing Viewer?action=AUDIT_VALUE&amp;DB=129&amp;ID1=35702310&amp;VALUEID=18813&amp;SDATE=2009&amp;PERIODTYPE=ANN_STD&amp;window=popup_no_bar&amp;width=385&amp;height=120&amp;START_MAXIMIZED=FALSE&amp;creator=factset&amp;display_string=Audit"}</definedName>
    <definedName name="_829__FDSAUDITLINK__" hidden="1">{"fdsup://Directions/FactSet Auditing Viewer?action=AUDIT_VALUE&amp;DB=129&amp;ID1=35702310&amp;VALUEID=18813&amp;SDATE=2008&amp;PERIODTYPE=ANN_STD&amp;window=popup_no_bar&amp;width=385&amp;height=120&amp;START_MAXIMIZED=FALSE&amp;creator=factset&amp;display_string=Audit"}</definedName>
    <definedName name="_83__123Graph_CCHART_8" hidden="1">#N/A</definedName>
    <definedName name="_8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30__FDSAUDITLINK__" hidden="1">{"fdsup://Directions/FactSet Auditing Viewer?action=AUDIT_VALUE&amp;DB=129&amp;ID1=35702310&amp;VALUEID=18813&amp;SDATE=2007&amp;PERIODTYPE=ANN_STD&amp;window=popup_no_bar&amp;width=385&amp;height=120&amp;START_MAXIMIZED=FALSE&amp;creator=factset&amp;display_string=Audit"}</definedName>
    <definedName name="_831__FDSAUDITLINK__" hidden="1">{"fdsup://Directions/FactSet Auditing Viewer?action=AUDIT_VALUE&amp;DB=129&amp;ID1=B19G6L&amp;VALUEID=18813&amp;SDATE=2009&amp;PERIODTYPE=ANN_STD&amp;window=popup_no_bar&amp;width=385&amp;height=120&amp;START_MAXIMIZED=FALSE&amp;creator=factset&amp;display_string=Audit"}</definedName>
    <definedName name="_832__FDSAUDITLINK__" hidden="1">{"fdsup://Directions/FactSet Auditing Viewer?action=AUDIT_VALUE&amp;DB=129&amp;ID1=B19G6L&amp;VALUEID=18813&amp;SDATE=2007&amp;PERIODTYPE=ANN_STD&amp;window=popup_no_bar&amp;width=385&amp;height=120&amp;START_MAXIMIZED=FALSE&amp;creator=factset&amp;display_string=Audit"}</definedName>
    <definedName name="_833__FDSAUDITLINK__" hidden="1">{"fdsup://Directions/FactSet Auditing Viewer?action=AUDIT_VALUE&amp;DB=129&amp;ID1=02916P10&amp;VALUEID=18813&amp;SDATE=2009&amp;PERIODTYPE=ANN_STD&amp;window=popup_no_bar&amp;width=385&amp;height=120&amp;START_MAXIMIZED=FALSE&amp;creator=factset&amp;display_string=Audit"}</definedName>
    <definedName name="_834__FDSAUDITLINK__" hidden="1">{"fdsup://Directions/FactSet Auditing Viewer?action=AUDIT_VALUE&amp;DB=129&amp;ID1=02916P10&amp;VALUEID=18813&amp;SDATE=2008&amp;PERIODTYPE=ANN_STD&amp;window=popup_no_bar&amp;width=385&amp;height=120&amp;START_MAXIMIZED=FALSE&amp;creator=factset&amp;display_string=Audit"}</definedName>
    <definedName name="_835__FDSAUDITLINK__" hidden="1">{"fdsup://Directions/FactSet Auditing Viewer?action=AUDIT_VALUE&amp;DB=129&amp;ID1=02916P10&amp;VALUEID=18813&amp;SDATE=2007&amp;PERIODTYPE=ANN_STD&amp;window=popup_no_bar&amp;width=385&amp;height=120&amp;START_MAXIMIZED=FALSE&amp;creator=factset&amp;display_string=Audit"}</definedName>
    <definedName name="_836__FDSAUDITLINK__" hidden="1">{"fdsup://Directions/FactSet Auditing Viewer?action=AUDIT_VALUE&amp;DB=129&amp;ID1=509233&amp;VALUEID=18813&amp;SDATE=2009&amp;PERIODTYPE=ANN_STD&amp;window=popup_no_bar&amp;width=385&amp;height=120&amp;START_MAXIMIZED=FALSE&amp;creator=factset&amp;display_string=Audit"}</definedName>
    <definedName name="_837__FDSAUDITLINK__" hidden="1">{"fdsup://Directions/FactSet Auditing Viewer?action=AUDIT_VALUE&amp;DB=129&amp;ID1=509233&amp;VALUEID=18813&amp;SDATE=2008&amp;PERIODTYPE=ANN_STD&amp;window=popup_no_bar&amp;width=385&amp;height=120&amp;START_MAXIMIZED=FALSE&amp;creator=factset&amp;display_string=Audit"}</definedName>
    <definedName name="_838__FDSAUDITLINK__" hidden="1">{"fdsup://Directions/FactSet Auditing Viewer?action=AUDIT_VALUE&amp;DB=129&amp;ID1=509233&amp;VALUEID=18813&amp;SDATE=2007&amp;PERIODTYPE=ANN_STD&amp;window=popup_no_bar&amp;width=385&amp;height=120&amp;START_MAXIMIZED=FALSE&amp;creator=factset&amp;display_string=Audit"}</definedName>
    <definedName name="_839__FDSAUDITLINK__" hidden="1">{"fdsup://Directions/FactSet Auditing Viewer?action=AUDIT_VALUE&amp;DB=129&amp;ID1=35702310&amp;VALUEID=18352&amp;SDATE=2009&amp;PERIODTYPE=ANN_STD&amp;window=popup_no_bar&amp;width=385&amp;height=120&amp;START_MAXIMIZED=FALSE&amp;creator=factset&amp;display_string=Audit"}</definedName>
    <definedName name="_84__123Graph_CCHART_9" hidden="1">#N/A</definedName>
    <definedName name="_84__123Graph_DCHART_1" hidden="1">#REF!</definedName>
    <definedName name="_84__123Graph_XC04C_FR_L1" hidden="1">#REF!</definedName>
    <definedName name="_8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40__FDSAUDITLINK__" hidden="1">{"fdsup://Directions/FactSet Auditing Viewer?action=AUDIT_VALUE&amp;DB=129&amp;ID1=35702310&amp;VALUEID=18352&amp;SDATE=2008&amp;PERIODTYPE=ANN_STD&amp;window=popup_no_bar&amp;width=385&amp;height=120&amp;START_MAXIMIZED=FALSE&amp;creator=factset&amp;display_string=Audit"}</definedName>
    <definedName name="_841__FDSAUDITLINK__" hidden="1">{"fdsup://Directions/FactSet Auditing Viewer?action=AUDIT_VALUE&amp;DB=129&amp;ID1=35702310&amp;VALUEID=18352&amp;SDATE=2007&amp;PERIODTYPE=ANN_STD&amp;window=popup_no_bar&amp;width=385&amp;height=120&amp;START_MAXIMIZED=FALSE&amp;creator=factset&amp;display_string=Audit"}</definedName>
    <definedName name="_842__FDSAUDITLINK__" hidden="1">{"fdsup://Directions/FactSet Auditing Viewer?action=AUDIT_VALUE&amp;DB=129&amp;ID1=B19G6L&amp;VALUEID=18352&amp;SDATE=2009&amp;PERIODTYPE=ANN_STD&amp;window=popup_no_bar&amp;width=385&amp;height=120&amp;START_MAXIMIZED=FALSE&amp;creator=factset&amp;display_string=Audit"}</definedName>
    <definedName name="_843__FDSAUDITLINK__" hidden="1">{"fdsup://Directions/FactSet Auditing Viewer?action=AUDIT_VALUE&amp;DB=129&amp;ID1=B19G6L&amp;VALUEID=18352&amp;SDATE=2007&amp;PERIODTYPE=ANN_STD&amp;window=popup_no_bar&amp;width=385&amp;height=120&amp;START_MAXIMIZED=FALSE&amp;creator=factset&amp;display_string=Audit"}</definedName>
    <definedName name="_844__FDSAUDITLINK__" hidden="1">{"fdsup://Directions/FactSet Auditing Viewer?action=AUDIT_VALUE&amp;DB=129&amp;ID1=02916P10&amp;VALUEID=18352&amp;SDATE=2009&amp;PERIODTYPE=ANN_STD&amp;window=popup_no_bar&amp;width=385&amp;height=120&amp;START_MAXIMIZED=FALSE&amp;creator=factset&amp;display_string=Audit"}</definedName>
    <definedName name="_845__FDSAUDITLINK__" hidden="1">{"fdsup://Directions/FactSet Auditing Viewer?action=AUDIT_VALUE&amp;DB=129&amp;ID1=02916P10&amp;VALUEID=18352&amp;SDATE=2008&amp;PERIODTYPE=ANN_STD&amp;window=popup_no_bar&amp;width=385&amp;height=120&amp;START_MAXIMIZED=FALSE&amp;creator=factset&amp;display_string=Audit"}</definedName>
    <definedName name="_846__FDSAUDITLINK__" hidden="1">{"fdsup://Directions/FactSet Auditing Viewer?action=AUDIT_VALUE&amp;DB=129&amp;ID1=02916P10&amp;VALUEID=18352&amp;SDATE=2007&amp;PERIODTYPE=ANN_STD&amp;window=popup_no_bar&amp;width=385&amp;height=120&amp;START_MAXIMIZED=FALSE&amp;creator=factset&amp;display_string=Audit"}</definedName>
    <definedName name="_847__FDSAUDITLINK__" hidden="1">{"fdsup://Directions/FactSet Auditing Viewer?action=AUDIT_VALUE&amp;DB=129&amp;ID1=509233&amp;VALUEID=18352&amp;SDATE=2009&amp;PERIODTYPE=ANN_STD&amp;window=popup_no_bar&amp;width=385&amp;height=120&amp;START_MAXIMIZED=FALSE&amp;creator=factset&amp;display_string=Audit"}</definedName>
    <definedName name="_848__FDSAUDITLINK__" hidden="1">{"fdsup://Directions/FactSet Auditing Viewer?action=AUDIT_VALUE&amp;DB=129&amp;ID1=509233&amp;VALUEID=18352&amp;SDATE=2008&amp;PERIODTYPE=ANN_STD&amp;window=popup_no_bar&amp;width=385&amp;height=120&amp;START_MAXIMIZED=FALSE&amp;creator=factset&amp;display_string=Audit"}</definedName>
    <definedName name="_849__FDSAUDITLINK__" hidden="1">{"fdsup://Directions/FactSet Auditing Viewer?action=AUDIT_VALUE&amp;DB=129&amp;ID1=509233&amp;VALUEID=18352&amp;SDATE=2007&amp;PERIODTYPE=ANN_STD&amp;window=popup_no_bar&amp;width=385&amp;height=120&amp;START_MAXIMIZED=FALSE&amp;creator=factset&amp;display_string=Audit"}</definedName>
    <definedName name="_85__123Graph_CINVAR_A" hidden="1">#N/A</definedName>
    <definedName name="_8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6__123Graph_CSS5_A" hidden="1">#N/A</definedName>
    <definedName name="_86__123Graph_Cｸﾞﾗﾌ_3" hidden="1">#REF!</definedName>
    <definedName name="_8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7__123Graph_CSS6_A" hidden="1">#N/A</definedName>
    <definedName name="_8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8__123Graph_CSS6_B" hidden="1">#N/A</definedName>
    <definedName name="_88__123Graph_XC04C_FR_L2" hidden="1">#REF!</definedName>
    <definedName name="_8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9__123Graph_CSS7_A" hidden="1">#N/A</definedName>
    <definedName name="_8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ALA642C761" hidden="1">#N/A</definedName>
    <definedName name="_9__123Graph_ACHART_1" hidden="1">#REF!</definedName>
    <definedName name="_9__123Graph_BCAPITAL_ALL" hidden="1">#REF!</definedName>
    <definedName name="_9__123Graph_BCHART_3" hidden="1">#REF!</definedName>
    <definedName name="_9__123Graph_CCHART_1" hidden="1">#REF!</definedName>
    <definedName name="_9__123Graph_CCHART_2" hidden="1">#REF!</definedName>
    <definedName name="_9__123Graph_DCHART_1" hidden="1">#REF!</definedName>
    <definedName name="_9__123Graph_LBL_ACHART_1" hidden="1">#REF!</definedName>
    <definedName name="_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_0__123Grap" hidden="1">#REF!</definedName>
    <definedName name="_90__123Graph_Cｸﾞﾗﾌ_4" hidden="1">#REF!</definedName>
    <definedName name="_90__123Graph_D_Chart_1A" hidden="1">#N/A</definedName>
    <definedName name="_9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1__123Graph_DCHART_10" hidden="1">#N/A</definedName>
    <definedName name="_91__123Graph_DCHART_8" hidden="1">#REF!</definedName>
    <definedName name="_9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2__123Graph_DCHART_11" hidden="1">#N/A</definedName>
    <definedName name="_92__123Graph_XC04C_FR_T1" hidden="1">#REF!</definedName>
    <definedName name="_9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3__123Graph_DCHART_12" hidden="1">#N/A</definedName>
    <definedName name="_9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4__123Graph_DCHART_13" hidden="1">#N/A</definedName>
    <definedName name="_94__123Graph_Dｸﾞﾗﾌ_1" hidden="1">#REF!</definedName>
    <definedName name="_9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5__123Graph_DCHART_14" hidden="1">#N/A</definedName>
    <definedName name="_9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6__123Graph_DCHART_15" hidden="1">#N/A</definedName>
    <definedName name="_96__123Graph_XC04C_FR_T2" hidden="1">#REF!</definedName>
    <definedName name="_9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6__0_S" hidden="1">#REF!</definedName>
    <definedName name="_97__123Graph_DCHART_16" hidden="1">#N/A</definedName>
    <definedName name="_9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8__123Graph_DCHART_17" hidden="1">#N/A</definedName>
    <definedName name="_98__123Graph_LBL_ACHART_3" hidden="1">#REF!</definedName>
    <definedName name="_9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9__123Graph_DCHART_18" hidden="1">#N/A</definedName>
    <definedName name="_9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ALA642C761" hidden="1">#N/A</definedName>
    <definedName name="_9IQ_F_LB_DUE_CY3" hidden="1">"c2083"</definedName>
    <definedName name="_a1" hidden="1">{#N/A,#N/A,FALSE,"Pharm";#N/A,#N/A,FALSE,"WWCM"}</definedName>
    <definedName name="_A11" hidden="1">{#N/A,#N/A,FALSE,"Umsatz 99";#N/A,#N/A,FALSE,"ER 99 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3" hidden="1">{"fleisch",#N/A,FALSE,"WG HK";"food",#N/A,FALSE,"WG HK";"hartwaren",#N/A,FALSE,"WG HK";"weichwaren",#N/A,FALSE,"WG HK"}</definedName>
    <definedName name="_a36" hidden="1">{"Accretion",#N/A,FALSE,"Assum"}</definedName>
    <definedName name="_a37" hidden="1">{#N/A,#N/A,TRUE,"Lines";#N/A,#N/A,TRUE,"Stations";#N/A,#N/A,TRUE,"Cap. Expenses";#N/A,#N/A,TRUE,"Land";#N/A,#N/A,TRUE,"Cen Proces Sys";#N/A,#N/A,TRUE,"telecom";#N/A,#N/A,TRUE,"Other"}</definedName>
    <definedName name="_a38" hidden="1">{"Assumptions",#N/A,FALSE,"Assum"}</definedName>
    <definedName name="_a39" hidden="1">{#N/A,#N/A,FALSE,"CAG"}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0" hidden="1">{#N/A,#N/A,FALSE,"CPB"}</definedName>
    <definedName name="_a41" hidden="1">{#N/A,#N/A,FALSE,"Credit Summary"}</definedName>
    <definedName name="_a42" hidden="1">{"FCB_ALL",#N/A,FALSE,"FCB"}</definedName>
    <definedName name="_a43" hidden="1">{"FCB_ALL",#N/A,FALSE,"FCB"}</definedName>
    <definedName name="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a45" hidden="1">{#N/A,#N/A,FALSE,"GIS"}</definedName>
    <definedName name="_a46" hidden="1">{#N/A,#N/A,TRUE,"Cover His PWC";#N/A,#N/A,TRUE,"P&amp;L";#N/A,#N/A,TRUE,"BS";#N/A,#N/A,TRUE,"Depreciation";#N/A,#N/A,TRUE,"GRAPHS";#N/A,#N/A,TRUE,"DCF EBITDA Multiple";#N/A,#N/A,TRUE,"DCF Perpetual Growth"}</definedName>
    <definedName name="_a47" hidden="1">{#N/A,#N/A,TRUE,"Cover His T";#N/A,#N/A,TRUE,"P&amp;L";#N/A,#N/A,TRUE,"BS";#N/A,#N/A,TRUE,"Depreciation";#N/A,#N/A,TRUE,"GRAPHS";#N/A,#N/A,TRUE,"DCF EBITDA Multiple";#N/A,#N/A,TRUE,"DCF Perpetual Growth"}</definedName>
    <definedName name="_a48" hidden="1">{#N/A,#N/A,FALSE,"HNZ"}</definedName>
    <definedName name="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A5" hidden="1">{"andy_p",#N/A,FALSE,"A";"andy_s",#N/A,FALSE,"A"}</definedName>
    <definedName name="_a50" hidden="1">{#N/A,#N/A,FALSE,"K"}</definedName>
    <definedName name="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a52" hidden="1">{#N/A,#N/A,FALSE,"MCCRK"}</definedName>
    <definedName name="_a53" hidden="1">{#N/A,#N/A,FALSE,"NA"}</definedName>
    <definedName name="_a54" hidden="1">{"cap_structure",#N/A,FALSE,"Graph-Mkt Cap";"price",#N/A,FALSE,"Graph-Price";"ebit",#N/A,FALSE,"Graph-EBITDA";"ebitda",#N/A,FALSE,"Graph-EBITDA"}</definedName>
    <definedName name="_a55" hidden="1">{"Tages_D",#N/A,FALSE,"Tagesbericht";"Tages_PL",#N/A,FALSE,"Tagesbericht"}</definedName>
    <definedName name="_a56" hidden="1">{"summary1",#N/A,TRUE,"Comps";"summary2",#N/A,TRUE,"Comps";"summary3",#N/A,TRUE,"Comps"}</definedName>
    <definedName name="_a57" hidden="1">{"summary1",#N/A,TRUE,"Comps";"summary2",#N/A,TRUE,"Comps";"summary3",#N/A,TRUE,"Comps"}</definedName>
    <definedName name="_a58" hidden="1">{#N/A,"DR",FALSE,"increm pf";#N/A,"MAMSI",FALSE,"increm pf";#N/A,"MAXI",FALSE,"increm pf";#N/A,"PCAM",FALSE,"increm pf";#N/A,"PHSV",FALSE,"increm pf";#N/A,"SIE",FALSE,"increm pf"}</definedName>
    <definedName name="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a61" hidden="1">{#N/A,#N/A,FALSE,"Trading Summary"}</definedName>
    <definedName name="_a6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a63" hidden="1">{#N/A,#N/A,FALSE,"WWY"}</definedName>
    <definedName name="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a66" hidden="1">{"TAG1AGMS",#N/A,FALSE,"TAG 1A"}</definedName>
    <definedName name="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2" hidden="1">{"Tages_D",#N/A,FALSE,"Tagesbericht";"Tages_PL",#N/A,FALSE,"Tagesbericht"}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{#N/A,#N/A,FALSE,"Model";#N/A,#N/A,FALSE,"Division"}</definedName>
    <definedName name="_aaa2" hidden="1">{#N/A,#N/A,FALSE,"ADNAMES.XLS";#N/A,#N/A,FALSE,"EQNAMES.XLS";#N/A,#N/A,FALSE,"INNAMES.XLS";#N/A,#N/A,FALSE,"HYNAMES.XLS";#N/A,#N/A,FALSE,"FIXNAMES.XLS";#N/A,#N/A,FALSE,"MONNAMES.XLS";#N/A,#N/A,FALSE,"TECNAMES.XLS"}</definedName>
    <definedName name="_aas1" hidden="1">{#N/A,#N/A,FALSE,"REPORT"}</definedName>
    <definedName name="_ab098" hidden="1">{#N/A,"PURCHM",FALSE,"Business Analysis";#N/A,"SPADD",FALSE,"Business Analysis"}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bc" hidden="1">#REF!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be1" hidden="1">{"GuVGmbH",#N/A,FALSE,"ratios";"BilanzGmbH",#N/A,FALSE,"ratios";"BilanzKG",#N/A,FALSE,"ratios";"GuVKG",#N/A,FALSE,"ratios"}</definedName>
    <definedName name="_abx111" hidden="1">{"fdsup://directions/FAT Viewer?action=UPDATE&amp;creator=factset&amp;DYN_ARGS=TRUE&amp;DOC_NAME=FAT:FQL_AUDITING_CLIENT_TEMPLATE.FAT&amp;display_string=Audit&amp;VAR:KEY=HCBUTCRKZM&amp;VAR:QUERY=RkZfRUJJVERBKENBTCwyMDA4LCwsLEVVUik=&amp;WINDOW=FIRST_POPUP&amp;HEIGHT=450&amp;WIDTH=450&amp;START_MA","XIMIZED=FALSE&amp;VAR:CALENDAR=FIVEDAY&amp;VAR:SYMBOL=646706&amp;VAR:INDEX=0"}</definedName>
    <definedName name="_ACS2000" hidden="1">{#N/A,#N/A,FALSE,"REPORT"}</definedName>
    <definedName name="_ads2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_ae2" hidden="1">{"'Inventory &amp; Anal-Cur Wkbk'!$A$7:$AP$71"}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LL6434" hidden="1">{"ALLOCATION1",#N/A,FALSE,"EXPENSE ALLOCATIONS";"ALLOCATION2",#N/A,FALSE,"EXPENSE ALLOCATIONS";"ALLOCATION3",#N/A,FALSE,"EXPENSE ALLOCATIONS";"ALLOCATION4",#N/A,FALSE,"EXPENSE ALLOCATIONS"}</definedName>
    <definedName name="_AMO_ContentDefinition_247660852" hidden="1">"'Partitions:51'"</definedName>
    <definedName name="_AMO_ContentDefinition_247660852.1" hidden="1">"'iles\SASHome\x86\SASAddinforMicrosoftOffice\5.1\Styles\AMODefault.css"" range=""SASApp_FECDL_DS_WB_REVENUE_3"" auto=""False"" xTime=""00:00:00.0200000"" rTime=""00:00:09.5300000"" bgnew=""False"" nFmt=""False"" grphSet=""False"" imgY=""0"" imgX=""0""&gt;'"</definedName>
    <definedName name="_AMO_ContentDefinition_247660852.10" hidden="1">"'amp;gt;&amp;amp;lt;RightHandSideNumType&amp;amp;gt;SINGLE&amp;amp;lt;/RightHandSideNumType&amp;amp;gt;&amp;amp;lt;RightHandSideItems&amp;amp;gt;&amp;amp;lt;RHSItem&amp;amp;gt;&amp;amp;lt;RHSType&amp;amp;gt;EXPRESSION&amp;amp;lt;/RHSType&amp;amp;gt;&amp;amp;lt;AddQuotes&amp;amp;gt;True&amp;amp;lt;/AddQuotes&amp;amp'"</definedName>
    <definedName name="_AMO_ContentDefinition_247660852.11" hidden="1">"';gt;&amp;amp;lt;DateFormat&amp;amp;gt;None&amp;amp;lt;/DateFormat&amp;amp;gt;&amp;amp;lt;RightHandSideExpression&amp;amp;gt;Motor Carriers&amp;amp;lt;/RightHandSideExpression&amp;amp;gt;&amp;amp;lt;IsSubquery&amp;amp;gt;False&amp;amp;lt;/IsSubquery&amp;amp;gt;&amp;amp;lt;SubqueryTemplateName /&amp;amp;gt;&amp;'"</definedName>
    <definedName name="_AMO_ContentDefinition_247660852.12" hidden="1">"'amp;lt;/RHSItem&amp;amp;gt;&amp;amp;lt;/RightHandSideItems&amp;amp;gt;&amp;amp;lt;/RightHandSide&amp;amp;gt;&amp;amp;lt;/Node&amp;amp;gt;&amp;amp;lt;/SiblingLink&amp;amp;gt;&amp;amp;lt;Operator&amp;amp;gt;=&amp;amp;lt;/Operator&amp;amp;gt;&amp;amp;lt;UseMacroFunction&amp;amp;gt;False&amp;amp;lt;/UseMacroFunction&amp;a'"</definedName>
    <definedName name="_AMO_ContentDefinition_247660852.13" hidden="1">"'mp;gt;&amp;amp;lt;Not&amp;amp;gt;False&amp;amp;lt;/Not&amp;amp;gt;&amp;amp;lt;Label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/&amp;amp;gt;&amp;amp;lt;RightHandSide&amp;amp;gt;&amp;amp;lt;RightHandSideNumType&amp;amp;gt;SINGLE&amp;amp;lt;/RightHandSideNumType&amp;amp;gt;&amp;amp;lt;RightHandSideItems&amp;amp;gt;&amp;amp;lt;RHSItem&amp;amp;gt;&amp;amp;lt;RHSTy'"</definedName>
    <definedName name="_AMO_ContentDefinition_247660852.14" hidden="1">"'pe&amp;amp;gt;EXPRESSION&amp;amp;lt;/RHSType&amp;amp;gt;&amp;amp;lt;AddQuotes&amp;amp;gt;True&amp;amp;lt;/AddQuotes&amp;amp;gt;&amp;amp;lt;DateFormat&amp;amp;gt;None&amp;amp;lt;/DateFormat&amp;amp;gt;&amp;amp;lt;RightHandSideExpression&amp;amp;gt;Intermodal&amp;amp;lt;/RightHandSideExpression&amp;amp;gt;&amp;amp;l'"</definedName>
    <definedName name="_AMO_ContentDefinition_247660852.15" hidden="1">"'t;IsSubquery&amp;amp;gt;False&amp;amp;lt;/IsSubquery&amp;amp;gt;&amp;amp;lt;SubqueryTemplateName /&amp;amp;gt;&amp;amp;lt;/RHSItem&amp;amp;gt;&amp;amp;lt;/RightHandSideItems&amp;amp;gt;&amp;amp;lt;/RightHandSide&amp;amp;gt;&amp;amp;lt;/Node&amp;amp;gt;&amp;amp;lt;/SiblingLink&amp;amp;gt;&amp;amp;lt;Operator&amp;amp;gt'"</definedName>
    <definedName name="_AMO_ContentDefinition_247660852.16" hidden="1">"';=&amp;amp;lt;/Operator&amp;amp;gt;&amp;amp;lt;UseMacroFunction&amp;amp;gt;False&amp;amp;lt;/UseMacroFunction&amp;amp;gt;&amp;amp;lt;Not&amp;amp;gt;False&amp;amp;lt;/Not&amp;amp;gt;&amp;amp;lt;Label /&amp;amp;gt;&amp;amp;lt;RightHandSide&amp;amp;gt;&amp;amp;lt;RightHandSideNumType&amp;amp;gt;SINGLE&amp;amp;lt;/RightHa'"</definedName>
    <definedName name="_AMO_ContentDefinition_247660852.17" hidden="1">"'ndSideNumType&amp;amp;gt;&amp;amp;lt;RightHandSideItems&amp;amp;gt;&amp;amp;lt;RHSItem&amp;amp;gt;&amp;amp;lt;RHSType&amp;amp;gt;EXPRESSION&amp;amp;lt;/RHSType&amp;amp;gt;&amp;amp;lt;AddQuotes&amp;amp;gt;True&amp;amp;lt;/AddQuotes&amp;amp;gt;&amp;amp;lt;DateFormat&amp;amp;gt;None&amp;amp;lt;/DateFormat&amp;amp;gt;&amp;amp'"</definedName>
    <definedName name="_AMO_ContentDefinition_247660852.18" hidden="1">"';lt;RightHandSideExpression&amp;amp;gt;2015&amp;amp;lt;/RightHandSideExpression&amp;amp;gt;&amp;amp;lt;IsSubquery&amp;amp;gt;False&amp;amp;lt;/IsSubquery&amp;amp;gt;&amp;amp;lt;SubqueryTemplateName /&amp;amp;gt;&amp;amp;lt;/RHSItem&amp;amp;gt;&amp;amp;lt;/RightHandSideItems&amp;amp;gt;&amp;amp;lt;/RightHan'"</definedName>
    <definedName name="_AMO_ContentDefinition_247660852.2" hidden="1">"'_x000D_
  &lt;files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/&gt;_x000D_'"</definedName>
    <definedName name="_AMO_ContentDefinition_247660852.3" hidden="1">"'
  &lt;param n=""DataSource"" v=""&amp;lt;SasDataSource Version=&amp;quot;4.2&amp;quot; Type=&amp;quot;SAS.Servers.Dataset&amp;quot; Svr=&amp;quot;SASApp&amp;quot; Lib=&amp;quot;FECDL&amp;quot; Filter=&amp;quot;Year = '2015' AND TransportMethod = 'Intermodal' AND BusinessSegment = 'Motor Carri'"</definedName>
    <definedName name="_AMO_ContentDefinition_247660852.4" hidden="1">"'ers'&amp;quot; FilterDS=&amp;quot;&amp;amp;lt;?xml version=&amp;amp;quot;1.0&amp;amp;quot; encoding=&amp;amp;quot;utf-16&amp;amp;quot;?&amp;amp;gt;&amp;amp;lt;FilterTree&amp;amp;gt;&amp;amp;lt;TreeRoot&amp;amp;gt;&amp;amp;lt;ID&amp;amp;gt;2194bfad-931f-4366-83c4-0dff9e587708&amp;amp;lt;/ID&amp;amp;gt;&amp;amp;lt;Filte'"</definedName>
    <definedName name="_AMO_ContentDefinition_247660852.49" hidden="1">"'ieldsList"" v=""Sum of Units,Sum of LineHaul"" /&gt;_x000D_
  &lt;param n=""ClassName"" v=""SAS.OfficeAddin.PivotTable"" /&gt;_x000D_
  &lt;param n=""NamedRange"" v=""_AMO_SingleObject_247660852_PivotTable_247660852"" /&gt;_x000D_
  &lt;ExcelXMLOptions AdjColWidths=""True"" RowOpt=""In'"</definedName>
    <definedName name="_AMO_ContentDefinition_247660852.5" hidden="1">"'rType&amp;amp;gt;COLUMN&amp;amp;lt;/FilterType&amp;amp;gt;&amp;amp;lt;TableID /&amp;amp;gt;&amp;amp;lt;ColumnName&amp;amp;gt;Year&amp;amp;lt;/ColumnName&amp;amp;gt;&amp;amp;lt;ColumnType&amp;amp;gt;Character&amp;amp;lt;/ColumnType&amp;amp;gt;&amp;amp;lt;GroupLevel /&amp;amp;gt;&amp;amp;lt;SiblingLink&amp;amp;gt;&amp;amp;l'"</definedName>
    <definedName name="_AMO_ContentDefinition_247660852.50" hidden="1">"'sertEntire"" ColOpt=""InsertCells"" /&gt;_x000D_
&lt;/ContentDefinition&gt;'"</definedName>
    <definedName name="_AMO_ContentDefinition_247660852.6" hidden="1">"'t;LinkType&amp;amp;gt;AND&amp;amp;lt;/LinkType&amp;amp;gt;&amp;amp;lt;Node&amp;amp;gt;&amp;amp;lt;ID&amp;amp;gt;3c3c60b5-ce3c-4a6c-b0f5-eb8d5a33fe77&amp;amp;lt;/ID&amp;amp;gt;&amp;amp;lt;FilterType&amp;amp;gt;COLUMN&amp;amp;lt;/FilterType&amp;amp;gt;&amp;amp;lt;TableID /&amp;amp;gt;&amp;amp;lt;ColumnName&amp;amp;gt;Tr'"</definedName>
    <definedName name="_AMO_ContentDefinition_247660852.7" hidden="1">"'ansportMethod&amp;amp;lt;/ColumnName&amp;amp;gt;&amp;amp;lt;ColumnType&amp;amp;gt;Character&amp;amp;lt;/ColumnType&amp;amp;gt;&amp;amp;lt;GroupLevel /&amp;amp;gt;&amp;amp;lt;SiblingLink&amp;amp;gt;&amp;amp;lt;LinkType&amp;amp;gt;AND&amp;amp;lt;/LinkType&amp;amp;gt;&amp;amp;lt;Node&amp;amp;gt;&amp;amp;lt;ID&amp;amp;gt;e422'"</definedName>
    <definedName name="_AMO_ContentDefinition_247660852.8" hidden="1">"'ad42-6ae1-4401-9092-e4e90cdbc6e4&amp;amp;lt;/ID&amp;amp;gt;&amp;amp;lt;FilterType&amp;amp;gt;COLUMN&amp;amp;lt;/FilterType&amp;amp;gt;&amp;amp;lt;TableID /&amp;amp;gt;&amp;amp;lt;ColumnName&amp;amp;gt;BusinessSegment&amp;amp;lt;/ColumnName&amp;amp;gt;&amp;amp;lt;ColumnType&amp;amp;gt;Character&amp;amp;lt;/Colu'"</definedName>
    <definedName name="_AMO_ContentDefinition_247660852.9" hidden="1">"'mnType&amp;amp;gt;&amp;amp;lt;GroupLevel /&amp;amp;gt;&amp;amp;lt;Operator&amp;amp;gt;=&amp;amp;lt;/Operator&amp;amp;gt;&amp;amp;lt;UseMacroFunction&amp;amp;gt;False&amp;amp;lt;/UseMacroFunction&amp;amp;gt;&amp;amp;lt;Not&amp;amp;gt;False&amp;amp;lt;/Not&amp;amp;gt;&amp;amp;lt;Label /&amp;amp;gt;&amp;amp;lt;RightHandSide&amp;'"</definedName>
    <definedName name="_AMO_ContentDefinition_682937942" hidden="1">"'Partitions:13'"</definedName>
    <definedName name="_AMO_ContentDefinition_682937942.1" hidden="1">"'iles\SASHome\x86\SASAddinforMicrosoftOffice\5.1\Styles\AMODefault.css"" range=""SASApp_FECDL_DS_WB_REVENUE_2"" auto=""False"" xTime=""00:00:00"" rTime=""00:00:57.0700000"" bgnew=""False"" nFmt=""False"" grphSet=""False"" imgY=""0"" imgX=""0""&gt;_x000D_
  &lt;fil'"</definedName>
    <definedName name="_AMO_ContentDefinition_682937942.11" hidden="1">"'sDataSource&amp;gt;"" /&gt;_x000D_
  &lt;param n=""ServerName"" v=""SASApp"" /&gt;_x000D_
  &lt;param n=""SASFilter"" v=""Year = '2015'"" /&gt;_x000D_
  &lt;param n=""DataFieldsList"" v=""Sum of Units,Sum of LineHaul"" /&gt;_x000D_
  &lt;param n=""ClassName"" v=""SAS.OfficeAddin.PivotTable"" /&gt;_x000D_
  &lt;p'"</definedName>
    <definedName name="_AMO_ContentDefinition_682937942.12" hidden="1">"'aram n=""NamedRange"" v=""_AMO_SingleObject_682937942_PivotTable_682937942"" /&gt;_x000D_
  &lt;ExcelXMLOptions AdjColWidths=""True"" RowOpt=""InsertEntire"" ColOpt=""InsertCells"" /&gt;_x000D_
&lt;/ContentDefinition&gt;'"</definedName>
    <definedName name="_AMO_ContentDefinition_682937942.2" hidden="1">"'es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
  &lt;par'"</definedName>
    <definedName name="_AMO_ContentDefinition_682937942.3" hidden="1">"'am n=""DataSource"" v=""&amp;lt;SasDataSource Version=&amp;quot;4.2&amp;quot; Type=&amp;quot;SAS.Servers.Dataset&amp;quot; Svr=&amp;quot;SASApp&amp;quot; Lib=&amp;quot;FECDL&amp;quot; Filter=&amp;quot;Year = '2015'&amp;quot; FilterDS=&amp;quot;&amp;amp;lt;?xml version=&amp;amp;quot;1.0&amp;amp;quot; encoding=&amp;'"</definedName>
    <definedName name="_AMO_ContentDefinition_682937942.4" hidden="1">"'amp;quot;utf-16&amp;amp;quot;?&amp;amp;gt;&amp;amp;lt;FilterTree&amp;amp;gt;&amp;amp;lt;TreeRoot&amp;amp;gt;&amp;amp;lt;ID&amp;amp;gt;a3eea8cd-91df-4e41-8ff3-670fc1487cdf&amp;amp;lt;/ID&amp;amp;gt;&amp;amp;lt;FilterType&amp;amp;gt;COLUMN&amp;amp;lt;/FilterType&amp;amp;gt;&amp;amp;lt;TableID /&amp;amp;gt;&amp;amp;lt;Co'"</definedName>
    <definedName name="_AMO_ContentDefinition_682937942.5" hidden="1">"'lumnName&amp;amp;gt;Year&amp;amp;lt;/ColumnName&amp;amp;gt;&amp;amp;lt;ColumnType&amp;amp;gt;Character&amp;amp;lt;/ColumnType&amp;amp;gt;&amp;amp;lt;GroupLevel /&amp;amp;gt;&amp;amp;lt;Operator&amp;amp;gt;=&amp;amp;lt;/Operator&amp;amp;gt;&amp;amp;lt;UseMacroFunction&amp;amp;gt;False&amp;amp;lt;/UseMacroFunction&amp;a'"</definedName>
    <definedName name="_AMO_ContentDefinition_682937942.6" hidden="1">"'mp;gt;&amp;amp;lt;Not&amp;amp;gt;False&amp;amp;lt;/Not&amp;amp;gt;&amp;amp;lt;Label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/&amp;amp;gt;&amp;amp;lt;RightHandSide&amp;amp;gt;&amp;amp;lt;RightHandSideNumType&amp;amp;gt;SINGLE&amp;amp;lt;/RightHandSideNumType&amp;amp;gt;&amp;amp;lt;RightHandSideItems&amp;amp;gt;&amp;amp;lt;RHSItem&amp;amp;gt;&amp;amp;lt;RHSTy'"</definedName>
    <definedName name="_AMO_ContentDefinition_682937942.7" hidden="1">"'pe&amp;amp;gt;EXPRESSION&amp;amp;lt;/RHSType&amp;amp;gt;&amp;amp;lt;AddQuotes&amp;amp;gt;True&amp;amp;lt;/AddQuotes&amp;amp;gt;&amp;amp;lt;DateFormat&amp;amp;gt;None&amp;amp;lt;/DateFormat&amp;amp;gt;&amp;amp;lt;RightHandSideExpression&amp;amp;gt;2015&amp;amp;lt;/RightHandSideExpression&amp;amp;gt;&amp;amp;lt;IsSu'"</definedName>
    <definedName name="_AMO_ContentDefinition_682937942.8" hidden="1">"'bquery&amp;amp;gt;False&amp;amp;lt;/IsSubquery&amp;amp;gt;&amp;amp;lt;SubqueryTemplateName /&amp;amp;gt;&amp;amp;lt;/RHSItem&amp;amp;gt;&amp;amp;lt;/RightHandSideItems&amp;amp;gt;&amp;amp;lt;/RightHandSide&amp;amp;gt;&amp;amp;lt;/TreeRoot&amp;amp;gt;&amp;amp;lt;/FilterTree&amp;amp;gt;&amp;quot; ColSelFlg=&amp;quot;0&amp;q'"</definedName>
    <definedName name="_AMO_ContentDefinition_972960867" hidden="1">"'Partitions:49'"</definedName>
    <definedName name="_AMO_ContentDefinition_972960867.1" hidden="1">"'iles\SASHome\x86\SASAddinforMicrosoftOffice\5.1\Styles\AMODefault.css"" range=""SASApp_FECDL_DS_WB_REVENUE"" auto=""False"" xTime=""00:00:00"" rTime=""00:00:12.7005080"" bgnew=""False"" nFmt=""False"" grphSet=""False"" imgY=""0"" imgX=""0""&gt;_x000D_
  &lt;files'"</definedName>
    <definedName name="_AMO_ContentDefinition_972960867.10" hidden="1">"';lt;/ColumnName&amp;amp;gt;&amp;amp;lt;ColumnType&amp;amp;gt;Character&amp;amp;lt;/ColumnType&amp;amp;gt;&amp;amp;lt;GroupLevel /&amp;amp;gt;&amp;amp;lt;Operator&amp;amp;gt;=&amp;amp;lt;/Operator&amp;amp;gt;&amp;amp;lt;UseMacroFunction&amp;amp;gt;False&amp;amp;lt;/UseMacroFunction&amp;amp;gt;&amp;amp;lt;Not&amp;amp;gt'"</definedName>
    <definedName name="_AMO_ContentDefinition_972960867.11" hidden="1">"';False&amp;amp;lt;/Not&amp;amp;gt;&amp;amp;lt;Label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/&amp;amp;gt;&amp;amp;lt;RightHandSide&amp;amp;gt;&amp;amp;lt;RightHandSideNumType&amp;amp;gt;SINGLE&amp;amp;lt;/RightHandSideNumType&amp;amp;gt;&amp;amp;lt;RightHandSideItems&amp;amp;gt;&amp;amp;lt;RHSItem&amp;amp;gt;&amp;amp;lt;RHSType&amp;amp;gt;EXPRESSION&amp;amp'"</definedName>
    <definedName name="_AMO_ContentDefinition_972960867.12" hidden="1">"';lt;/RHSType&amp;amp;gt;&amp;amp;lt;AddQuotes&amp;amp;gt;True&amp;amp;lt;/AddQuotes&amp;amp;gt;&amp;amp;lt;DateFormat&amp;amp;gt;None&amp;amp;lt;/DateFormat&amp;amp;gt;&amp;amp;lt;RightHandSideExpression&amp;amp;gt;International Shippers&amp;amp;lt;/RightHandSideExpression&amp;amp;gt;&amp;amp;lt;IsSubquery'"</definedName>
    <definedName name="_AMO_ContentDefinition_972960867.13" hidden="1">"'&amp;amp;gt;False&amp;amp;lt;/IsSubquery&amp;amp;gt;&amp;amp;lt;SubqueryTemplateName /&amp;amp;gt;&amp;amp;lt;/RHSItem&amp;amp;gt;&amp;amp;lt;/RightHandSideItems&amp;amp;gt;&amp;amp;lt;/RightHandSide&amp;amp;gt;&amp;amp;lt;/Node&amp;amp;gt;&amp;amp;lt;/SiblingLink&amp;amp;gt;&amp;amp;lt;Operator&amp;amp;gt;=&amp;amp;lt;/O'"</definedName>
    <definedName name="_AMO_ContentDefinition_972960867.14" hidden="1">"'perator&amp;amp;gt;&amp;amp;lt;UseMacroFunction&amp;amp;gt;False&amp;amp;lt;/UseMacroFunction&amp;amp;gt;&amp;amp;lt;Not&amp;amp;gt;False&amp;amp;lt;/Not&amp;amp;gt;&amp;amp;lt;Label /&amp;amp;gt;&amp;amp;lt;RightHandSide&amp;amp;gt;&amp;amp;lt;RightHandSideNumType&amp;amp;gt;SINGLE&amp;amp;lt;/RightHandSideNumTyp'"</definedName>
    <definedName name="_AMO_ContentDefinition_972960867.15" hidden="1">"'e&amp;amp;gt;&amp;amp;lt;RightHandSideItems&amp;amp;gt;&amp;amp;lt;RHSItem&amp;amp;gt;&amp;amp;lt;RHSType&amp;amp;gt;EXPRESSION&amp;amp;lt;/RHSType&amp;amp;gt;&amp;amp;lt;AddQuotes&amp;amp;gt;True&amp;amp;lt;/AddQuotes&amp;amp;gt;&amp;amp;lt;DateFormat&amp;amp;gt;None&amp;amp;lt;/DateFormat&amp;amp;gt;&amp;amp;lt;RightHan'"</definedName>
    <definedName name="_AMO_ContentDefinition_972960867.16" hidden="1">"'dSideExpression&amp;amp;gt;Intermodal&amp;amp;lt;/RightHandSideExpression&amp;amp;gt;&amp;amp;lt;IsSubquery&amp;amp;gt;False&amp;amp;lt;/IsSubquery&amp;amp;gt;&amp;amp;lt;SubqueryTemplateName /&amp;amp;gt;&amp;amp;lt;/RHSItem&amp;amp;gt;&amp;amp;lt;/RightHandSideItems&amp;amp;gt;&amp;amp;lt;/RightHandSide&amp;'"</definedName>
    <definedName name="_AMO_ContentDefinition_972960867.17" hidden="1">"'amp;gt;&amp;amp;lt;/Node&amp;amp;gt;&amp;amp;lt;/SiblingLink&amp;amp;gt;&amp;amp;lt;Operator&amp;amp;gt;=&amp;amp;lt;/Operator&amp;amp;gt;&amp;amp;lt;UseMacroFunction&amp;amp;gt;False&amp;amp;lt;/UseMacroFunction&amp;amp;gt;&amp;amp;lt;Not&amp;amp;gt;False&amp;amp;lt;/Not&amp;amp;gt;&amp;amp;lt;Label /&amp;amp;gt;&amp;amp;lt;'"</definedName>
    <definedName name="_AMO_ContentDefinition_972960867.18" hidden="1">"'RightHandSide&amp;amp;gt;&amp;amp;lt;RightHandSideNumType&amp;amp;gt;SINGLE&amp;amp;lt;/RightHandSideNumType&amp;amp;gt;&amp;amp;lt;RightHandSideItems&amp;amp;gt;&amp;amp;lt;RHSItem&amp;amp;gt;&amp;amp;lt;RHSType&amp;amp;gt;EXPRESSION&amp;amp;lt;/RHSType&amp;amp;gt;&amp;amp;lt;AddQuotes&amp;amp;gt;True&amp;amp;lt;'"</definedName>
    <definedName name="_AMO_ContentDefinition_972960867.19" hidden="1">"'/AddQuotes&amp;amp;gt;&amp;amp;lt;DateFormat&amp;amp;gt;None&amp;amp;lt;/DateFormat&amp;amp;gt;&amp;amp;lt;RightHandSideExpression&amp;amp;gt;2015&amp;amp;lt;/RightHandSideExpression&amp;amp;gt;&amp;amp;lt;IsSubquery&amp;amp;gt;False&amp;amp;lt;/IsSubquery&amp;amp;gt;&amp;amp;lt;SubqueryTemplateName /&amp;amp;'"</definedName>
    <definedName name="_AMO_ContentDefinition_972960867.2" hidden="1">"'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
  &lt;param'"</definedName>
    <definedName name="_AMO_ContentDefinition_972960867.3" hidden="1">"' n=""ServerName"" v=""SASApp"" /&gt;_x000D_
  &lt;param n=""SASFilter"" v=""Year = '2015' AND TransportMethod = 'Intermodal' AND BusinessSegment = 'International Shippers'"" /&gt;_x000D_
  &lt;param n=""ClassName"" v=""SAS.OfficeAddin.PivotTable"" /&gt;_x000D_
  &lt;param n=""NamedRan'"</definedName>
    <definedName name="_AMO_ContentDefinition_972960867.4" hidden="1">"'ge"" v=""_AMO_SingleObject_972960867_PivotTable_972960867"" /&gt;_x000D_
  &lt;param n=""DataSource"" v=""&amp;lt;SasDataSource Version=&amp;quot;4.2&amp;quot; Type=&amp;quot;SAS.Servers.Dataset&amp;quot; Svr=&amp;quot;SASApp&amp;quot; Lib=&amp;quot;FECDL&amp;quot; Filter=&amp;quot;Year = '2015' AND Tr'"</definedName>
    <definedName name="_AMO_ContentDefinition_972960867.48" hidden="1">"'its,Sum of LineHaul"" /&gt;_x000D_
  &lt;ExcelXMLOptions AdjColWidths=""True"" RowOpt=""InsertEntire"" ColOpt=""InsertCells"" /&gt;_x000D_
&lt;/ContentDefinition&gt;'"</definedName>
    <definedName name="_AMO_ContentDefinition_972960867.5" hidden="1">"'ansportMethod = 'Intermodal' AND BusinessSegment = 'International Shippers'&amp;quot; FilterDS=&amp;quot;&amp;amp;lt;?xml version=&amp;amp;quot;1.0&amp;amp;quot; encoding=&amp;amp;quot;utf-16&amp;amp;quot;?&amp;amp;gt;&amp;amp;lt;FilterTree&amp;amp;gt;&amp;amp;lt;TreeRoot&amp;amp;gt;&amp;amp;lt;ID&amp;amp;'"</definedName>
    <definedName name="_AMO_ContentDefinition_972960867.6" hidden="1">"'gt;d8a8e433-bfe2-49b2-a719-a7f0ef98262a&amp;amp;lt;/ID&amp;amp;gt;&amp;amp;lt;FilterType&amp;amp;gt;COLUMN&amp;amp;lt;/FilterType&amp;amp;gt;&amp;amp;lt;TableID /&amp;amp;gt;&amp;amp;lt;ColumnName&amp;amp;gt;Year&amp;amp;lt;/ColumnName&amp;amp;gt;&amp;amp;lt;ColumnType&amp;amp;gt;Character&amp;amp;lt;/ColumnTy'"</definedName>
    <definedName name="_AMO_ContentDefinition_972960867.7" hidden="1">"'pe&amp;amp;gt;&amp;amp;lt;GroupLevel /&amp;amp;gt;&amp;amp;lt;SiblingLink&amp;amp;gt;&amp;amp;lt;LinkType&amp;amp;gt;AND&amp;amp;lt;/LinkType&amp;amp;gt;&amp;amp;lt;Node&amp;amp;gt;&amp;amp;lt;ID&amp;amp;gt;b7040e11-7e0f-4226-9638-160fade7f965&amp;amp;lt;/ID&amp;amp;gt;&amp;amp;lt;FilterType&amp;amp;gt;COLUMN&amp;amp;lt;/'"</definedName>
    <definedName name="_AMO_ContentDefinition_972960867.8" hidden="1">"'FilterType&amp;amp;gt;&amp;amp;lt;TableID /&amp;amp;gt;&amp;amp;lt;ColumnName&amp;amp;gt;TransportMethod&amp;amp;lt;/ColumnName&amp;amp;gt;&amp;amp;lt;ColumnType&amp;amp;gt;Character&amp;amp;lt;/ColumnType&amp;amp;gt;&amp;amp;lt;GroupLevel /&amp;amp;gt;&amp;amp;lt;SiblingLink&amp;amp;gt;&amp;amp;lt;LinkType&amp;amp;gt'"</definedName>
    <definedName name="_AMO_ContentDefinition_972960867.9" hidden="1">"';AND&amp;amp;lt;/LinkType&amp;amp;gt;&amp;amp;lt;Node&amp;amp;gt;&amp;amp;lt;ID&amp;amp;gt;8275a7ba-e52a-4e1b-91a8-95b9d06874b7&amp;amp;lt;/ID&amp;amp;gt;&amp;amp;lt;FilterType&amp;amp;gt;COLUMN&amp;amp;lt;/FilterType&amp;amp;gt;&amp;amp;lt;TableID /&amp;amp;gt;&amp;amp;lt;ColumnName&amp;amp;gt;BusinessSegment&amp;amp'"</definedName>
    <definedName name="_AMO_ContentDefinition_982752879" hidden="1">"'Partitions:22'"</definedName>
    <definedName name="_AMO_ContentDefinition_982752879.1" hidden="1">"'iles\SASHome\x86\SASAddinforMicrosoftOffice\5.1\Styles\AMODefault.css"" range=""SASApp_FECDL_DS_WB_REVENUE"" auto=""False"" xTime=""00:00:00"" rTime=""00:00:00.6890000"" bgnew=""False"" nFmt=""False"" grphSet=""False"" imgY=""0"" imgX=""0""&gt;_x000D_
  &lt;files'"</definedName>
    <definedName name="_AMO_ContentDefinition_982752879.10" hidden="1">"'l /&amp;amp;gt;&amp;amp;lt;RightHandSide&amp;amp;gt;&amp;amp;lt;RightHandSideNumType&amp;amp;gt;SINGLE&amp;amp;lt;/RightHandSideNumType&amp;amp;gt;&amp;amp;lt;RightHandSideItems&amp;amp;gt;&amp;amp;lt;RHSItem&amp;amp;gt;&amp;amp;lt;RHSType&amp;amp;gt;EXPRESSION&amp;amp;lt;/RHSType&amp;amp;gt;&amp;amp;lt;AddQuotes&amp;'"</definedName>
    <definedName name="_AMO_ContentDefinition_982752879.11" hidden="1">"'amp;gt;True&amp;amp;lt;/AddQuotes&amp;amp;gt;&amp;amp;lt;DateFormat&amp;amp;gt;None&amp;amp;lt;/DateFormat&amp;amp;gt;&amp;amp;lt;RightHandSideExpression&amp;amp;gt;WEST PALM BEACH&amp;amp;lt;/RightHandSideExpression&amp;amp;gt;&amp;amp;lt;IsSubquery&amp;amp;gt;False&amp;amp;lt;/IsSubquery&amp;amp;gt;&amp;amp;'"</definedName>
    <definedName name="_AMO_ContentDefinition_982752879.12" hidden="1">"'lt;SubqueryTemplateName /&amp;amp;gt;&amp;amp;lt;/RHSItem&amp;amp;gt;&amp;amp;lt;/RightHandSideItems&amp;amp;gt;&amp;amp;lt;/RightHandSide&amp;amp;gt;&amp;amp;lt;/Node&amp;amp;gt;&amp;amp;lt;/SiblingLink&amp;amp;gt;&amp;amp;lt;Operator&amp;amp;gt;=&amp;amp;lt;/Operator&amp;amp;gt;&amp;amp;lt;UseMacroFunction&amp;amp;g'"</definedName>
    <definedName name="_AMO_ContentDefinition_982752879.13" hidden="1">"'t;False&amp;amp;lt;/UseMacroFunction&amp;amp;gt;&amp;amp;lt;Not&amp;amp;gt;False&amp;amp;lt;/Not&amp;amp;gt;&amp;amp;lt;Label /&amp;amp;gt;&amp;amp;lt;RightHandSide&amp;amp;gt;&amp;amp;lt;RightHandSideNumType&amp;amp;gt;SINGLE&amp;amp;lt;/RightHandSideNumType&amp;amp;gt;&amp;amp;lt;RightHandSideItems&amp;amp;gt;&amp;a'"</definedName>
    <definedName name="_AMO_ContentDefinition_982752879.14" hidden="1">"'mp;lt;RHSItem&amp;amp;gt;&amp;amp;lt;RHSType&amp;amp;gt;EXPRESSION&amp;amp;lt;/RHSType&amp;amp;gt;&amp;amp;lt;AddQuotes&amp;amp;gt;True&amp;amp;lt;/AddQuotes&amp;amp;gt;&amp;amp;lt;DateFormat&amp;amp;gt;None&amp;amp;lt;/DateFormat&amp;amp;gt;&amp;amp;lt;RightHandSideExpression&amp;amp;gt;08&amp;amp;lt;/RightHandSi'"</definedName>
    <definedName name="_AMO_ContentDefinition_982752879.15" hidden="1">"'deExpression&amp;amp;gt;&amp;amp;lt;IsSubquery&amp;amp;gt;False&amp;amp;lt;/IsSubquery&amp;amp;gt;&amp;amp;lt;SubqueryTemplateName /&amp;amp;gt;&amp;amp;lt;/RHSItem&amp;amp;gt;&amp;amp;lt;/RightHandSideItems&amp;amp;gt;&amp;amp;lt;/RightHandSide&amp;amp;gt;&amp;amp;lt;/Node&amp;amp;gt;&amp;amp;lt;/SiblingLink&amp;amp;'"</definedName>
    <definedName name="_AMO_ContentDefinition_982752879.16" hidden="1">"'gt;&amp;amp;lt;Operator&amp;amp;gt;=&amp;amp;lt;/Operator&amp;amp;gt;&amp;amp;lt;UseMacroFunction&amp;amp;gt;False&amp;amp;lt;/UseMacroFunction&amp;amp;gt;&amp;amp;lt;Not&amp;amp;gt;False&amp;amp;lt;/Not&amp;amp;gt;&amp;amp;lt;Label /&amp;amp;gt;&amp;amp;lt;RightHandSide&amp;amp;gt;&amp;amp;lt;RightHandSideNumType&amp;amp'"</definedName>
    <definedName name="_AMO_ContentDefinition_982752879.17" hidden="1">"';gt;SINGLE&amp;amp;lt;/RightHandSideNumType&amp;amp;gt;&amp;amp;lt;RightHandSideItems&amp;amp;gt;&amp;amp;lt;RHSItem&amp;amp;gt;&amp;amp;lt;RHSType&amp;amp;gt;EXPRESSION&amp;amp;lt;/RHSType&amp;amp;gt;&amp;amp;lt;AddQuotes&amp;amp;gt;True&amp;amp;lt;/AddQuotes&amp;amp;gt;&amp;amp;lt;DateFormat&amp;amp;gt;None&amp;amp;'"</definedName>
    <definedName name="_AMO_ContentDefinition_982752879.18" hidden="1">"'lt;/DateFormat&amp;amp;gt;&amp;amp;lt;RightHandSideExpression&amp;amp;gt;2013&amp;amp;lt;/RightHandSideExpression&amp;amp;gt;&amp;amp;lt;IsSubquery&amp;amp;gt;False&amp;amp;lt;/IsSubquery&amp;amp;gt;&amp;amp;lt;SubqueryTemplateName /&amp;amp;gt;&amp;amp;lt;/RHSItem&amp;amp;gt;&amp;amp;lt;/RightHandSideItem'"</definedName>
    <definedName name="_AMO_ContentDefinition_982752879.19" hidden="1">"'s&amp;amp;gt;&amp;amp;lt;/RightHandSide&amp;amp;gt;&amp;amp;lt;/TreeRoot&amp;amp;gt;&amp;amp;lt;/FilterTree&amp;amp;gt;&amp;quot; ColSelFlg=&amp;quot;0&amp;quot; Name=&amp;quot;DS_WB_REVENUE&amp;quot; /&amp;gt;"" /&gt;_x000D_
  &lt;param n=""ServerName"" v=""SASApp"" /&gt;_x000D_
  &lt;param n=""SASFilter"" v=""Year = '2013' '"</definedName>
    <definedName name="_AMO_ContentDefinition_982752879.2" hidden="1">"' /&gt;_x000D_
  &lt;parents /&gt;_x000D_
  &lt;children /&gt;_x000D_
  &lt;param n=""DisplayName"" v=""SASApp:FECDL.DS_WB_REVENUE"" /&gt;_x000D_
  &lt;param n=""DisplayType"" v=""PivotTable"" /&gt;_x000D_
  &lt;param n=""AMO_Version"" v=""5.1"" /&gt;_x000D_
  &lt;param n=""NamedRange"" v=""_AMO_SingleObject_982752879_Pivo'"</definedName>
    <definedName name="_AMO_ContentDefinition_982752879.20" hidden="1">"'AND Month = '08' AND DestCity = 'WEST PALM BEACH'"" /&gt;_x000D_
  &lt;param n=""ClassName"" v=""SAS.OfficeAddin.PivotTable"" /&gt;_x000D_
  &lt;param n=""DataFieldsList"" v=""Sum of Units"" /&gt;_x000D_
  &lt;ExcelXMLOptions AdjColWidths=""True"" RowOpt=""InsertEntire"" ColOpt=""Inser'"</definedName>
    <definedName name="_AMO_ContentDefinition_982752879.21" hidden="1">"'tCells"" /&gt;_x000D_
&lt;/ContentDefinition&gt;'"</definedName>
    <definedName name="_AMO_ContentDefinition_982752879.3" hidden="1">"'tTable_982752879"" /&gt;_x000D_
  &lt;param n=""DataSourceType"" v=""SAS DATASET"" /&gt;_x000D_
  &lt;param n=""DataSource"" v=""&amp;lt;SasDataSource Version=&amp;quot;4.2&amp;quot; Type=&amp;quot;SAS.Servers.Dataset&amp;quot; Svr=&amp;quot;SASApp&amp;quot; Lib=&amp;quot;FECDL&amp;quot; Filter=&amp;quot;Year = '2'"</definedName>
    <definedName name="_AMO_ContentDefinition_982752879.4" hidden="1">"'013' AND Month = '08' AND DestCity = 'WEST PALM BEACH'&amp;quot; FilterDS=&amp;quot;&amp;amp;lt;?xml version=&amp;amp;quot;1.0&amp;amp;quot; encoding=&amp;amp;quot;utf-16&amp;amp;quot;?&amp;amp;gt;&amp;amp;lt;FilterTree&amp;amp;gt;&amp;amp;lt;TreeRoot&amp;amp;gt;&amp;amp;lt;ID&amp;amp;gt;833f2438-e012-4d20'"</definedName>
    <definedName name="_AMO_ContentDefinition_982752879.5" hidden="1">"'-b5e3-1f2202a5cf5f&amp;amp;lt;/ID&amp;amp;gt;&amp;amp;lt;FilterType&amp;amp;gt;COLUMN&amp;amp;lt;/FilterType&amp;amp;gt;&amp;amp;lt;TableID /&amp;amp;gt;&amp;amp;lt;ColumnName&amp;amp;gt;Year&amp;amp;lt;/ColumnName&amp;amp;gt;&amp;amp;lt;ColumnType&amp;amp;gt;Character&amp;amp;lt;/ColumnType&amp;amp;gt;&amp;amp;lt;Gro'"</definedName>
    <definedName name="_AMO_ContentDefinition_982752879.6" hidden="1">"'upLevel /&amp;amp;gt;&amp;amp;lt;SiblingLink&amp;amp;gt;&amp;amp;lt;LinkType&amp;amp;gt;AND&amp;amp;lt;/LinkType&amp;amp;gt;&amp;amp;lt;Node&amp;amp;gt;&amp;amp;lt;ID&amp;amp;gt;971ff91c-d64e-49d2-b652-425a82147d07&amp;amp;lt;/ID&amp;amp;gt;&amp;amp;lt;FilterType&amp;amp;gt;COLUMN&amp;amp;lt;/FilterType&amp;amp;gt;&amp;am'"</definedName>
    <definedName name="_AMO_ContentDefinition_982752879.7" hidden="1">"'p;lt;TableID /&amp;amp;gt;&amp;amp;lt;ColumnName&amp;amp;gt;Month&amp;amp;lt;/ColumnName&amp;amp;gt;&amp;amp;lt;ColumnType&amp;amp;gt;Character&amp;amp;lt;/ColumnType&amp;amp;gt;&amp;amp;lt;GroupLevel /&amp;amp;gt;&amp;amp;lt;SiblingLink&amp;amp;gt;&amp;amp;lt;LinkType&amp;amp;gt;AND&amp;amp;lt;/LinkType&amp;amp;gt;&amp;a'"</definedName>
    <definedName name="_AMO_ContentDefinition_982752879.8" hidden="1">"'mp;lt;Node&amp;amp;gt;&amp;amp;lt;ID&amp;amp;gt;a72ed6c3-99e3-44a7-b147-17d8241a27b3&amp;amp;lt;/ID&amp;amp;gt;&amp;amp;lt;FilterType&amp;amp;gt;COLUMN&amp;amp;lt;/FilterType&amp;amp;gt;&amp;amp;lt;TableID /&amp;amp;gt;&amp;amp;lt;ColumnName&amp;amp;gt;DestCity&amp;amp;lt;/ColumnName&amp;amp;gt;&amp;amp;lt;ColumnT'"</definedName>
    <definedName name="_AMO_ContentDefinition_982752879.9" hidden="1">"'ype&amp;amp;gt;Character&amp;amp;lt;/ColumnType&amp;amp;gt;&amp;amp;lt;GroupLevel /&amp;amp;gt;&amp;amp;lt;Operator&amp;amp;gt;=&amp;amp;lt;/Operator&amp;amp;gt;&amp;amp;lt;UseMacroFunction&amp;amp;gt;False&amp;amp;lt;/UseMacroFunction&amp;amp;gt;&amp;amp;lt;Not&amp;amp;gt;False&amp;amp;lt;/Not&amp;amp;gt;&amp;amp;lt;Labe'"</definedName>
    <definedName name="_AMO_ContentLocation_247660852_PivotTable_247660852" hidden="1">"'&lt;ContentLocation path=""247660852"" rsid=""247660852"" tag=""PivotTable"" fid=""0""&gt;_x000D_
  &lt;param n=""_NumRows"" v=""5"" /&gt;_x000D_
  &lt;param n=""_NumCols"" v=""15"" /&gt;_x000D_
&lt;/ContentLocation&gt;'"</definedName>
    <definedName name="_AMO_ContentLocation_682937942_PivotTable_682937942" hidden="1">"'&lt;ContentLocation path=""682937942"" rsid=""682937942"" tag=""PivotTable"" fid=""0""&gt;_x000D_
  &lt;param n=""_NumRows"" v=""10"" /&gt;_x000D_
  &lt;param n=""_NumCols"" v=""15"" /&gt;_x000D_
&lt;/ContentLocation&gt;'"</definedName>
    <definedName name="_AMO_ContentLocation_972960867_PivotTable_972960867" hidden="1">"'&lt;ContentLocation path=""972960867"" rsid=""972960867"" tag=""PivotTable"" fid=""0""&gt;_x000D_
  &lt;param n=""_NumRows"" v=""14"" /&gt;_x000D_
  &lt;param n=""_NumCols"" v=""17"" /&gt;_x000D_
&lt;/ContentLocation&gt;'"</definedName>
    <definedName name="_AMO_ContentLocation_982752879_PivotTable_982752879" hidden="1">"'&lt;ContentLocation path=""982752879"" rsid=""982752879"" tag=""PivotTable"" fid=""0""&gt;_x000D_
  &lt;param n=""_NumRows"" v=""1"" /&gt;_x000D_
  &lt;param n=""_NumCols"" v=""1"" /&gt;_x000D_
&lt;/ContentLocation&gt;'"</definedName>
    <definedName name="_AMO_RefreshMultipleList" hidden="1">"'73452249'"</definedName>
    <definedName name="_AMO_XmlVersion" hidden="1">"'1'"</definedName>
    <definedName name="_ann04" hidden="1">{"budget95",#N/A,TRUE,"Tabelle1";"Tab1",#N/A,TRUE,"Tabelle2"}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ro30" hidden="1">{#N/A,#N/A,FALSE,"Staffnos &amp; cost"}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AtRisk_SimSetting_AutomaticallyGenerateReports" hidden="1">FALSE</definedName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1" hidden="1">{#VALUE!,#N/A,FALSE,0;#N/A,#N/A,FALSE,0;#N/A,#N/A,FALSE,0;#N/A,#N/A,FALSE,0}</definedName>
    <definedName name="_aug04" hidden="1">{"Statement of Income",#N/A,TRUE,"Mar99";"Balance Sheet",#N/A,TRUE,"Mar99"}</definedName>
    <definedName name="_b" hidden="1">{"'Inventory &amp; Anal-Cur Wkbk'!$A$7:$AP$71"}</definedName>
    <definedName name="_b1" hidden="1">Word</definedName>
    <definedName name="_b111" hidden="1">{#N/A,#N/A,FALSE,"Pharm";#N/A,#N/A,FALSE,"WWCM"}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dm.008106A617EF4E0F950A00B6CCC7E11A.edm" hidden="1">#REF!</definedName>
    <definedName name="_bdm.01689FA83BD74114A91D2EC2193212AC.edm" hidden="1">#REF!</definedName>
    <definedName name="_bdm.01C4FB2BCB6C4A0994F5973F765F919A.edm" hidden="1">#REF!</definedName>
    <definedName name="_bdm.01CFB60DC5BA4237A5290B586B633E62.edm" hidden="1">#REF!</definedName>
    <definedName name="_bdm.02BE67FB4A0F433BB41FDEFC04EC948C.edm" hidden="1">#REF!</definedName>
    <definedName name="_bdm.0393C55B465F471485963D15F6CDAE86.edm" hidden="1">#REF!</definedName>
    <definedName name="_bdm.048DABF4E3B74A1291B07DC34298D516.edm" hidden="1">#REF!</definedName>
    <definedName name="_bdm.04B93114D1934C54B5092CC6F2D0C01B.edm" hidden="1">#REF!</definedName>
    <definedName name="_bdm.057193AD4F9A40DDA006D854BF4616E4.edm" hidden="1">#REF!</definedName>
    <definedName name="_bdm.057F54B71E0648A7808F6E7BBD1F2159.edm" hidden="1">#REF!</definedName>
    <definedName name="_bdm.05D7AFA5F99F47669F52A0F13ACCABF7.edm" hidden="1">#REF!</definedName>
    <definedName name="_bdm.05EE459294FC4D3D88FC723AC105DDDD.edm" hidden="1">#REF!</definedName>
    <definedName name="_bdm.060BF17828654A2888B7BD89CF74029A.edm" hidden="1">#REF!</definedName>
    <definedName name="_bdm.0721A591809E4370B944B5F620E179D0.edm" hidden="1">#REF!</definedName>
    <definedName name="_bdm.073EB64BAEE04D488AB043D6B191C198.edm" hidden="1">#REF!</definedName>
    <definedName name="_bdm.07B6E0F030884BDDB8AE6F97747C0210.edm" hidden="1">#REF!</definedName>
    <definedName name="_bdm.0815B4EE07864FC5A2FE6360878BAADA.edm" hidden="1">#REF!</definedName>
    <definedName name="_bdm.0832E81FDBA745A5B97E4284D3012648.edm" hidden="1">#REF!</definedName>
    <definedName name="_bdm.084B9AE6D96B4628B01F2C411B283DAA.edm" hidden="1">#REF!</definedName>
    <definedName name="_bdm.0A3BED1D419D48EBBCB17437C1E7776A.edm" hidden="1">#REF!</definedName>
    <definedName name="_bdm.0AA403657FCB4AF2B41DFC5706B9D4ED.edm" hidden="1">#REF!</definedName>
    <definedName name="_bdm.0AC2F3E74089446AA251C8E543C16A50.edm" hidden="1">#REF!</definedName>
    <definedName name="_bdm.0AD7EBE0D3034303980EA8D2AA4A5335.edm" hidden="1">#REF!</definedName>
    <definedName name="_bdm.0BDF5A415FB549E1ADB5135EA1460C26.edm" hidden="1">#REF!</definedName>
    <definedName name="_bdm.0d1ef1e6cde34618bf6b6e0585c265c4.edm" hidden="1">#REF!</definedName>
    <definedName name="_bdm.0D5123D651A64A50BBF7DE6752F16E36.edm" hidden="1">#REF!</definedName>
    <definedName name="_bdm.0DC43123E55A425CAD5A9DC556B4AAF4.edm" hidden="1">#REF!</definedName>
    <definedName name="_bdm.0E1F1DD7994F4F83997A2DA4C4A555E3.edm" hidden="1">#REF!</definedName>
    <definedName name="_bdm.0EDC45E988624CBCAB8645EFC2A31F67.edm" hidden="1">#REF!</definedName>
    <definedName name="_bdm.0EEB71B3DA7B41E5B8036753E6F98F80.edm" hidden="1">#REF!</definedName>
    <definedName name="_bdm.0F1E5CD51F8C4730BAA2A4BE645956C6.edm" hidden="1">#REF!</definedName>
    <definedName name="_bdm.0F34FE049B5F4EFDBB16037DB1A02E9D.edm" hidden="1">#REF!</definedName>
    <definedName name="_bdm.0F560DD9D845426281F5A31CFBAB8416.edm" hidden="1">#REF!</definedName>
    <definedName name="_bdm.0F65C622356840D89600AD8DE863E56E.edm" hidden="1">#REF!</definedName>
    <definedName name="_bdm.10B7DE59A78B40EB945B24FF566F12D5.edm" hidden="1">#REF!</definedName>
    <definedName name="_bdm.1217F698F4154FA889B87DBB748433BF.edm" hidden="1">#REF!</definedName>
    <definedName name="_bdm.1251ED85472146FDBC3001EB85877E4A.edm" hidden="1">#REF!</definedName>
    <definedName name="_bdm.12DEADD88C32481AA45C787F504D8E35.edm" hidden="1">#REF!</definedName>
    <definedName name="_bdm.143610D965944F2186D288D5EB3E1033.edm" hidden="1">#REF!</definedName>
    <definedName name="_bdm.15D87C8D65C04232B0E702D04432395B.edm" hidden="1">#REF!</definedName>
    <definedName name="_bdm.15EDA41A95CC4CDBB80DD66DF50B02CB.edm" hidden="1">#REF!</definedName>
    <definedName name="_bdm.17B50EB02075419D941AEF2559AE3ACF.edm" hidden="1">#REF!</definedName>
    <definedName name="_bdm.184DA59D82E5482C8F2AFDD207867889.edm" hidden="1">#REF!</definedName>
    <definedName name="_bdm.19CCF142BF054E2DB644BF57FB3C0676.edm" hidden="1">#REF!</definedName>
    <definedName name="_bdm.1A10EE3180BD4B4B9216C20AA25F3F0D.edm" hidden="1">#REF!</definedName>
    <definedName name="_bdm.1a2221283c274dc4920a4e2db8c2ae8b.edm" hidden="1">#REF!</definedName>
    <definedName name="_bdm.1B1A0682904F46ED80A53A9E83E0C116.edm" hidden="1">#REF!</definedName>
    <definedName name="_bdm.1b1dbac43b60441b917d53f957d50f34.edm" hidden="1">#REF!</definedName>
    <definedName name="_bdm.1BCC9C22E1B742F696FBCED422264FD2.edm" hidden="1">#REF!</definedName>
    <definedName name="_bdm.1DB502D8CD01422EBD8B7217C1FE8CED.edm" hidden="1">#REF!</definedName>
    <definedName name="_bdm.1ec699e3a21f4f4482f8c43a82d2ef8a.edm" hidden="1">#REF!</definedName>
    <definedName name="_bdm.1F6E25A1924243B5BD0910195C903DD6.edm" hidden="1">#REF!</definedName>
    <definedName name="_bdm.1FD3C44903724BAC8A267CF4F40A662D.edm" hidden="1">#REF!</definedName>
    <definedName name="_bdm.209268CE85B94594A117E78642D9FB44.edm" hidden="1">#REF!</definedName>
    <definedName name="_bdm.20E91548A84B4166AE3A2BD83A3D038C.edm" hidden="1">#REF!</definedName>
    <definedName name="_bdm.210C7E4F39E44E8BB1E25D0219F4F940.edm" hidden="1">#REF!</definedName>
    <definedName name="_bdm.215DF202DFF249439C5FC211171F4393.edm" hidden="1">#REF!</definedName>
    <definedName name="_bdm.217C874E97794F27A7A2E5202C631235.edm" hidden="1">#REF!</definedName>
    <definedName name="_bdm.23316B3898AB4331BD7F8B4FFA35C724.edm" hidden="1">#REF!</definedName>
    <definedName name="_bdm.23831D18261C49B0A7D571D0BEDF82F2.edm" hidden="1">#REF!</definedName>
    <definedName name="_bdm.241fce51d9864ad39c2b8cddcf2fbd18.edm" hidden="1">#REF!</definedName>
    <definedName name="_bdm.248e93554ad84a7e8dacfd03c40b5887.edm" hidden="1">#REF!</definedName>
    <definedName name="_bdm.24CC9AD2E8D24DE6ABA8775140225CEC.edm" hidden="1">#REF!</definedName>
    <definedName name="_bdm.25ACB4FA824E4968ACB78A838590C8E5.edm" hidden="1">#REF!</definedName>
    <definedName name="_bdm.2668C22B664E42219CD81A4E0D6D1677.edm" hidden="1">#REF!</definedName>
    <definedName name="_bdm.26B4751ADB2240ACA124BB8BFAEC3800.edm" hidden="1">#REF!</definedName>
    <definedName name="_bdm.26FE944409B449B49556290D4B9F99FE.edm" hidden="1">#REF!</definedName>
    <definedName name="_bdm.27712615324141D7AF6DCBB5C6C27E43.edm" hidden="1">#REF!</definedName>
    <definedName name="_bdm.278A1157C5E44DD189C30BA5829A4317.edm" hidden="1">#REF!</definedName>
    <definedName name="_bdm.27C59642456B4164A4F6EC68C055C37C.edm" hidden="1">#REF!</definedName>
    <definedName name="_bdm.282F1BD8B6174D9384CAF1AD8C896378.edm" hidden="1">#REF!</definedName>
    <definedName name="_bdm.28635078F43247C9952ABC688B6EB8FB.edm" hidden="1">#REF!</definedName>
    <definedName name="_bdm.28EA9208F16C4249ABF9082FFD846450.edm" hidden="1">#REF!</definedName>
    <definedName name="_bdm.28EBACAE9555463AA351D9B54720A60F.edm" hidden="1">#REF!</definedName>
    <definedName name="_bdm.2AA5D5CF43D9452993A008E7480BDAEC.edm" hidden="1">#REF!</definedName>
    <definedName name="_bdm.2AB9AE0219D1424FA538C7690A4CDF50.edm" hidden="1">#REF!</definedName>
    <definedName name="_bdm.2C2D34D14E094D13876E0A3409E6F82E.edm" hidden="1">#REF!</definedName>
    <definedName name="_bdm.2CD34891F88C474288D8913A9C862910.edm" hidden="1">#REF!</definedName>
    <definedName name="_bdm.2D64C0BEBF5A42EEB042F57E53B8985E.edm" hidden="1">#REF!</definedName>
    <definedName name="_bdm.2D6E982537D0415D94C0BF543DE46937.edm" hidden="1">#REF!</definedName>
    <definedName name="_bdm.2DE2717BDD7B4F26ABEBA11F4AF8EB80.edm" hidden="1">#REF!</definedName>
    <definedName name="_bdm.2E4D3C79B575492F97AA980656519DA7.edm" hidden="1">#REF!</definedName>
    <definedName name="_bdm.2EE6F49B2A054D108386D35D6C562F3B.edm" hidden="1">#REF!</definedName>
    <definedName name="_bdm.3023FCBC47C640DDAB19C2EDBD027489.edm" hidden="1">#REF!</definedName>
    <definedName name="_bdm.302538A77F274CBB95FE1A5191021B46.edm" hidden="1">#REF!</definedName>
    <definedName name="_bdm.3059D6A240D749EAAD5D3E2B8F36DE6F.edm" hidden="1">#REF!</definedName>
    <definedName name="_bdm.3170A6D90AC34D9F827A9931ABCD8CFD.edm" hidden="1">#REF!</definedName>
    <definedName name="_bdm.31A7A7945A874FEC8562E3155164BAA1.edm" hidden="1">#REF!</definedName>
    <definedName name="_bdm.3292D9BC24C043F79CC5B09C254F3CED.edm" hidden="1">#REF!</definedName>
    <definedName name="_bdm.32C1F25A8D3A4D3BACD5F9B92BE3FC12.edm" hidden="1">#REF!</definedName>
    <definedName name="_bdm.32FD37EF56764C2E81B5E2A967EE5A87.edm" hidden="1">#REF!</definedName>
    <definedName name="_bdm.33b00f4582cd449d93f48febd46d1eeb.edm" hidden="1">#REF!</definedName>
    <definedName name="_bdm.33E4D00EF9FF4DDFB50130E6281102A0.edm" hidden="1">#REF!</definedName>
    <definedName name="_bdm.34425260E9F747C7A65DCB9B1DF9B6C1.edm" hidden="1">#REF!</definedName>
    <definedName name="_bdm.34D7E256B2FD45B293456EC10749B450.edm" hidden="1">#REF!</definedName>
    <definedName name="_bdm.3725A4389F4F4321AEE9BFE5AACBFC67.edm" hidden="1">#REF!</definedName>
    <definedName name="_bdm.386F44A0F21B4CF49A761A6E976C3EF7.edm" hidden="1">#REF!</definedName>
    <definedName name="_bdm.389AB664738C4492B94D2FC6AE4A0A11.edm" hidden="1">#REF!</definedName>
    <definedName name="_bdm.3935208A70BE4CFA8E5014B7F8AE4311.edm" hidden="1">#REF!</definedName>
    <definedName name="_bdm.39B8C036341144F198FF84D21FD23A54.edm" hidden="1">#REF!</definedName>
    <definedName name="_bdm.39EE0430D40D4EFFBF013BFB7B525245.edm" hidden="1">#REF!</definedName>
    <definedName name="_bdm.3A4B6E4C5FC9462FAB3339FC49661D91.edm" hidden="1">#REF!</definedName>
    <definedName name="_bdm.3A9DDA8327AA430D96082E3101468891.edm" hidden="1">#REF!</definedName>
    <definedName name="_bdm.3b006412530f421b8b02a1de1d333aff.edm" hidden="1">#REF!</definedName>
    <definedName name="_bdm.3BFE3C693C084D298FF3EE12F9E9378E.edm" hidden="1">#REF!</definedName>
    <definedName name="_bdm.3D7A9E3C7254439B81C16B26BC201C4E.edm" hidden="1">#REF!</definedName>
    <definedName name="_bdm.3F3D154789DB4E3D9F8942A23646B270.edm" hidden="1">#REF!</definedName>
    <definedName name="_bdm.3FE0A75122894D0480E20E3EA9CB8F66.edm" hidden="1">#REF!</definedName>
    <definedName name="_bdm.40192C2F4E574E89804BD909A621E94B.edm" hidden="1">#REF!</definedName>
    <definedName name="_bdm.40E9EDA92B4643148879AF9876A59A9F.edm" hidden="1">#REF!</definedName>
    <definedName name="_bdm.412825900d0a4817ba7a5041e30d640f.edm" hidden="1">#REF!</definedName>
    <definedName name="_bdm.4204EC7D7A174226AC7847DAAB12267E.edm" hidden="1">#REF!</definedName>
    <definedName name="_bdm.4281CE59A7B14C9A9910E91D1D6E6D7A.edm" hidden="1">#REF!</definedName>
    <definedName name="_bdm.4360676AD407460ABDB3AE601E6AC982.edm" hidden="1">#REF!</definedName>
    <definedName name="_bdm.437EBF4D680B48DE9E88B430E04D805A.edm" hidden="1">#REF!</definedName>
    <definedName name="_bdm.446cf2b07c60408bb6c383a9893b63d8.edm" hidden="1">#REF!</definedName>
    <definedName name="_bdm.44D72EB3E0124076959C0451894550DE.edm" hidden="1">#REF!</definedName>
    <definedName name="_bdm.4605DBD3457D4CD89D8E1E3E917A0DE1.edm" hidden="1">#REF!</definedName>
    <definedName name="_bdm.466218606F03462B9CCF104E4D204C5C.edm" hidden="1">#REF!</definedName>
    <definedName name="_bdm.46F8D7F3DD894741A631BF21031132F1.edm" hidden="1">#REF!</definedName>
    <definedName name="_bdm.47895B1AB8224B87A66635D20EB22E3D.edm" hidden="1">#REF!</definedName>
    <definedName name="_bdm.48af8c2e46894482bdae53eea28eb559.edm" hidden="1">#REF!</definedName>
    <definedName name="_bdm.48CC776D24244988AAA97F908CEDA3C4.edm" hidden="1">#REF!</definedName>
    <definedName name="_bdm.48CF2CF1318D4B04B3BEFB4E3D92AEA1.edm" hidden="1">#REF!</definedName>
    <definedName name="_bdm.4900F9A5B517416D8EEA79F7377E634F.edm" hidden="1">#REF!</definedName>
    <definedName name="_bdm.4930954B86334391A89B9150913FE66B.edm" hidden="1">#REF!</definedName>
    <definedName name="_bdm.493A22D52BE54F6AB9D59625FBC7FFDE.edm" hidden="1">#REF!</definedName>
    <definedName name="_bdm.49813B36FF484B20BC7AFB6A08ABF73F.edm" hidden="1">#REF!</definedName>
    <definedName name="_bdm.4A08328614CA492D939A7F87E1A801F3.edm" hidden="1">#REF!</definedName>
    <definedName name="_bdm.4C840CDDF4FA468EBDB620F7BDB1F634.edm" hidden="1">#REF!</definedName>
    <definedName name="_bdm.4C95D9FF3E21417EA6C09E5D83757B59.edm" hidden="1">#REF!</definedName>
    <definedName name="_bdm.4CE945BFE9BA4627920222D07C48D847.edm" hidden="1">#REF!</definedName>
    <definedName name="_bdm.4D1132E61F834869A7248A43392DAE60.edm" hidden="1">#REF!</definedName>
    <definedName name="_bdm.4D97CF94D7BA4475B4A0852C5D13CFF8.edm" hidden="1">#REF!</definedName>
    <definedName name="_bdm.4DAC183527334D6BAFA083B3AD54F6FE.edm" hidden="1">#REF!</definedName>
    <definedName name="_bdm.4DBE515A54FE47D6B9A7E644CC26EEB5.edm" hidden="1">#REF!</definedName>
    <definedName name="_bdm.4E2453ACA1164E4F9DE66B578B5DC673.edm" hidden="1">#REF!</definedName>
    <definedName name="_bdm.4E3A1B06394F49F6898D085C45BB8270.edm" hidden="1">#REF!</definedName>
    <definedName name="_bdm.4E7500AC6ED74E32AED59317816D5641.edm" hidden="1">#REF!</definedName>
    <definedName name="_bdm.4E78C50AB8384696B0A34C1640251CFF.edm" hidden="1">#REF!</definedName>
    <definedName name="_bdm.4E86172168884FB193D20147E5C8C2CA.edm" hidden="1">#REF!</definedName>
    <definedName name="_bdm.4ef6ea5018de4b3f9a479206e7b7cdb4.edm" hidden="1">#REF!</definedName>
    <definedName name="_bdm.4F305DAC4DB9442081788096E4D30134.edm" hidden="1">#REF!</definedName>
    <definedName name="_bdm.4F9534814F44470A868A6565FC244501.edm" hidden="1">#REF!</definedName>
    <definedName name="_bdm.4FB79880134E4D11A876E4AF268F9A57.edm" hidden="1">#REF!</definedName>
    <definedName name="_bdm.4FCB5A6D1ACE4A52A3A3DD86A153F974.edm" hidden="1">#REF!</definedName>
    <definedName name="_bdm.4FEA93C726D940BAAE92F305655BC917.edm" hidden="1">#REF!</definedName>
    <definedName name="_bdm.500457f5019e4373850b07c1d95eebb1.edm" hidden="1">#REF!</definedName>
    <definedName name="_bdm.5069BA2024754A148D5A23D7455F6196.edm" hidden="1">#REF!</definedName>
    <definedName name="_bdm.50CAF69B9059400FA28ACEB2A5F248BB.edm" hidden="1">#REF!</definedName>
    <definedName name="_bdm.50D2E628D0794ABE99FE2CE159CE0342.edm" hidden="1">#REF!</definedName>
    <definedName name="_bdm.5181041A497144AB88CF9C88BB49D506.edm" hidden="1">#REF!</definedName>
    <definedName name="_bdm.51FE70D6F9B14404A166298D2C97727D.edm" hidden="1">#REF!</definedName>
    <definedName name="_bdm.5280DBFCCAD0490FB99E27844F1A1C00.edm" hidden="1">#REF!</definedName>
    <definedName name="_bdm.529A972031BD44A8B90C1ADA416EFCE6.edm" hidden="1">#REF!</definedName>
    <definedName name="_bdm.5414C1F1B4A44232B58F3AD87C551CC9.edm" hidden="1">#REF!</definedName>
    <definedName name="_bdm.541A234F87204DC8BC58424A03CE44B9.edm" hidden="1">#REF!</definedName>
    <definedName name="_bdm.543E92F2F2124CB49B8ABD33B6F03AE5.edm" hidden="1">#REF!</definedName>
    <definedName name="_bdm.547a448295ff48faacbb33bb0db68307.edm" hidden="1">#REF!</definedName>
    <definedName name="_bdm.566922792B3E4430A6D7E24D354AC09B.edm" hidden="1">#REF!</definedName>
    <definedName name="_bdm.57b205f16da64ae2a2fee6433d09b85b.edm" hidden="1">#REF!</definedName>
    <definedName name="_bdm.582EEAB414B24151ABD71A1C4887AC70.edm" hidden="1">#REF!</definedName>
    <definedName name="_bdm.58e107cd0af04ea0b783ad9001d145b1.edm" hidden="1">#REF!</definedName>
    <definedName name="_bdm.5B55468FE5014C8AA9273B14A5A8E711.edm" hidden="1">#REF!</definedName>
    <definedName name="_bdm.5C78818BCBD845B78140A4B9DF16D49A.edm" hidden="1">#REF!</definedName>
    <definedName name="_bdm.5D3B3155F804470A8610156C943AEA9F.edm" hidden="1">#REF!</definedName>
    <definedName name="_bdm.5D846D8785B342F89EB60E7D0062BAE4.edm" hidden="1">#REF!</definedName>
    <definedName name="_bdm.5E7083607DA04475934852A7E6FB68FC.edm" hidden="1">#REF!</definedName>
    <definedName name="_bdm.5F6B8E8758664960BBA59B1AF8882B2C.edm" hidden="1">#REF!</definedName>
    <definedName name="_bdm.5F843B6588894F938BFACF6EF4DB0D4F.edm" hidden="1">#REF!</definedName>
    <definedName name="_bdm.5FFEB117BAC84E6A92BDE47AB8EFAA51.edm" hidden="1">#REF!</definedName>
    <definedName name="_bdm.6009F083C91F4966AFBD1CC63348D599.edm" hidden="1">#REF!</definedName>
    <definedName name="_bdm.60120253D71A456FACE291EEC9C1DB00.edm" hidden="1">#REF!</definedName>
    <definedName name="_bdm.60E2408C2AD34815BF6D9FE1373FD45B.edm" hidden="1">#REF!</definedName>
    <definedName name="_bdm.61348E76166746B39A5FF91246838B37.edm" hidden="1">#REF!</definedName>
    <definedName name="_bdm.616AC02C71FF479A8C43CF43788199E6.edm" hidden="1">#REF!</definedName>
    <definedName name="_bdm.61F7BE38430840C9BDE6F192E9916E3E.edm" hidden="1">#REF!</definedName>
    <definedName name="_bdm.621683EAD1B6481C9FB961F232D7B5ED.edm" hidden="1">#REF!</definedName>
    <definedName name="_bdm.6290EA298B1C47CCBF9F819869071AE0.edm" hidden="1">#REF!</definedName>
    <definedName name="_bdm.62A7462518A64EA28D3699DC6BDA8026.edm" hidden="1">#REF!</definedName>
    <definedName name="_bdm.6323473A60C940408C8FD879245BAA43.edm" hidden="1">#REF!</definedName>
    <definedName name="_bdm.639A4EBE372D4BA39516551CFABD8E6B.edm" hidden="1">#REF!</definedName>
    <definedName name="_bdm.640EE395A7D6479C9D2C77AE8382D901.edm" hidden="1">#REF!</definedName>
    <definedName name="_bdm.666F99A9108D4C44AA583D94B03EA610.edm" hidden="1">#REF!</definedName>
    <definedName name="_bdm.66ABF8C0CB114D168D71F0DC211E2A5C.edm" hidden="1">#REF!</definedName>
    <definedName name="_bdm.66CE3FE37BF14764BF457B7C8416FF1B.edm" hidden="1">#REF!</definedName>
    <definedName name="_bdm.68913FD3DC8D4AEE95FEB5731948D5A9.edm" hidden="1">#REF!</definedName>
    <definedName name="_bdm.68DFB314ACA14843B499882F591C77A0.edm" hidden="1">#REF!</definedName>
    <definedName name="_bdm.6934A04A69A249B8A497167554D5ED37.edm" hidden="1">#REF!</definedName>
    <definedName name="_bdm.698B3BC33BE34D21A144E6915F5C364D.edm" hidden="1">#REF!</definedName>
    <definedName name="_bdm.69C44124BA8C4881B6B58521F9657B20.edm" hidden="1">#REF!</definedName>
    <definedName name="_bdm.69C6B13753CF4A02A0D506EE93C1597D.edm" hidden="1">#REF!</definedName>
    <definedName name="_bdm.69E23144D8B345FBA0FAAD7344CED17D.edm" hidden="1">#REF!</definedName>
    <definedName name="_bdm.6b3a47f789f14c0e8b3277171a1a4a10.edm" hidden="1">#REF!</definedName>
    <definedName name="_bdm.6C399C673A5B4354A3DA0327B5A98522.edm" hidden="1">#REF!</definedName>
    <definedName name="_bdm.6C8FFFD7B17D4D4FBDC36D32D9D678CB.edm" hidden="1">#REF!</definedName>
    <definedName name="_bdm.6c99d81bdaec43c08abbcbf3fda44828.edm" hidden="1">#REF!</definedName>
    <definedName name="_bdm.6CA806FD73B840CD9476AAFD55F6ABC1.edm" hidden="1">#REF!</definedName>
    <definedName name="_bdm.6CC2B0910671451483DAD3B697521D06.edm" hidden="1">#REF!</definedName>
    <definedName name="_bdm.6E8D4D2E1C8641D99547EBF323B54C2F.edm" hidden="1">#REF!</definedName>
    <definedName name="_bdm.6F00018117DA4E9787CFD48631602EF2.edm" hidden="1">#REF!</definedName>
    <definedName name="_bdm.6F1610B3CA824EAB81A2D256FFE0E5E9.edm" hidden="1">#REF!</definedName>
    <definedName name="_bdm.6F6BF8DFD21D45F1B8F76F991AC3C432.edm" hidden="1">#REF!</definedName>
    <definedName name="_bdm.6FAFA432554F453382729773FC5C1F81.edm" hidden="1">#REF!</definedName>
    <definedName name="_bdm.6FE5E7E8D511496B95595342B307BFCF.edm" hidden="1">#REF!</definedName>
    <definedName name="_bdm.70067247738D406485EE4A3986799B56.edm" hidden="1">#REF!</definedName>
    <definedName name="_bdm.7019d1a58ae748539760fb3667185ce9.edm" hidden="1">#REF!</definedName>
    <definedName name="_bdm.71381D866AF144879FE51DE1799DD6B7.edm" hidden="1">#REF!</definedName>
    <definedName name="_bdm.718007829FE1421F830598534A3C303D.edm" hidden="1">#REF!</definedName>
    <definedName name="_bdm.728C4D4E5EDF4A5F8E066A265B7901C3.edm" hidden="1">#REF!</definedName>
    <definedName name="_bdm.72A517D2EC4D40A39D3518FC2332A36D.edm" hidden="1">#REF!</definedName>
    <definedName name="_bdm.7309C979757442CD9D511ECFDBE37F71.edm" hidden="1">#REF!</definedName>
    <definedName name="_bdm.73A29436EA72430EA3026A8E0C392288.edm" hidden="1">#REF!</definedName>
    <definedName name="_bdm.74447244A5654244AE2F0BFC71E65F4E.edm" hidden="1">#REF!</definedName>
    <definedName name="_bdm.7480C6E4167B48BABCF271FCDC4377AE.edm" hidden="1">#REF!</definedName>
    <definedName name="_bdm.75068E39EC6D4E9C888D9E2DB5F16DFB.edm" hidden="1">#REF!</definedName>
    <definedName name="_bdm.756ABEC9CC60404788768BC0E75D4A96.edm" hidden="1">#REF!</definedName>
    <definedName name="_bdm.76070E56B27E49E5A2F1D888D8E45705.edm" hidden="1">#REF!</definedName>
    <definedName name="_bdm.76BA3C1D997248FE80207DD33F01682B.edm" hidden="1">#REF!</definedName>
    <definedName name="_bdm.7863ADF0CC9C48CEB6F4E88860418933.edm" hidden="1">#REF!</definedName>
    <definedName name="_bdm.78e842f986e048b2a18a5168203e470a.edm" hidden="1">#REF!</definedName>
    <definedName name="_bdm.79EF2DA8E7DD4B06B75F38C9507DA1C6.edm" hidden="1">#REF!</definedName>
    <definedName name="_bdm.7A0D6EF83F414FDD8C550740EBD1D8B9.edm" hidden="1">#REF!</definedName>
    <definedName name="_bdm.7A38724E3881402C8BB45A527BF76493.edm" hidden="1">#REF!</definedName>
    <definedName name="_bdm.7A5A30607FBC4F96B6103DE043B12CB0.edm" hidden="1">#REF!</definedName>
    <definedName name="_bdm.7A9EC36ECD5D4D6C94C12240738FE789.edm" hidden="1">#REF!</definedName>
    <definedName name="_bdm.7AD2531470004260BA513223C7A0828D.edm" hidden="1">#REF!</definedName>
    <definedName name="_bdm.7B16D587D713415AB58553D0420900D6.edm" hidden="1">#REF!</definedName>
    <definedName name="_bdm.7BBB8CE8B290490D9FD4CCA76F8F632B.edm" hidden="1">#REF!</definedName>
    <definedName name="_bdm.7BF8447DC95E4417993F0CBC4E699CAF.edm" hidden="1">#REF!</definedName>
    <definedName name="_bdm.7CE90E21F38B444FA69E6163AFFD3245.edm" hidden="1">#REF!</definedName>
    <definedName name="_bdm.7DA6D2855E134CC2ACC8EB8A5F141459.edm" hidden="1">#REF!</definedName>
    <definedName name="_bdm.7DD722F8207345C597BF167402B2D38C.edm" hidden="1">#REF!</definedName>
    <definedName name="_bdm.7E1C52FF8E05407EBC63F483518DCC48.edm" hidden="1">#REF!</definedName>
    <definedName name="_bdm.7E1F3BC48C2D4ADBA0B1E77089203073.edm" hidden="1">#REF!</definedName>
    <definedName name="_bdm.7E4BE4EEECD94350BA1F81CF18EE4451.edm" hidden="1">#REF!</definedName>
    <definedName name="_bdm.7E59C4AB9B76431F89157B52F58D8DD8.edm" hidden="1">#REF!</definedName>
    <definedName name="_bdm.7EE93FC3EF8B41A381740C6EDDE1E054.edm" hidden="1">#REF!</definedName>
    <definedName name="_bdm.7F5E12762D38494DA899E8A4C8F31373.edm" hidden="1">#REF!</definedName>
    <definedName name="_bdm.816EB66BDC1D4166B9405623427C38D9.edm" hidden="1">#REF!</definedName>
    <definedName name="_bdm.81A0ED12D1174D63862C9531D58FB93E.edm" hidden="1">#REF!</definedName>
    <definedName name="_bdm.81E2944A2CDB4A0EA5AB4BF71B438DA7.edm" hidden="1">#REF!</definedName>
    <definedName name="_bdm.82088D73009145DCACA5C6AC457B517A.edm" hidden="1">#REF!</definedName>
    <definedName name="_bdm.8307BA67B82942F3B5BCD3344CBC5EA0.edm" hidden="1">#REF!</definedName>
    <definedName name="_bdm.830F452FA4194F1897A6FF85169490A3.edm" hidden="1">#REF!</definedName>
    <definedName name="_bdm.839E77C7E9844843B4CB74E20210EEF1.edm" hidden="1">#REF!</definedName>
    <definedName name="_bdm.85b0e48a3c9b421f984152d680ab4aaa.edm" hidden="1">#REF!</definedName>
    <definedName name="_bdm.85EA2B6504614C828E75C775E05EF21F.edm" hidden="1">#REF!</definedName>
    <definedName name="_bdm.8610eb432a16472c90366a42dad0d0db.edm" hidden="1">#REF!</definedName>
    <definedName name="_bdm.8675D84CDC46450A9641B76A1F4950D3.edm" hidden="1">#REF!</definedName>
    <definedName name="_bdm.86CA2EA0DB94474C867C08F6A122C71B.edm" hidden="1">#REF!</definedName>
    <definedName name="_bdm.86F2C18EAE2C4294BD3C2D02C1A6FAEF.edm" hidden="1">#REF!</definedName>
    <definedName name="_bdm.878B9626D95E41EA9D2C01DECAE640AA.edm" hidden="1">#REF!</definedName>
    <definedName name="_bdm.87D2571E3E204BA69485BB377CC55F55.edm" hidden="1">#REF!</definedName>
    <definedName name="_bdm.88003136591E40708373EE4E0250B891.edm" hidden="1">#REF!</definedName>
    <definedName name="_bdm.88EF9CE6653D490E8774EFAC42DFB550.edm" hidden="1">#REF!</definedName>
    <definedName name="_bdm.89D81C3D8354482399BEB6B8833490F5.edm" hidden="1">#REF!</definedName>
    <definedName name="_bdm.89F68EFA428A46179FEC4DA8C1C9B569.edm" hidden="1">#REF!</definedName>
    <definedName name="_bdm.8A193B5974294548B4967B9C0BF10F0D.edm" hidden="1">#REF!</definedName>
    <definedName name="_bdm.8AA3A01A9F304C169EDE41957E2E1237.edm" hidden="1">#REF!</definedName>
    <definedName name="_bdm.8AE0E8B02313474EA588BCAB4FEF17D0.edm" hidden="1">#REF!</definedName>
    <definedName name="_bdm.8B187E02366C4C15A56EB5A59DF561C8.edm" hidden="1">#REF!</definedName>
    <definedName name="_bdm.8B84A91D38C2492CAA740373376A9C9B.edm" hidden="1">#REF!</definedName>
    <definedName name="_bdm.8B943416F0474F3DA13AEBF8CB920FE6.edm" hidden="1">#REF!</definedName>
    <definedName name="_bdm.8BB73188827547E5A6F85740DAC041B9.edm" hidden="1">#REF!</definedName>
    <definedName name="_bdm.8bff3dcd26094f01b8db86e6473b8139.edm" hidden="1">#REF!</definedName>
    <definedName name="_bdm.8CC581556767469BBE3EDE4196C6D235.edm" hidden="1">#REF!</definedName>
    <definedName name="_bdm.8D6A76799CBD41B88FEA3150BD2CEA93.edm" hidden="1">#REF!</definedName>
    <definedName name="_bdm.8D762CE135E948ADACD0AE4F8EEEAED2.edm" hidden="1">#REF!</definedName>
    <definedName name="_bdm.8F2B2A3F8B694887B41CBD93EC452462.edm" hidden="1">#REF!</definedName>
    <definedName name="_bdm.8FCB78803D0B413080DE57A74841D53E.edm" hidden="1">#REF!</definedName>
    <definedName name="_bdm.9056EF6E83064064A653E6337F9A7AF8.edm" hidden="1">#REF!</definedName>
    <definedName name="_bdm.905BB02C6CC049DD82B320C06E068458.edm" hidden="1">#REF!</definedName>
    <definedName name="_bdm.9132680c8b7b4f9b8042c6ad993c689b.edm" hidden="1">#REF!</definedName>
    <definedName name="_bdm.919C4FD80E62432B89AE11DC0C136477.edm" hidden="1">#REF!</definedName>
    <definedName name="_bdm.91CD4DEC29C049BD929A8110F777B566.edm" hidden="1">#REF!</definedName>
    <definedName name="_bdm.92FE6DC103C64A18836880A44A3907C3.edm" hidden="1">#REF!</definedName>
    <definedName name="_bdm.94006DA267204C93AE1BEDEEE6D3D765.edm" hidden="1">#REF!</definedName>
    <definedName name="_bdm.94E749715624467E9EB28D3C236A57A3.edm" hidden="1">#REF!</definedName>
    <definedName name="_bdm.952B4053AABD41AB896143D823D23DC8.edm" hidden="1">#REF!</definedName>
    <definedName name="_bdm.954848313B6C45B1B4AC00EB79232C65.edm" hidden="1">#REF!</definedName>
    <definedName name="_bdm.9551B418BCFA458EAB3CF058EAD21F47.edm" hidden="1">#REF!</definedName>
    <definedName name="_bdm.958054DB35734DA7BE4A3D37757BACB5.edm" hidden="1">#REF!</definedName>
    <definedName name="_bdm.95990DE47B2F4ADB9C79A6FEB420FF08.edm" hidden="1">#REF!</definedName>
    <definedName name="_bdm.96CE0473F51640CA84C7D4695D661D7C.edm" hidden="1">#REF!</definedName>
    <definedName name="_bdm.970399334C004044A6F77B7888A9EBE7.edm" hidden="1">#REF!</definedName>
    <definedName name="_bdm.971DAA1D9B2347A1AF812221ED3A7605.edm" hidden="1">#REF!</definedName>
    <definedName name="_bdm.97C9F36FF5C646EFB477715CEBBD4B2F.edm" hidden="1">#REF!</definedName>
    <definedName name="_bdm.98084AB8CA494830A0714C6A7574B2C5.edm" hidden="1">#REF!</definedName>
    <definedName name="_bdm.98A08D76DCA047688A3462CD379512A7.edm" hidden="1">#REF!</definedName>
    <definedName name="_bdm.9926DB956C15476B88F3DFE994A641B7.edm" hidden="1">#REF!</definedName>
    <definedName name="_bdm.9935AB17428A4A419D561A38D28A0C43.edm" hidden="1">#REF!</definedName>
    <definedName name="_bdm.9B4D7B7E2D204AF4BFA8D1954DB95A30.edm" hidden="1">#REF!</definedName>
    <definedName name="_bdm.9bb7fa17b7f543a3aac3cc11da9fb120.edm" hidden="1">#REF!</definedName>
    <definedName name="_bdm.9BFCD7804FD543C883426C815DE9C8D0.edm" hidden="1">#REF!</definedName>
    <definedName name="_bdm.9C6EE367D7944115A64EE087F5679651.edm" hidden="1">#REF!</definedName>
    <definedName name="_bdm.9CCEC3629FD3490E9039A89F1AE78B1C.edm" hidden="1">#REF!</definedName>
    <definedName name="_bdm.9D1996AA3FE843249C7080AB942E6FCC.edm" hidden="1">#REF!</definedName>
    <definedName name="_bdm.9D576385AB334E0F91FC7FB7CEA21807.edm" hidden="1">#REF!</definedName>
    <definedName name="_bdm.9EF969AED56042D1B722EE7D9E271807.edm" hidden="1">#REF!</definedName>
    <definedName name="_bdm.9FAB4FDDAD6541FAA5059E2081679182.edm" hidden="1">#REF!</definedName>
    <definedName name="_bdm.A0B2365113E146E391C05B15861A92B4.edm" hidden="1">#REF!</definedName>
    <definedName name="_bdm.A0DFFC5C361147789F8B450F65098316.edm" hidden="1">#REF!</definedName>
    <definedName name="_bdm.A0F8A20A4CE94C70A6497BC5E1C85C44.edm" hidden="1">#REF!</definedName>
    <definedName name="_bdm.A2A1173BB4584A07B5359DA4CC354806.edm" hidden="1">#REF!</definedName>
    <definedName name="_bdm.A333726A5D064575ACE030ED875E24B2.edm" hidden="1">#REF!</definedName>
    <definedName name="_bdm.a33ac77e65e44f38a36307fd5e400cc0.edm" hidden="1">#REF!</definedName>
    <definedName name="_bdm.A34799881A47435499BEAA53D1614624.edm" hidden="1">#REF!</definedName>
    <definedName name="_bdm.A3DBFEEEBB244BD2B2537C6CA81AB73E.edm" hidden="1">#REF!</definedName>
    <definedName name="_bdm.A3F7DC25059C46AA8897944747A7A303.edm" hidden="1">#REF!</definedName>
    <definedName name="_bdm.A4C474BF7972425DA5BDB6E5E2C30822.edm" hidden="1">#REF!</definedName>
    <definedName name="_bdm.A66315C10345430796B02D2E53687E4A.edm" hidden="1">#REF!</definedName>
    <definedName name="_bdm.a6cd4c1e960d4c11b944a38b89ddd6a1.edm" hidden="1">#REF!</definedName>
    <definedName name="_bdm.A6F9F046549D48B2A189609EDAC4CA88.edm" hidden="1">#REF!</definedName>
    <definedName name="_bdm.A748A12A9B3C4D85BBD009D030548D45.edm" hidden="1">#REF!</definedName>
    <definedName name="_bdm.a7806a9d8cb74c198d724b517797fb76.edm" hidden="1">#REF!</definedName>
    <definedName name="_bdm.A7E93B6D8E954382B93A577709C71B7D.edm" hidden="1">#REF!</definedName>
    <definedName name="_bdm.A80A4E64BA8941BEA4C08CA29CFD6D9C.edm" hidden="1">#REF!</definedName>
    <definedName name="_bdm.A845EAF5B830462A895039685D1B10BC.edm" hidden="1">#REF!</definedName>
    <definedName name="_bdm.A87D2D4C54344B8799B903DC2393FAA8.edm" hidden="1">#REF!</definedName>
    <definedName name="_bdm.A8C321F8453B4FF1ACE1A89DDAC1A47C.edm" hidden="1">#REF!</definedName>
    <definedName name="_bdm.A9211BD8F2274F0188D0811117F2C933.edm" hidden="1">#REF!</definedName>
    <definedName name="_bdm.A9EBBF5820954A829CB8C12D88326DCA.edm" hidden="1">#REF!</definedName>
    <definedName name="_bdm.A9F438C455744C46AF514EE269CAB3EA.edm" hidden="1">#REF!</definedName>
    <definedName name="_bdm.AA6F8C2B901448A3B65E6C36E1572C0B.edm" hidden="1">#REF!</definedName>
    <definedName name="_bdm.AAA012BD7B5F44629607D40A00F2D8B7.edm" hidden="1">#REF!</definedName>
    <definedName name="_bdm.AABE723A59D448EAB33DB33D90555BB8.edm" hidden="1">#REF!</definedName>
    <definedName name="_bdm.AB87293030164CD69E6A51019FB32DFB.edm" hidden="1">#REF!</definedName>
    <definedName name="_bdm.AC31221B454844B69226FA81C1ABC9B4.edm" hidden="1">#REF!</definedName>
    <definedName name="_bdm.AC5F6070539641ADA8B45376A8DE723A.edm" hidden="1">#REF!</definedName>
    <definedName name="_bdm.ae386905c1c648a58617e9adfe8278ea.edm" hidden="1">#REF!</definedName>
    <definedName name="_bdm.AE3CECDE1CF444F194028C9C48C374E6.edm" hidden="1">#REF!</definedName>
    <definedName name="_bdm.AE84C6770C1B4DC7A9FFBE46E7BA6349.edm" hidden="1">#REF!</definedName>
    <definedName name="_bdm.aefa50cd85b246968bf52d7992c4931f.edm" hidden="1">#REF!</definedName>
    <definedName name="_bdm.AF0260D98F014A439AD500890343FDE2.edm" hidden="1">#REF!</definedName>
    <definedName name="_bdm.AF2F12C640144CF3A81AE4702E2D5A27.edm" hidden="1">#REF!</definedName>
    <definedName name="_bdm.b1390ca893494939903973a3bcd581f8.edm" hidden="1">#REF!</definedName>
    <definedName name="_bdm.B18B36769FB74919A410430659005982.edm" hidden="1">#REF!</definedName>
    <definedName name="_bdm.B1ACC77B11374E70A5A5E0FBE15F0172.edm" hidden="1">#REF!</definedName>
    <definedName name="_bdm.B3A13DA8531345E3BB58DB26FCFB7FEA.edm" hidden="1">#REF!</definedName>
    <definedName name="_bdm.B3BAC9CC87DB46F299E45963D2C7A541.edm" hidden="1">#REF!</definedName>
    <definedName name="_bdm.B4E731BBDB4A4D329A47277F414E2143.edm" hidden="1">#REF!</definedName>
    <definedName name="_bdm.B4F94CD6C0D7415BBEB01093E52A920B.edm" hidden="1">#REF!</definedName>
    <definedName name="_bdm.B6EB40DA2BC74148B3BAD58053C7511D.edm" hidden="1">#REF!</definedName>
    <definedName name="_bdm.B7D36F24B31141B9A12B1DE97C2730F3.edm" hidden="1">#REF!</definedName>
    <definedName name="_bdm.B80D9F2C93C841C696C5830617D3D444.edm" hidden="1">#REF!</definedName>
    <definedName name="_bdm.B8F69D9574074647A0747CF6CC9FBF9F.edm" hidden="1">#REF!</definedName>
    <definedName name="_bdm.B93E2010E9C447B79B4439E441BD6C15.edm" hidden="1">#REF!</definedName>
    <definedName name="_bdm.B971D09277EA4826B2F89C034C524531.edm" hidden="1">#REF!</definedName>
    <definedName name="_bdm.BABEE40806254FA788679C066DB0C578.edm" hidden="1">#REF!</definedName>
    <definedName name="_bdm.BB02533171A44822A07787909C789279.edm" hidden="1">#REF!</definedName>
    <definedName name="_bdm.BC44528361744132AF0F5A421B5C7FC3.edm" hidden="1">#REF!</definedName>
    <definedName name="_bdm.BC71ECEB93B643E7A3B8D9E90F6A485A.edm" hidden="1">#REF!</definedName>
    <definedName name="_bdm.BE18B4ACB1754D8E9C27AD70A6116BFC.edm" hidden="1">#REF!</definedName>
    <definedName name="_bdm.BE246BF6B1A04A76B3F179A3809B6F09.edm" hidden="1">#REF!</definedName>
    <definedName name="_bdm.BFB0C5E3FCBB484099127966034FEED3.edm" hidden="1">#REF!</definedName>
    <definedName name="_bdm.C0A4B92D76E748FE9101284B76A10BAA.edm" hidden="1">#REF!</definedName>
    <definedName name="_bdm.C0F143BF04944ACD98CDBE98D7ECE5FB.edm" hidden="1">#REF!</definedName>
    <definedName name="_bdm.c1544795927149b9a76c0e245f834eff.edm" hidden="1">#REF!</definedName>
    <definedName name="_bdm.C1A963CD0E714D3AA258AD0836EB9570.edm" hidden="1">#REF!</definedName>
    <definedName name="_bdm.C289B0FACEBA4B079A25C5F15107F64B.edm" hidden="1">#REF!</definedName>
    <definedName name="_bdm.C28CB53727484D02A4D2D4CE5AC1312C.edm" hidden="1">#REF!</definedName>
    <definedName name="_bdm.C296E4AB5CFA4B019F96A80A59CF73C5.edm" hidden="1">#REF!</definedName>
    <definedName name="_bdm.C2D81EE090454E5DA1ED5471919CEFC4.edm" hidden="1">#REF!</definedName>
    <definedName name="_bdm.C33B8DABB37F4B47BBFE72DEE8304F2D.edm" hidden="1">#REF!</definedName>
    <definedName name="_bdm.C39E1ED1AB4D4E0C97005A872B5CE56C.edm" hidden="1">#REF!</definedName>
    <definedName name="_bdm.C3AA4F8006D8497EA2B02278D61FB55A.edm" hidden="1">#REF!</definedName>
    <definedName name="_bdm.C3CE10670CCE408A82CFC6263FA78C18.edm" hidden="1">#REF!</definedName>
    <definedName name="_bdm.C4D7D1D361CF4EF0916E3D3423844E73.edm" hidden="1">#REF!</definedName>
    <definedName name="_bdm.C556F094675C47BDB4F790108B2E3C13.edm" hidden="1">#REF!</definedName>
    <definedName name="_bdm.C589B0FF3CB3437E833F4EF34FBCBD9E.edm" hidden="1">#REF!</definedName>
    <definedName name="_bdm.C67D3F0F5497425998E5C964B025728F.edm" hidden="1">#REF!</definedName>
    <definedName name="_bdm.C6B3C991591B40119A402DEA9F0280A9.edm" hidden="1">#REF!</definedName>
    <definedName name="_bdm.C6CE7298F6ED401C9BF70523F8427C35.edm" hidden="1">#REF!</definedName>
    <definedName name="_bdm.C853C27FB82742D6B56E80FC3879F316.edm" hidden="1">#REF!</definedName>
    <definedName name="_bdm.C862C963309641EAA7082E4F79233FA5.edm" hidden="1">#REF!</definedName>
    <definedName name="_bdm.C89F1F20AAE54A81BE5C7D527FBA1C69.edm" hidden="1">#REF!</definedName>
    <definedName name="_bdm.C909614432F0490CB9E7290F95485085.edm" hidden="1">#REF!</definedName>
    <definedName name="_bdm.C914A1D8B904401C9057A8D116E43ED0.edm" hidden="1">#REF!</definedName>
    <definedName name="_bdm.C976480351B44C749B64B549B5F34595.edm" hidden="1">#REF!</definedName>
    <definedName name="_bdm.CAC2C96F5E2749EDBD375DD28970CB25.edm" hidden="1">#REF!</definedName>
    <definedName name="_bdm.CAED5D643DD349D69909F81247CE4D30.edm" hidden="1">#REF!</definedName>
    <definedName name="_bdm.CB7FD5E3C7B74B35B024CD94BC3FF2B2.edm" hidden="1">#REF!</definedName>
    <definedName name="_bdm.CBCE49ABF7054C7D8635DCFD42C62637.edm" hidden="1">#REF!</definedName>
    <definedName name="_bdm.CBF106E81AF1407B914F61C42239D28B.edm" hidden="1">#REF!</definedName>
    <definedName name="_bdm.CDA551690EFE4B4391B813A6E4032634.edm" hidden="1">#REF!</definedName>
    <definedName name="_bdm.CE89B004C73545ACB0BE71E70D632B47.edm" hidden="1">#REF!</definedName>
    <definedName name="_bdm.CE9EC8736DF142299D3F894E5EAAE5FD.edm" hidden="1">#REF!</definedName>
    <definedName name="_bdm.CECDEC8EDBC1497FB35369A87F04C793.edm" hidden="1">#REF!</definedName>
    <definedName name="_bdm.CF62BCAB9FA1479DB9331FC1B4C68B65.edm" hidden="1">#REF!</definedName>
    <definedName name="_bdm.CFE8E2C0C3824673B4C0E9027E9603A6.edm" hidden="1">#REF!</definedName>
    <definedName name="_bdm.D1172C07BB584B51B5F46FF7F1084F52.edm" hidden="1">#REF!</definedName>
    <definedName name="_bdm.D15F84994B60481AA4CF39B339E351A2.edm" hidden="1">#REF!</definedName>
    <definedName name="_bdm.D16415DCDFE3493BBD27F9D3AE9FF201.edm" hidden="1">#REF!</definedName>
    <definedName name="_bdm.d18722a2839c4269b5b35e1fdf4e1f2b.edm" hidden="1">#REF!</definedName>
    <definedName name="_bdm.D19A5A77BF1E49BF816E1C3D37CD2F0E.edm" hidden="1">#REF!</definedName>
    <definedName name="_bdm.D1D86EA3753049C8A1D46C64A006BCA0.edm" hidden="1">#REF!</definedName>
    <definedName name="_bdm.d1ea8416cce045259e5f6f84086d3641.edm" hidden="1">#REF!</definedName>
    <definedName name="_bdm.D23415B2898A4562A5221AC7E29FE73F.edm" hidden="1">#REF!</definedName>
    <definedName name="_bdm.D276243E22D94532A50DC1391014A619.edm" hidden="1">#REF!</definedName>
    <definedName name="_bdm.D31DBB81AE90443CB15F376CAFF6928F.edm" hidden="1">#REF!</definedName>
    <definedName name="_bdm.D3AB437E29C644D481E68F051D19F897.edm" hidden="1">#REF!</definedName>
    <definedName name="_bdm.D58C5ED5385E4698AF4D6CBD4A4185C9.edm" hidden="1">#REF!</definedName>
    <definedName name="_bdm.D5B9290E432D4221826A56FD5D91C018.edm" hidden="1">#REF!</definedName>
    <definedName name="_bdm.D6F2AD185D104FC99B042170EDD54956.edm" hidden="1">#REF!</definedName>
    <definedName name="_bdm.D804A8B72E4C4024A8737E5F2F37BDFC.edm" hidden="1">#REF!</definedName>
    <definedName name="_bdm.D825CA71941E497CAEDAC6D318B6E776.edm" hidden="1">#REF!</definedName>
    <definedName name="_bdm.D909D149F98E40CEB99976E91BEA2AC6.edm" hidden="1">#REF!</definedName>
    <definedName name="_bdm.DA4BF50061BE4712B25D9FAA9B988107.edm" hidden="1">#REF!</definedName>
    <definedName name="_bdm.DB5FF4E00B694546B6EF2EC478D5D574.edm" hidden="1">#REF!</definedName>
    <definedName name="_bdm.dba54b6eb7d54c36be1672764e822933.edm" hidden="1">#REF!</definedName>
    <definedName name="_bdm.DC341461D3844DBBA8AE8912D3CC723A.edm" hidden="1">#REF!</definedName>
    <definedName name="_bdm.dc567bb7748c4bd2bee6d3b793596c41.edm" hidden="1">#REF!</definedName>
    <definedName name="_bdm.DD22B8AE80F6499C847C8CF57B4AA32B.edm" hidden="1">#REF!</definedName>
    <definedName name="_bdm.DD4C989E4A99427188E8CB481B442484.edm" hidden="1">#REF!</definedName>
    <definedName name="_bdm.DD4E3C79D05948ABA4F274E6E8D77EFB.edm" hidden="1">#REF!</definedName>
    <definedName name="_bdm.DE3CEC25B50848CB925F10F03215F291.edm" hidden="1">#REF!</definedName>
    <definedName name="_bdm.DE580986D10C40688C11E0C1ACC0BB7F.edm" hidden="1">#REF!</definedName>
    <definedName name="_bdm.DE648A5F7CE74633BDBA77AC9C602036.edm" hidden="1">#REF!</definedName>
    <definedName name="_bdm.DF4A457FD4F746B39379B252718A048A.edm" hidden="1">#REF!</definedName>
    <definedName name="_bdm.df52015194c547e4affa04506cacc0af.edm" hidden="1">#REF!</definedName>
    <definedName name="_bdm.DF82CE101B1B44C5A7DD77DE282F4504.edm" hidden="1">#REF!</definedName>
    <definedName name="_bdm.E0DD0B24504546E998431A90925B7A28.edm" hidden="1">#REF!</definedName>
    <definedName name="_bdm.e2b95fd2e4634c0db342b835e4f70bf0.edm" hidden="1">#REF!</definedName>
    <definedName name="_bdm.e3474cf4100a43f5ac6a0cff48323a6c.edm" hidden="1">#REF!</definedName>
    <definedName name="_bdm.E36C009F49EF4995B415059C793CDE6F.edm" hidden="1">#REF!</definedName>
    <definedName name="_bdm.E446AD1A204E453C8176A6030BF43D96.edm" hidden="1">#REF!</definedName>
    <definedName name="_bdm.E4762CC5D00A41E6870DFC8A7CBF8BA1.edm" hidden="1">#REF!</definedName>
    <definedName name="_bdm.E47945B7EE6A46BEB53961042CF7CD35.edm" hidden="1">#REF!</definedName>
    <definedName name="_bdm.E501377E2FF04C59927F1E0DEC455980.edm" hidden="1">#REF!</definedName>
    <definedName name="_bdm.E51EBF62D81F424A8D4FD42D783BB86F.edm" hidden="1">#REF!</definedName>
    <definedName name="_bdm.E5E464435EB84E9689A9E6DDFED6A763.edm" hidden="1">#REF!</definedName>
    <definedName name="_bdm.E5F3919F5DC640EDA776C61CDFF3318F.edm" hidden="1">#REF!</definedName>
    <definedName name="_bdm.E67F62222044404C8EF22463EB4EEF4C.edm" hidden="1">#REF!</definedName>
    <definedName name="_bdm.E6CE60FB1C8F46A78BAA4AD2FC17A66C.edm" hidden="1">#REF!</definedName>
    <definedName name="_bdm.E7ED750937E94C74A9C049411437DEA0.edm" hidden="1">#REF!</definedName>
    <definedName name="_bdm.E81F319410D74C749DEB27A69B5A3157.edm" hidden="1">#REF!</definedName>
    <definedName name="_bdm.E84F47B759A24456B59F3346448A960E.edm" hidden="1">#REF!</definedName>
    <definedName name="_bdm.E8FE1CF61913499BA4D49150528096DD.edm" hidden="1">#REF!</definedName>
    <definedName name="_bdm.E90480F364564036809C5E4543877727.edm" hidden="1">#REF!</definedName>
    <definedName name="_bdm.E9718EE3EC044946B119D2181040AE30.edm" hidden="1">#REF!</definedName>
    <definedName name="_bdm.E9F4DDDC6B9544A4866343348AD73098.edm" hidden="1">#REF!</definedName>
    <definedName name="_bdm.EA07319299254F0D92C9B891B4E709F9.edm" hidden="1">#REF!</definedName>
    <definedName name="_bdm.EA4D0267849F473A904AC33D92BDB0DB.edm" hidden="1">#REF!</definedName>
    <definedName name="_bdm.EAB7C8D2C57B418BB3561FD4EED13D00.edm" hidden="1">#REF!</definedName>
    <definedName name="_bdm.eb18e52439254a12adc98deed0280945.edm" hidden="1">#REF!</definedName>
    <definedName name="_bdm.EB79A52589E344C0A643A498540130D3.edm" hidden="1">#REF!</definedName>
    <definedName name="_bdm.EBC61FC2902F4D3482FC8540860F42BB.edm" hidden="1">#REF!</definedName>
    <definedName name="_bdm.EC06DA9DF6F549EFA2BEA8D56144DC64.edm" hidden="1">#REF!</definedName>
    <definedName name="_bdm.EC3D69D13D4249D2B3E8AB8AEBF2FBB6.edm" hidden="1">#REF!</definedName>
    <definedName name="_bdm.EC6DF981DEE3472FAB8BEAAA67FBE342.edm" hidden="1">#REF!</definedName>
    <definedName name="_bdm.ECA3BB100CFB4378A079EE8D59A57475.edm" hidden="1">#REF!</definedName>
    <definedName name="_bdm.ECA5526E73284D01BFDE30C11571C7D1.edm" hidden="1">#REF!</definedName>
    <definedName name="_bdm.ED5BDAA96E654EB0ABE9142BF0504D16.edm" hidden="1">#REF!</definedName>
    <definedName name="_bdm.EEBDB8C577AA486FB429BBB6995D03D7.edm" hidden="1">#REF!</definedName>
    <definedName name="_bdm.F0B8462061B242D4881D0889FD1E0657.edm" hidden="1">#REF!</definedName>
    <definedName name="_bdm.F1F39B7563084625BAE8DBB66AA7D4A9.edm" hidden="1">#REF!</definedName>
    <definedName name="_bdm.F21DF670F5C64956B07B08E470704816.edm" hidden="1">#REF!</definedName>
    <definedName name="_bdm.F3476ABA8BDB4F059210D2DD01DFB30B.edm" hidden="1">#REF!</definedName>
    <definedName name="_bdm.F4C31A2687334BDDA192A7089B24D354.edm" hidden="1">#REF!</definedName>
    <definedName name="_bdm.F51D0BBD661F414AA0B60EB3BBA0EBE3.edm" hidden="1">#REF!</definedName>
    <definedName name="_bdm.F64399AA833F40C1B4CA12693628D620.edm" hidden="1">#REF!</definedName>
    <definedName name="_bdm.F77DCB52D56748B48943A01DF47B4A8C.edm" hidden="1">#REF!</definedName>
    <definedName name="_bdm.F7FB16CDAF374F94A89544671A7D8635.edm" hidden="1">#REF!</definedName>
    <definedName name="_bdm.F8A8DCEB4DD84118B520FF6070B6FAA2.edm" hidden="1">#REF!</definedName>
    <definedName name="_bdm.F98CABE949D14175AD2E72C425DACEE4.edm" hidden="1">#REF!</definedName>
    <definedName name="_bdm.FA89A151DB2A46DEBEA6FD04DA7F17DF.edm" hidden="1">#REF!</definedName>
    <definedName name="_bdm.FBC1C28083114130895FA9C0D095C587.edm" hidden="1">#REF!</definedName>
    <definedName name="_bdm.FBC8F4734CD44B95848F689416B40C4F.edm" hidden="1">#REF!</definedName>
    <definedName name="_bdm.FBCF1A22AC5448DA92D30B7B46810780.edm" hidden="1">#REF!</definedName>
    <definedName name="_bdm.fbd9922d7cd54ec8a24c34335de5ada7.edm" hidden="1">#REF!</definedName>
    <definedName name="_bdm.FBF4DFA4665F4EFE8CD2560A20EC279F.edm" hidden="1">#REF!</definedName>
    <definedName name="_bdm.FC93550196814212BCCE876EE028FAA7.edm" hidden="1">#REF!</definedName>
    <definedName name="_bdm.FCEA6FF576054466A0539376CF2D6E83.edm" hidden="1">#REF!</definedName>
    <definedName name="_bdm.FDD43C113F664A439D8DA40A06D83602.edm" hidden="1">#REF!</definedName>
    <definedName name="_bdm.fdf606702b664a6cb047839d9751dbee.edm" hidden="1">#REF!</definedName>
    <definedName name="_bdm.FE2506E390A34C799E68291962D2D072.edm" hidden="1">#REF!</definedName>
    <definedName name="_bdm.FE5B639213404A92843D14CD0B6BC9D0.edm" hidden="1">#REF!</definedName>
    <definedName name="_bdm.FF572A4F8CFC4E7BBB22A51025A51D69.edm" hidden="1">#REF!</definedName>
    <definedName name="_bdm.FFEC93DA97204E7FB3AF033D27A9FD3A.edm" hidden="1">#REF!</definedName>
    <definedName name="_bdm.ToolkitBookmark.6_17_2004_9_35_05_AM.edm" hidden="1">#REF!</definedName>
    <definedName name="_BIO1" hidden="1">{"toc1",#N/A,FALSE,"TOC";"cover",#N/A,FALSE,"Cover";"ts1",#N/A,FALSE,"Transaction Summary";"ei3",#N/A,FALSE,"Earnings Impact";"ad3",#N/A,FALSE,"accretion dilution"}</definedName>
    <definedName name="_bji23" hidden="1">{#N/A,"PURCHM",FALSE,"Business Analysis";#N/A,"SPADD",FALSE,"Business Analysis"}</definedName>
    <definedName name="_bjw1" hidden="1">{#N/A,#N/A,FALSE,"Profit Status";#N/A,#N/A,FALSE,"Invest";#N/A,#N/A,FALSE,"Revenue";#N/A,#N/A,FALSE,"Variable Cost";#N/A,#N/A,FALSE,"Options &amp; Series"}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kd87" hidden="1">{#N/A,"PURCHM",FALSE,"Business Analysis";#N/A,"SPADD",FALSE,"Business Analysis"}</definedName>
    <definedName name="_bud3" hidden="1">{"budget95",#N/A,TRUE,"Tabelle1";"Tab1",#N/A,TRUE,"Tabelle2"}</definedName>
    <definedName name="_c" hidden="1">{#N/A,#N/A,FALSE,"Layout Cash Flow"}</definedName>
    <definedName name="_c83" hidden="1">{0,0,0,0;0,0,0,0;0,0,0,0}</definedName>
    <definedName name="_c88" hidden="1">{0,0,0,0;0,0,0,0;0,0,0,0;0,0,TRUE,0}</definedName>
    <definedName name="_CAP10" hidden="1">{"LC",#N/A,FALSE,"FC-15 Cap Expend"}</definedName>
    <definedName name="_cc1111" hidden="1">#REF!</definedName>
    <definedName name="_cum1" hidden="1">{"SCM_Detail",#N/A,FALSE,"SCM";"SCM_Top",#N/A,FALSE,"SCM"}</definedName>
    <definedName name="_CuN3" hidden="1">{#N/A,#N/A,FALSE,"WOBE_DE.XLS";#N/A,#N/A,FALSE,"WOB_1.XLS";#N/A,#N/A,FALSE,"WOB_2.XLS";#N/A,#N/A,FALSE,"WOB_3.XLS";#N/A,#N/A,FALSE,"WOB_4.XLS";#N/A,#N/A,FALSE,"WOB_5.XLS"}</definedName>
    <definedName name="_d1" hidden="1">{#N/A,#N/A,FALSE,"bel";#N/A,#N/A,FALSE,"neth"}</definedName>
    <definedName name="_d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c01" hidden="1">{"Statement of Income",#N/A,TRUE,"Mar99";"Balance Sheet",#N/A,TRUE,"Mar99"}</definedName>
    <definedName name="_del3" hidden="1">{0}</definedName>
    <definedName name="_DF4" hidden="1">#REF!</definedName>
    <definedName name="_dfd1" hidden="1">{"comp1",#N/A,FALSE,"COMPS";"footnotes",#N/A,FALSE,"COMPS"}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P6434" hidden="1">{"TOTALDPAK",#N/A,FALSE,"DPAK PRODUCTION";"HADPAK",#N/A,FALSE,"DPAK PRODUCTION";"PSIDPAK",#N/A,FALSE,"DPAK PRODUCTION"}</definedName>
    <definedName name="_dwa1" hidden="1">{#N/A,"PURCHM",FALSE,"Business Analysis";#N/A,"SPADD",FALSE,"Business Analysis"}</definedName>
    <definedName name="_e1" hidden="1">{"'Demand Units'!$Z$2:$AF$53"}</definedName>
    <definedName name="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o2" hidden="1">{"'B1'!$B$3:$E$3"}</definedName>
    <definedName name="_eo4" hidden="1">{"'B1'!$B$3:$E$3"}</definedName>
    <definedName name="_eu93" hidden="1">{"Comp_of_Price_Effect",#N/A,FALSE,"QTRDPVAR"}</definedName>
    <definedName name="_ew10" hidden="1">{"'B1'!$B$3:$E$3"}</definedName>
    <definedName name="_ew2" hidden="1">{"'B1'!$B$3:$E$3"}</definedName>
    <definedName name="_ew3" hidden="1">{"'B1'!$B$3:$E$3"}</definedName>
    <definedName name="_ew4" hidden="1">{"'B1'!$B$3:$E$3"}</definedName>
    <definedName name="_ew5" hidden="1">{"'B1'!$B$3:$E$3"}</definedName>
    <definedName name="_ew6" hidden="1">{"'B1'!$B$3:$E$3"}</definedName>
    <definedName name="_ew8" hidden="1">{"'B1'!$B$3:$E$3"}</definedName>
    <definedName name="_eyr1" hidden="1">{"hiden",#N/A,FALSE,"14";"hidden",#N/A,FALSE,"16";"hidden",#N/A,FALSE,"18";"hidden",#N/A,FALSE,"20"}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5" hidden="1">{"'Sheet1'!$L$16"}</definedName>
    <definedName name="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fds2" hidden="1">{"comps",#N/A,FALSE,"comps";"notes",#N/A,FALSE,"comps"}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xlnm._FilterDatabase" localSheetId="0" hidden="1">'Trial Balance (Susa)'!$A$1:$BC$319</definedName>
    <definedName name="_xlnm._FilterDatabase" hidden="1">#REF!</definedName>
    <definedName name="_Fir1" hidden="1">"03289 DATAGROUP GmbH Konzern"</definedName>
    <definedName name="_Fir2" hidden="1">"DATAGROUP IT Services Holding AG, Pliezhausen"</definedName>
    <definedName name="_Fir3" hidden="1">"DATAGROUP IT Services Holding AG"</definedName>
    <definedName name="_Fir4" hidden="1">"Pliezhausen"</definedName>
    <definedName name="_fy97" hidden="1">{#N/A,#N/A,FALSE,"FY97";#N/A,#N/A,FALSE,"FY98";#N/A,#N/A,FALSE,"FY99";#N/A,#N/A,FALSE,"FY00";#N/A,#N/A,FALSE,"FY01"}</definedName>
    <definedName name="_G1" hidden="1">{"'Future Reviews'!$A$1:$D$58"}</definedName>
    <definedName name="_G2" hidden="1">{"'Future Reviews'!$A$1:$D$58"}</definedName>
    <definedName name="_G3" hidden="1">{#N/A,#N/A,FALSE,"передел"}</definedName>
    <definedName name="_ggf1" hidden="1">{"comps",#N/A,FALSE,"comps";"notes",#N/A,FALSE,"comps"}</definedName>
    <definedName name="_gh1" hidden="1">{"'Data'!$A$1:$D$17"}</definedName>
    <definedName name="_GMX365" hidden="1">{#N/A,#N/A,FALSE,"J-CAR";#N/A,#N/A,FALSE,"gmx-130";#N/A,#N/A,FALSE,"d-186sable";#N/A,#N/A,FALSE,"savana";#N/A,#N/A,FALSE,"d-186taurus";#N/A,#N/A,FALSE,"hb dn";#N/A,#N/A,FALSE,"dakota"}</definedName>
    <definedName name="_GR_AmpelHigher_1" hidden="1">1</definedName>
    <definedName name="_GR_AmpelLower_1" hidden="1">1</definedName>
    <definedName name="_GR_AmpelParameters_1" hidden="1">{1;"Konsol_Eingabe";2;"Konsol_Ausgabe";"Yellow";"No value";TRUE}</definedName>
    <definedName name="_GR_EISLists" hidden="1">{1,"Kursarten","";1,"Währungen",""}</definedName>
    <definedName name="_GR_EISVariables_Default" hidden="1">{1,"Screen","";1,"KW1.Sel","";1,"Kursarten.Sel","";1,"Währungen.Sel","";1,"Kehrwert",""}</definedName>
    <definedName name="_GR_MaskAttributes" hidden="1">{"";TRUE;TRUE;TRUE;TRUE;TRUE;TRUE;"R1C1:R32C11";FALSE;FALSE;FALSE;FALSE;FALSE;FALSE;FALSE;61;FALSE;FALSE;FALSE;FALSE;FALSE;"";FALSE;FALSE}</definedName>
    <definedName name="_GR_MaskObjects_Buttons_63" hidden="1">{3;"Parameter";63;"$C$1";"15-05-01 10:22";"DADMIN";"Start";FALSE;"User";0;1}</definedName>
    <definedName name="_GR_MaskObjects_Buttons_67" hidden="1">{1;"Transaktionskurse";67;"$E$2";"03-09-01 22:25";"DADMIN";"Transaktionskurse";FALSE;"User";0;1}</definedName>
    <definedName name="_GR_MaskObjects_Listboxes_1" hidden="1">{2;FALSE;0;2;"Jahr";2;"Jahr.Sel";FALSE;10;1;1;"$C$4";"17-07-98 17:34";"DADMIN"}</definedName>
    <definedName name="_GR_MaskObjects_Listboxes_3" hidden="1">{2;FALSE;0;2;"Monate_MA";2;"Monate_MA.Sel";FALSE;10;3;1;"$C$5";"17-07-98 17:36";"DADMIN"}</definedName>
    <definedName name="_GR_MaskObjects_Listboxes_34" hidden="1">{2;FALSE;0;2;"Konzernwährung";2;"Konzernwährung.Sel";FALSE;10;34;1;"$C$7";"07-11-99 15:54";"DADMIN"}</definedName>
    <definedName name="_GR_MaskObjects_Listboxes_4" hidden="1">{2;FALSE;0;2;"Version";2;"Version.Sel";FALSE;10;4;1;"$C$6";"17-07-98 17:36";"DADMIN"}</definedName>
    <definedName name="_GR_MaskObjects_Listboxes_90" hidden="1">{2;FALSE;0;1;"Kursarten";1;"Kursarten.Sel";FALSE;10;90;1;"$J$9";"15-04-02 15:55";"DADMIN"}</definedName>
    <definedName name="_GR_MaskObjects_SpecialButtons_11" hidden="1">{14;11;"$A$1";"07-11-99 15:43";"DADMIN";11;"CONTROL.IBS!Währungen_Druck";"";"";"";""}</definedName>
    <definedName name="_GR_MaskObjects_SpecialButtons_15" hidden="1">{14;15;"$A$1";"07-11-99 15:42";"DADMIN";15;"CONTROL.IBS!Währungen_Neu";"";"";"";""}</definedName>
    <definedName name="_GR_MaskObjects_SpecialButtons_21" hidden="1">{2;21;"$D$2";"22-07-99 18:31";"DADMIN";21;"";"";"";"";""}</definedName>
    <definedName name="_GR_MaskObjects_SpecialButtons_24" hidden="1">{1;24;"$D$2";"22-07-99 18:31";"DADMIN";24;"";"";"";"";""}</definedName>
    <definedName name="_GR_MaskObjects_SpecialButtons_43" hidden="1">{14;43;"$A$1";"05-09-00 16:37";"DADMIN";43;"CONTROL.IBS!Scrollbar_change";"";"";"";""}</definedName>
    <definedName name="_GR_MaskObjects_SpecialButtons_44" hidden="1">{14;44;"$A$1";"05-09-00 16:37";"DADMIN";44;"CONTROL.IBS!Scrollbar_change";"";"";"";""}</definedName>
    <definedName name="_GR_MaskObjects_SpecialButtons_45" hidden="1">{14;45;"$A$1";"05-09-00 16:37";"DADMIN";45;"CONTROL.IBS!Scrollbar_change";"";"";"";""}</definedName>
    <definedName name="_GR_MaskObjects_SpecialButtons_46" hidden="1">{14;46;"$A$1";"05-09-00 16:37";"DADMIN";46;"CONTROL.IBS!Scrollbar_change";"";"";"";""}</definedName>
    <definedName name="_GR_MaskObjects_SpecialButtons_47" hidden="1">{14;47;"$A$1";"05-09-00 16:37";"DADMIN";47;"CONTROL.IBS!Scrollbar_change";"";"";"";""}</definedName>
    <definedName name="_GR_MaskObjects_SpecialButtons_48" hidden="1">{14;48;"$A$1";"05-09-00 16:37";"DADMIN";48;"CONTROL.IBS!Scrollbar_change";"";"";"";""}</definedName>
    <definedName name="_GR_MaskObjects_SpecialButtons_49" hidden="1">{14;49;"$A$1";"08-09-00 15:35";"DADMIN";49;"Control.ibs!Call_Help";"";"";"";""}</definedName>
    <definedName name="_GR_MaskObjects_SpecialButtons_6" hidden="1">{14;6;"$A$1";"07-11-99 15:41";"DADMIN";6;"IMPORT.IBS!Wechselkurse_übernehmen";"";"";"";""}</definedName>
    <definedName name="_GR_MaskObjects_SpecialButtons_71" hidden="1">{16;71;"$I$13";"03-04-02 09:51";"DADMIN";71;"";"";"";"";""}</definedName>
    <definedName name="_GR_MaskObjects_SpecialButtons_78" hidden="1">{14;78;"$D$41";"03-04-02 10:08";"DADMIN";78;"CONTROL.IBS!Scrollbar_change";"";"";"";""}</definedName>
    <definedName name="_GR_MaskObjects_SpecialButtons_79" hidden="1">{14;79;"$D$41";"03-04-02 10:08";"DADMIN";79;"CONTROL.IBS!Scrollbar_change";"";"";"";""}</definedName>
    <definedName name="_GR_MaskObjects_SpecialButtons_80" hidden="1">{14;80;"$D$41";"03-04-02 10:08";"DADMIN";80;"CONTROL.IBS!Scrollbar_change";"";"";"";""}</definedName>
    <definedName name="_GR_MaskObjects_SpecialButtons_82" hidden="1">{14;82;"$D$41";"03-04-02 10:08";"DADMIN";82;"CONTROL.IBS!Scrollbar_change";"";"";"";""}</definedName>
    <definedName name="_GR_MaskObjects_SpecialButtons_83" hidden="1">{14;83;"$D$41";"03-04-02 10:08";"DADMIN";83;"CONTROL.IBS!Scrollbar_change";"";"";"";""}</definedName>
    <definedName name="_GR_MaskObjects_SpecialButtons_84" hidden="1">{14;84;"$D$41";"03-04-02 10:09";"DADMIN";84;"CONTROL.IBS!Scrollbar_change";"";"";"";""}</definedName>
    <definedName name="_GR_MaskObjects_SpecialButtons_9" hidden="1">{14;9;"$A$1";"07-11-99 15:42";"DADMIN";9;"CONTROL.IBS!Währungen_CrossRates";"";"";"";""}</definedName>
    <definedName name="_GR_MaskObjects_SpecialButtons_94" hidden="1">{1;94;"$E$4";"24-04-02 21:23";"DADMIN";94;"";"";"";"";""}</definedName>
    <definedName name="_GR_MaskObjects_SpecialButtons_95" hidden="1">{2;95;"$C$2";"24-04-02 21:23";"DADMIN";95;"";"";"";"";""}</definedName>
    <definedName name="_GR_ObjectEvent_34" hidden="1">{FALSE;TRUE;1;"_GR_MaskObjects_DataRanges_1"}</definedName>
    <definedName name="_GR_ObjectEvent_36" hidden="1">{FALSE;TRUE;1;"_GR_MaskObjects_DataRanges_1"}</definedName>
    <definedName name="_GR_ObjectEvent_75" hidden="1">{FALSE;TRUE;1;"_GR_MaskObjects_DataRanges_1"}</definedName>
    <definedName name="_GR_ObjectEvent_76" hidden="1">{FALSE;TRUE;1;"_GR_MaskObjects_DataRanges_1"}</definedName>
    <definedName name="_GR_ObjectEvent_8" hidden="1">{FALSE;TRUE;1;"_GR_MaskObjects_DataRanges_1"}</definedName>
    <definedName name="_GR_ObjectEvent_87" hidden="1">{TRUE;TRUE;1;"_GR_MaskObjects_DataRanges_1"}</definedName>
    <definedName name="_GR_ObjectEvent_88" hidden="1">{TRUE;TRUE;1;"_GR_MaskObjects_DataRanges_1"}</definedName>
    <definedName name="_GR_ObjectEvent_90" hidden="1">{FALSE;TRUE;1;"_GR_MaskObjects_DataRanges_1"}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10" hidden="1">"CF3000012002123120020331"</definedName>
    <definedName name="_GSRATES_2" hidden="1">"CT30000120050725        "</definedName>
    <definedName name="_GSRATES_3" hidden="1">"CT30000120060509        "</definedName>
    <definedName name="_GSRATES_4" hidden="1">"CT30000120051231        "</definedName>
    <definedName name="_GSRATES_5" hidden="1">"CT300001Latest          "</definedName>
    <definedName name="_GSRATES_6" hidden="1">"CF3000012007070120070101"</definedName>
    <definedName name="_GSRATES_7" hidden="1">"CT300001Latest          "</definedName>
    <definedName name="_GSRATES_8" hidden="1">"CT300001Latest          "</definedName>
    <definedName name="_GSRATES_9" hidden="1">"CF3000012002123120020331"</definedName>
    <definedName name="_GSRATES_COUNT" hidden="1">6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guv1" hidden="1">{"K GuV o. Kommentar",#N/A,FALSE,"Kaufhof"}</definedName>
    <definedName name="_guv3" hidden="1">{"K GuV o. Kommentar",#N/A,FALSE,"Kaufhof"}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k01" hidden="1">{"budget95",#N/A,TRUE,"Tabelle1";"Tab1",#N/A,TRUE,"Tabelle2"}</definedName>
    <definedName name="_hr1" hidden="1">#N/A</definedName>
    <definedName name="_hr2" hidden="1">#N/A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I2" hidden="1">{"PVGraph2",#N/A,FALSE,"PV Data"}</definedName>
    <definedName name="_I3" hidden="1">{"PVGraph2",#N/A,FALSE,"PV Data"}</definedName>
    <definedName name="_i6" hidden="1">{"'Demand Units'!$Z$2:$AF$53"}</definedName>
    <definedName name="_JP2" hidden="1">{"'SIVA Pricing Model'!$A$1:$F$39"}</definedName>
    <definedName name="_Jun02" hidden="1">{"Statement of Income",#N/A,TRUE,"Mar99";"Balance Sheet",#N/A,TRUE,"Mar99"}</definedName>
    <definedName name="_k13" hidden="1">{0,0,FALSE,0}</definedName>
    <definedName name="_KAW999929" hidden="1">#REF!</definedName>
    <definedName name="_KAW999934" hidden="1">#REF!</definedName>
    <definedName name="_KAW999950" hidden="1">#REF!</definedName>
    <definedName name="_Key1" hidden="1">#REF!</definedName>
    <definedName name="_Key1a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 hidden="1">#REF!</definedName>
    <definedName name="_kol1" hidden="1">{"away stand alones",#N/A,FALSE,"Target"}</definedName>
    <definedName name="_lb1" hidden="1">#N/A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PS2" hidden="1">{#N/A,#N/A,FALSE,"단축1";#N/A,#N/A,FALSE,"단축2";#N/A,#N/A,FALSE,"단축3";#N/A,#N/A,FALSE,"장축";#N/A,#N/A,FALSE,"4WD"}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ai99" hidden="1">{"en FRF",#N/A,FALSE,"fév99";"en €uros",#N/A,FALSE,"fév99"}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MT6" hidden="1">{"REVISED",#N/A,FALSE,"Sheet1"}</definedName>
    <definedName name="_mno9" hidden="1">{"detail",#N/A,FALSE,"mfg";"summary",#N/A,FALSE,"mfg"}</definedName>
    <definedName name="_MRG2" hidden="1">{"INCOME",#N/A,FALSE,"ProNet";"VALUE",#N/A,FALSE,"ProNet"}</definedName>
    <definedName name="_mw2" hidden="1">{"budget95",#N/A,TRUE,"Tabelle1";"Tab1",#N/A,TRUE,"Tabelle2"}</definedName>
    <definedName name="_mw3" hidden="1">{"budget95",#N/A,TRUE,"Tabelle1";"Tab1",#N/A,TRUE,"Tabelle2"}</definedName>
    <definedName name="_n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_na2" hidden="1">{"'SIVA Pricing Model'!$A$1:$F$39"}</definedName>
    <definedName name="_na3" hidden="1">{"'SIVA Pricing Model'!$A$1:$F$39"}</definedName>
    <definedName name="_nam305" hidden="1">{"detail",#N/A,FALSE,"mfg";"summary",#N/A,FALSE,"mfg"}</definedName>
    <definedName name="_new" hidden="1">#REF!</definedName>
    <definedName name="_new1" hidden="1">{#N/A,#N/A,FALSE,"Pharm";#N/A,#N/A,FALSE,"WWCM"}</definedName>
    <definedName name="_new10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_New2" hidden="1">{"TOTAL",#N/A,FALSE,"A";"FISCAL94",#N/A,FALSE,"A";"FISCAL95",#N/A,FALSE,"A";"FISCAL96",#N/A,FALSE,"A";"misc page",#N/A,FALSE,"A"}</definedName>
    <definedName name="_new3" hidden="1">{"FY98Q1 nvs",#N/A,FALSE,"FY98 - Q1";"FY98Q2 nvs",#N/A,FALSE,"FY98 - Q2";"FY98Q3 nvs",#N/A,FALSE,"FY98 - Q3";"FY98Q4 nvs",#N/A,FALSE,"FY98 - Q4"}</definedName>
    <definedName name="_new4" hidden="1">{"INPUT",#N/A,FALSE,"REVENUE AND GM ";"CONTROL",#N/A,FALSE,"REVENUE AND GM ";"SWITCH",#N/A,FALSE,"REVENUE AND GM ";"OUTPUT",#N/A,FALSE,"REVENUE AND GM ";"TOTAL",#N/A,FALSE,"REVENUE AND GM "}</definedName>
    <definedName name="_new5" hidden="1">{"FY97Total",#N/A,FALSE,"FY97 - Total";"FY98Total",#N/A,FALSE,"FY98 - Total"}</definedName>
    <definedName name="_new6" hidden="1">{"FY97Q1",#N/A,FALSE,"FY97 - Q1";"FY97Q2",#N/A,FALSE,"FY97 - Q2";"FY97Q3",#N/A,FALSE,"FY97 - Q3";"FY97Q4",#N/A,FALSE,"FY97 - Q4"}</definedName>
    <definedName name="_NSO2" hidden="1">{"'Sheet1'!$L$16"}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0" hidden="1">{#N/A,#N/A,FALSE,"Calc";#N/A,#N/A,FALSE,"Sensitivity";#N/A,#N/A,FALSE,"LT Earn.Dil.";#N/A,#N/A,FALSE,"Dil. AVP"}</definedName>
    <definedName name="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ld3" hidden="1">{0,FALSE,4.45014771701848E-308,0}</definedName>
    <definedName name="_Order1" hidden="1">255</definedName>
    <definedName name="_Order2" hidden="1">255</definedName>
    <definedName name="_Order39" hidden="1">255</definedName>
    <definedName name="_OSX2" hidden="1">{"Area1",#N/A,FALSE,"OREWACC";"Area2",#N/A,FALSE,"OREWACC"}</definedName>
    <definedName name="_p" hidden="1">#REF!</definedName>
    <definedName name="_P00balance_sheet_2" hidden="1">#REF!</definedName>
    <definedName name="_P00DCF_Summary" hidden="1">#REF!</definedName>
    <definedName name="_P00drivers_quarterly" hidden="1">#REF!</definedName>
    <definedName name="_P00finacials_quarterly_nots" hidden="1">#REF!</definedName>
    <definedName name="_P00financials_quarterly" hidden="1">#REF!</definedName>
    <definedName name="_P00yearly2" hidden="1">#REF!</definedName>
    <definedName name="_P0lterDatabase" hidden="1">#REF!</definedName>
    <definedName name="_P2" hidden="1">{#N/A,#N/A,FALSE,"단축1";#N/A,#N/A,FALSE,"단축2";#N/A,#N/A,FALSE,"단축3";#N/A,#N/A,FALSE,"장축";#N/A,#N/A,FALSE,"4WD"}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lopasteviewstyle" hidden="1">"White"</definedName>
    <definedName name="_Parse_In" hidden="1">#REF!</definedName>
    <definedName name="_Parse_Out" hidden="1">#REF!</definedName>
    <definedName name="_po1" hidden="1">{#N/A,#N/A,FALSE,"Calc";#N/A,#N/A,FALSE,"Sensitivity";#N/A,#N/A,FALSE,"LT Earn.Dil.";#N/A,#N/A,FALSE,"Dil. AVP"}</definedName>
    <definedName name="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pp1" hidden="1">{#N/A,#N/A,FALSE,"Trends";#N/A,#N/A,FALSE,"As Reported";#N/A,#N/A,FALSE,"(un) Commited"}</definedName>
    <definedName name="_pp2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2" hidden="1">{"'Standalone List Price Trends'!$A$1:$X$56"}</definedName>
    <definedName name="_q234" hidden="1">#N/A</definedName>
    <definedName name="_q3" hidden="1">#REF!</definedName>
    <definedName name="_Q4" hidden="1">{"'Standalone List Price Trends'!$A$1:$X$56"}</definedName>
    <definedName name="_Q5" hidden="1">{"'Standalone List Price Trends'!$A$1:$X$56"}</definedName>
    <definedName name="_q7" hidden="1">{"'Demand Units'!$Z$2:$AF$53"}</definedName>
    <definedName name="_Q9" hidden="1">{"'Standalone List Price Trends'!$A$1:$X$56"}</definedName>
    <definedName name="_qpi111" hidden="1">{"'GS- PS East and LA'!$L$67"}</definedName>
    <definedName name="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r" hidden="1">{"consolidated",#N/A,FALSE,"Sheet1";"cms",#N/A,FALSE,"Sheet1";"fse",#N/A,FALSE,"Sheet1"}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A1" hidden="1">{"'Jan-02'!$F$46:$F$47","'Jan-02'!$F$46:$F$47"}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gression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rder1" hidden="1">0</definedName>
    <definedName name="_rty1" hidden="1">{#N/A,#N/A,TRUE,"Pro Forma";#N/A,#N/A,TRUE,"PF_Bal";#N/A,#N/A,TRUE,"PF_INC";#N/A,#N/A,TRUE,"CBE";#N/A,#N/A,TRUE,"SWK"}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s2" hidden="1">#N/A</definedName>
    <definedName name="_s3" hidden="1">#N/A</definedName>
    <definedName name="_s34" hidden="1">{"QTD_GENERALH2",#N/A,FALSE,"QTD"}</definedName>
    <definedName name="_s4" hidden="1">#N/A</definedName>
    <definedName name="_s5" hidden="1">#N/A</definedName>
    <definedName name="_s6" hidden="1">#N/A</definedName>
    <definedName name="_sd34" hidden="1">{"QTD",#N/A,FALSE,"SUM"}</definedName>
    <definedName name="_sdf2" hidden="1">{#N/A,#N/A,FALSE,"Calc";#N/A,#N/A,FALSE,"Sensitivity";#N/A,#N/A,FALSE,"LT Earn.Dil.";#N/A,#N/A,FALSE,"Dil. AVP"}</definedName>
    <definedName name="_SDW1" hidden="1">#N/A</definedName>
    <definedName name="_sdy001" hidden="1">{#N/A,#N/A,FALSE,"PrintM"}</definedName>
    <definedName name="_sdy01" hidden="1">{#N/A,#N/A,FALSE,"PrintM"}</definedName>
    <definedName name="_sdy1" hidden="1">{#N/A,#N/A,FALSE,"PrintM"}</definedName>
    <definedName name="_sen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sen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fh643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_Sort" hidden="1">#REF!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hidden="1">{#N/A,#N/A,FALSE,"Profit Status";#N/A,#N/A,FALSE,"Invest";#N/A,#N/A,FALSE,"Revenue";#N/A,#N/A,FALSE,"Variable Cost";#N/A,#N/A,FALSE,"Options &amp; Series"}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1" hidden="1">{"detail",#N/A,FALSE,"mfg";"summary",#N/A,FALSE,"mfg"}</definedName>
    <definedName name="_t1" hidden="1">{#N/A,#N/A,FALSE,"1996PL";#N/A,#N/A,FALSE,"1997PL";#N/A,#N/A,FALSE,"1998PL";#N/A,#N/A,FALSE,"1999PL"}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2_In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1" hidden="1">#REF!</definedName>
    <definedName name="_Table3_In2" hidden="1">#REF!</definedName>
    <definedName name="_TEM6434" hidden="1">{"ALLOCATION1",#N/A,FALSE,"EXPENSE ALLOCATIONS";"ALLOCATION2",#N/A,FALSE,"EXPENSE ALLOCATIONS";"ALLOCATION3",#N/A,FALSE,"EXPENSE ALLOCATIONS";"ALLOCATION4",#N/A,FALSE,"EXPENSE ALLOCATIONS"}</definedName>
    <definedName name="_tes2" hidden="1">{"'Expense Details'!$A$1:$AM$222"}</definedName>
    <definedName name="_Tes6" hidden="1">{"'SIVA Pricing Model'!$A$1:$F$39"}</definedName>
    <definedName name="_test" hidden="1">#REF!</definedName>
    <definedName name="_tm1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Count" hidden="1">2</definedName>
    <definedName name="_tom11" hidden="1">{"'Demand Units'!$Z$2:$AF$53"}</definedName>
    <definedName name="_tu7" hidden="1">{"sales",#N/A,FALSE,"Sales";"sales existing",#N/A,FALSE,"Sales";"sales rd1",#N/A,FALSE,"Sales";"sales rd2",#N/A,FALSE,"Sales"}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UP16" hidden="1">Main.SAPF4Help()</definedName>
    <definedName name="_uu56" hidden="1">1/EUReXToNLG</definedName>
    <definedName name="_UUID_" hidden="1">775248</definedName>
    <definedName name="_v" hidden="1">#REF!</definedName>
    <definedName name="_vz533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er" hidden="1">#REF!</definedName>
    <definedName name="_wer234" hidden="1">{"summary",#N/A,FALSE,"labor"}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n02" hidden="1">{#N/A,#N/A,FALSE,"Sheet2"}</definedName>
    <definedName name="_wrn071" hidden="1">{#N/A,"PURCHM",FALSE,"Business Analysis";#N/A,"SPADD",FALSE,"Business Analysis"}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2" hidden="1">{#N/A,#N/A,FALSE,"Calc";#N/A,#N/A,FALSE,"Sensitivity";#N/A,#N/A,FALSE,"LT Earn.Dil.";#N/A,#N/A,FALSE,"Dil. AVP"}</definedName>
    <definedName name="_wrn213" hidden="1">{"detail",#N/A,FALSE,"mfg";"summary",#N/A,FALSE,"mfg"}</definedName>
    <definedName name="_wrn3" hidden="1">{"comps",#N/A,FALSE,"comps";"notes",#N/A,FALSE,"comps"}</definedName>
    <definedName name="_wrn4" hidden="1">{"general",#N/A,FALSE,"Assumptions"}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1" hidden="1">{"detail",#N/A,FALSE,"mfg";"summary",#N/A,FALSE,"mfg"}</definedName>
    <definedName name="_wrn651" hidden="1">{"detail",#N/A,FALSE,"mfg";"summary",#N/A,FALSE,"mfg"}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x1" hidden="1">{#N/A,#N/A,FALSE,"FY97";#N/A,#N/A,FALSE,"FY98";#N/A,#N/A,FALSE,"FY99";#N/A,#N/A,FALSE,"FY00";#N/A,#N/A,FALSE,"FY01"}</definedName>
    <definedName name="_X2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G2" hidden="1">{#N/A,#N/A,FALSE,"단축1";#N/A,#N/A,FALSE,"단축2";#N/A,#N/A,FALSE,"단축3";#N/A,#N/A,FALSE,"장축";#N/A,#N/A,FALSE,"4WD"}</definedName>
    <definedName name="_xlcn.WorksheetConnection_EBITbybrandforthelast3years_11.03.15.xlsxTabelle41" hidden="1">#REF!</definedName>
    <definedName name="_xx10" hidden="1">{#N/A,"PURCHM",FALSE,"Business Analysis";#N/A,"SPADD",FALSE,"Business Analysis"}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9" hidden="1">{"'Demand Units'!$Z$2:$AF$53"}</definedName>
    <definedName name="_z" hidden="1">{#N/A,#N/A,FALSE,"JAN"}</definedName>
    <definedName name="_z10" hidden="1">{"'Future Reviews'!$A$1:$D$58"}</definedName>
    <definedName name="_z11" hidden="1">{"'Future Reviews'!$A$1:$D$58"}</definedName>
    <definedName name="_z12" hidden="1">{"'Future Reviews'!$A$1:$D$58"}</definedName>
    <definedName name="_z13" hidden="1">{"'Future Reviews'!$A$1:$D$58"}</definedName>
    <definedName name="_z2" hidden="1">{"'Future Reviews'!$A$1:$D$58"}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{"'Future Reviews'!$A$1:$D$58"}</definedName>
    <definedName name="_z4" hidden="1">{"'Future Reviews'!$A$1:$D$58"}</definedName>
    <definedName name="_z5" hidden="1">{"'Future Reviews'!$A$1:$D$58"}</definedName>
    <definedName name="_z6" hidden="1">{"'Future Reviews'!$A$1:$D$58"}</definedName>
    <definedName name="_z7" hidden="1">{"'Future Reviews'!$A$1:$D$58"}</definedName>
    <definedName name="_z8" hidden="1">{"'Future Reviews'!$A$1:$D$58"}</definedName>
    <definedName name="_z9" hidden="1">{"'Future Reviews'!$A$1:$D$58"}</definedName>
    <definedName name="_Zbalance_sheet_2" hidden="1">{0,0,0,0,1,-4105,70.8661417322835,53.8582677165354,70.8661417322835,70.8661417322835,2,FALSE,FALSE,FALSE,FALSE,FALSE,#N/A,1,112,1,1,"","","","","","",FALSE}</definedName>
    <definedName name="_ZDCF_Summary" hidden="1">{0,0,0,0,1,-4105,41.04,53.8582677165354,64.08,51.84,2,FALSE,FALSE,FALSE,FALSE,FALSE,#N/A,1,65,1,1,"","","","","","",FALSE}</definedName>
    <definedName name="_Zdrivers_quarterly" hidden="1">{0,0,0,0,1,-4105,59.76,25.5118110236221,69.12,70.8661417322835,2,FALSE,FALSE,FALSE,FALSE,FALSE,#N/A,1,63,1,1,"","","","","","",FALSE}</definedName>
    <definedName name="_Zfinacials_quarterly_nots" hidden="1">{0,0,0,0,1,-4105,70.8661417322835,53.8582677165354,70.8661417322835,70.8661417322835,2,FALSE,FALSE,FALSE,FALSE,FALSE,#N/A,1,55,1,1,"","","","","","",FALSE}</definedName>
    <definedName name="_Zfinancials_quarterly" hidden="1">{0,0,0,0,1,-4105,70.8661417322835,53.8582677165354,70.8661417322835,70.8661417322835,2,FALSE,FALSE,FALSE,FALSE,FALSE,#N/A,1,55,1,1,"","","","","","",FALSE}</definedName>
    <definedName name="_Zyearly" hidden="1">{0,0,0,0,1,-4105,14.1732283464567,53.8582677165354,70.8661417322835,70.8661417322835,2,FALSE,FALSE,FALSE,FALSE,FALSE,#N/A,1,75,1,1,"","","","","","",FALSE}</definedName>
    <definedName name="_Zyearly2" hidden="1">{0,0,0,0,1,-4105,70.8661417322835,53.8582677165354,70.8661417322835,70.8661417322835,2,FALSE,FALSE,FALSE,FALSE,FALSE,#N/A,1,75,1,1,"","","","","","",FALSE}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´x" hidden="1">#REF!</definedName>
    <definedName name="Ⅱ" hidden="1">{#N/A,#N/A,FALSE,"정공"}</definedName>
    <definedName name="a" hidden="1">{#N/A,#N/A,FALSE,"Mittelherkunft";#N/A,#N/A,FALSE,"Mittelverwendung"}</definedName>
    <definedName name="A\" hidden="1">#REF!</definedName>
    <definedName name="a_nm" hidden="1">{"'Data'!$A$1:$D$17"}</definedName>
    <definedName name="A1_00근거" hidden="1">{#N/A,#N/A,FALSE,"단축1";#N/A,#N/A,FALSE,"단축2";#N/A,#N/A,FALSE,"단축3";#N/A,#N/A,FALSE,"장축";#N/A,#N/A,FALSE,"4WD"}</definedName>
    <definedName name="A10_UK" hidden="1">{"BS",#N/A,FALSE,"USA"}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AA.Report.Files" hidden="1">#REF!</definedName>
    <definedName name="AA.Reports.Available" hidden="1">#REF!</definedName>
    <definedName name="aaa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äää" hidden="1">{#N/A,#N/A,FALSE,"Umsatz 99";#N/A,#N/A,FALSE,"ER 99 "}</definedName>
    <definedName name="aaa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0" hidden="1">{#N/A,#N/A,FALSE,"Aging Summary";#N/A,#N/A,FALSE,"Ratio Analysis";#N/A,#N/A,FALSE,"Test 120 Day Accts";#N/A,#N/A,FALSE,"Tickmarks"}</definedName>
    <definedName name="aaaa" hidden="1">{#N/A,#N/A,FALSE,"Model";#N/A,#N/A,FALSE,"Division"}</definedName>
    <definedName name="ääää" hidden="1">{"'Sample Status'!$A$1:$J$21"}</definedName>
    <definedName name="aaaaa" hidden="1">{"general",#N/A,FALSE,"Assumptions"}</definedName>
    <definedName name="AAAAAA" hidden="1">{"casespecific",#N/A,FALSE,"Assumptions"}</definedName>
    <definedName name="aaaaaaa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{#N/A,#N/A,TRUE,"Staffnos &amp; cost"}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{#N/A,#N/A,FALSE,"Staffnos &amp; cost"}</definedName>
    <definedName name="aaaaaaaaaaaa" hidden="1">{#N/A,#N/A,TRUE,"CF brut";#N/A,#N/A,TRUE,"CashFlow";#N/A,#N/A,TRUE,"RCE";#N/A,#N/A,TRUE,"amort"}</definedName>
    <definedName name="aaaaaaaaaaaaa" hidden="1">{"COMNUS2000",#N/A,FALSE,"BL2000"}</definedName>
    <definedName name="aaaaaaaaaaaaaa" hidden="1">{"'Data'!$A$1:$D$17"}</definedName>
    <definedName name="aaaaaaaaaaaaaaa" hidden="1">{#N/A,#N/A,FALSE,"Pharm";#N/A,#N/A,FALSE,"WWCM"}</definedName>
    <definedName name="aaaaaaaaaaaaaaaaa" hidden="1">{"AnaM1",#N/A,FALSE,"AnalisisM";"AnaM2",#N/A,FALSE,"AnalisisM";"AnaM3",#N/A,FALSE,"AnalisisM"}</definedName>
    <definedName name="aaaaaaaaaaaaaaaaaa" hidden="1">{#N/A,#N/A,FALSE,"Calc";#N/A,#N/A,FALSE,"Sensitivity";#N/A,#N/A,FALSE,"LT Earn.Dil.";#N/A,#N/A,FALSE,"Dil. AVP"}</definedName>
    <definedName name="aaaaaaaaaaaaaaaaaaaaaaaa" hidden="1">{"COMJPN2000",#N/A,FALSE,"BL2000"}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AS" hidden="1">{#N/A,#N/A,FALSE,"정공"}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CC" hidden="1">Main.SAPF4Help()</definedName>
    <definedName name="aachart2" hidden="1">#REF!</definedName>
    <definedName name="aachart6" hidden="1">#REF!</definedName>
    <definedName name="Aachen" hidden="1">{#N/A,#N/A,FALSE,"Mittelherkunft";#N/A,#N/A,FALSE,"Mittelverwendung"}</definedName>
    <definedName name="aada" hidden="1">#REF!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asda" hidden="1">{"PrintView",#N/A,FALSE,"Cash &amp; Equiv";"PrintView",#N/A,FALSE,"Investments";"Other Assets Print View",#N/A,FALSE,"Other Assets"}</definedName>
    <definedName name="aasf" hidden="1">#REF!</definedName>
    <definedName name="aass" hidden="1">{"detail",#N/A,FALSE,"mfg";"summary",#N/A,FALSE,"mfg"}</definedName>
    <definedName name="aawe" hidden="1">{"weichwaren",#N/A,FALSE,"Liste 1";"hartwaren",#N/A,FALSE,"Liste 1";"food",#N/A,FALSE,"Liste 1";"fleisch",#N/A,FALSE,"Liste 1"}</definedName>
    <definedName name="aawewfa" hidden="1">{#N/A,#N/A,TRUE,"Historicals";#N/A,#N/A,TRUE,"Charts";#N/A,#N/A,TRUE,"Forecasts"}</definedName>
    <definedName name="aawfasdf" hidden="1">{#N/A,#N/A,TRUE,"Historicals";#N/A,#N/A,TRUE,"Charts";#N/A,#N/A,TRUE,"Forecasts"}</definedName>
    <definedName name="aaww" hidden="1">{"weichwaren",#N/A,FALSE,"Liste 1";"hartwaren",#N/A,FALSE,"Liste 1";"food",#N/A,FALSE,"Liste 1";"fleisch",#N/A,FALSE,"Liste 1"}</definedName>
    <definedName name="aax" hidden="1">{"detail",#N/A,FALSE,"mfg";"summary",#N/A,FALSE,"mfg"}</definedName>
    <definedName name="ab" hidden="1">{"FY98Q1 var",#N/A,FALSE,"FY98 - Q1";"FY98Q2 var",#N/A,FALSE,"FY98 - Q2";"FY98Q3 var",#N/A,FALSE,"FY98 - Q3";"FY98Q4 var",#N/A,FALSE,"FY98 - Q4"}</definedName>
    <definedName name="abbb" hidden="1">{"Fiesta Facer Page",#N/A,FALSE,"Q_C_S";"Fiesta Main Page",#N/A,FALSE,"V_L";"Fiesta 95BP Struct",#N/A,FALSE,"StructBP";"Fiesta Post 95BP Struct",#N/A,FALSE,"AdjStructBP"}</definedName>
    <definedName name="abc" hidden="1">{#N/A,#N/A,TRUE,"Cover sheet";#N/A,#N/A,TRUE,"DCF analysis";#N/A,#N/A,TRUE,"WACC calculation"}</definedName>
    <definedName name="abc_Control" hidden="1">{"'Data'!$A$1:$D$17"}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{#N/A,#N/A,FALSE,"Fluktuation TSI"}</definedName>
    <definedName name="ABCDEF" hidden="1">{#N/A,#N/A,FALSE,"정공"}</definedName>
    <definedName name="abcdefg" hidden="1">{#N/A,#N/A,FALSE,"Performance Flash Report"}</definedName>
    <definedName name="ABCDEFGHK" hidden="1">{#N/A,#N/A,FALSE,"Calc";#N/A,#N/A,FALSE,"Sensitivity";#N/A,#N/A,FALSE,"LT Earn.Dil.";#N/A,#N/A,FALSE,"Dil. AVP"}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D관리" hidden="1">{#N/A,#N/A,FALSE,"정공"}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da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dc" hidden="1">{"'Data'!$A$1:$D$17"}</definedName>
    <definedName name="ABDD" hidden="1">{#N/A,#N/A,FALSE,"단축1";#N/A,#N/A,FALSE,"단축2";#N/A,#N/A,FALSE,"단축3";#N/A,#N/A,FALSE,"장축";#N/A,#N/A,FALSE,"4WD"}</definedName>
    <definedName name="abe" hidden="1">{"GuVGmbH",#N/A,FALSE,"ratios";"BilanzGmbH",#N/A,FALSE,"ratios";"BilanzKG",#N/A,FALSE,"ratios";"GuVKG",#N/A,FALSE,"ratios"}</definedName>
    <definedName name="ABF" hidden="1">{"'Demand Units'!$X$11:$AD$45"}</definedName>
    <definedName name="ABG" hidden="1">{"'Demand Units'!$X$11:$AD$45"}</definedName>
    <definedName name="ABH" hidden="1">{"'Demand Units'!$X$11:$AD$45"}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RIL" hidden="1">{"'ALUMINIO'!$A$26:$K$53"}</definedName>
    <definedName name="abx" hidden="1">{#N/A,#N/A,FALSE,"invpln"}</definedName>
    <definedName name="ac" hidden="1">{"weichwaren",#N/A,FALSE,"Liste 1";"hartwaren",#N/A,FALSE,"Liste 1";"food",#N/A,FALSE,"Liste 1";"fleisch",#N/A,FALSE,"Liste 1"}</definedName>
    <definedName name="acc" hidden="1">{"'comite'!$A$9:$G$44","'comite'!$A$1:$G$6"}</definedName>
    <definedName name="Access_Button" hidden="1">"modgraph_feuille_1_Liste"</definedName>
    <definedName name="Access_Button1" hidden="1">"機能ｺｰﾄﾞ一覧_BLK→機能_List"</definedName>
    <definedName name="Access_Button2" hidden="1">"機能ｺｰﾄﾞ一覧_BLK→機能_List"</definedName>
    <definedName name="Access_Button3" hidden="1">"카드발송_카드발송_List1"</definedName>
    <definedName name="Access_Button4" hidden="1">"업체현황_카드발송_List"</definedName>
    <definedName name="AccessDatabase" hidden="1">"C:\DATA\théma.mdb"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UNT_CHANGE" hidden="1">"ACCOUNT_CHANGE"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2" hidden="1">#REF!</definedName>
    <definedName name="achart3" hidden="1">#REF!</definedName>
    <definedName name="achart4" hidden="1">#REF!</definedName>
    <definedName name="achart5" hidden="1">#REF!</definedName>
    <definedName name="aclskn" hidden="1">{#N/A,#N/A,FALSE,"FY97";#N/A,#N/A,FALSE,"FY98";#N/A,#N/A,FALSE,"FY99";#N/A,#N/A,FALSE,"FY00";#N/A,#N/A,FALSE,"FY01"}</definedName>
    <definedName name="acob" hidden="1">{"'Form'!$A$2:$J$81"}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ions" hidden="1">{"'Hardware Req.'!$A$1:$C$23"}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wvu.BS." hidden="1">#REF!</definedName>
    <definedName name="ACwvu.summary1." hidden="1">#REF!</definedName>
    <definedName name="ACwvu.summary2." hidden="1">#REF!</definedName>
    <definedName name="ACwvu.summary3." hidden="1">#REF!</definedName>
    <definedName name="ad" hidden="1">{"CHART",#N/A,FALSE,"Arch Communications"}</definedName>
    <definedName name="adasd" hidden="1">{#N/A,#N/A,FALSE,"KA CH  (2)"}</definedName>
    <definedName name="adc" hidden="1">{#N/A,#N/A,TRUE,"Main";#N/A,#N/A,TRUE,"FCF_10Yr";#N/A,#N/A,TRUE,"FCF_15Yr";#N/A,#N/A,TRUE,"Assume"}</definedName>
    <definedName name="ADD_PAID_IN" hidden="1">"ADD_PAID_IN"</definedName>
    <definedName name="addg" hidden="1">{#N/A,#N/A,FALSE,"CBE";#N/A,#N/A,FALSE,"SWK"}</definedName>
    <definedName name="addg1" hidden="1">{#N/A,#N/A,FALSE,"CBE";#N/A,#N/A,FALSE,"SWK"}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" hidden="1">{14;45;"$A$1";"05-09-00 16:37";"DADMIN";45;"CONTROL.IBS!Scrollbar_change";"";"";"";""}</definedName>
    <definedName name="adfgasdg" hidden="1">{"regression corrigées",#N/A,FALSE,"Regressions"}</definedName>
    <definedName name="adfgasdysty" hidden="1">{#N/A,#N/A,FALSE,"REPORT"}</definedName>
    <definedName name="adfgdz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adfhzdf" hidden="1">{"sales",#N/A,FALSE,"Sales";"sales existing",#N/A,FALSE,"Sales";"sales rd1",#N/A,FALSE,"Sales";"sales rd2",#N/A,FALSE,"Sales"}</definedName>
    <definedName name="adf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gsdf535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g" hidden="1">{"'Sheet1'!$A$1:$O$40"}</definedName>
    <definedName name="adgadgadgadsgasdg" hidden="1">{"'Title Transfer Units6,7,&amp;8'!$A$1:$B$4","'Title Transfer Units6,7,&amp;8'!$C$6"}</definedName>
    <definedName name="adgfgd" hidden="1">{"detail",#N/A,FALSE,"mfg";"summary",#N/A,FALSE,"mfg"}</definedName>
    <definedName name="adjustmen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" hidden="1">{#N/A,#N/A,FALSE,"Staffnos &amp; cost"}</definedName>
    <definedName name="ADMIN1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SlideMTD" hidden="1">{#N/A,#N/A,TRUE,"Expenses";#N/A,#N/A,TRUE,"BalanceSheet";#N/A,#N/A,TRUE,"CashFlow";#N/A,#N/A,TRUE,"OtherCurrentAssets";#N/A,#N/A,TRUE,"OtherAssets";#N/A,#N/A,TRUE,"AccruedExpenses"}</definedName>
    <definedName name="AdminSlideYTD" hidden="1">{#N/A,#N/A,TRUE,"Expenses";#N/A,#N/A,TRUE,"BalanceSheet";#N/A,#N/A,TRUE,"CashFlow";#N/A,#N/A,TRUE,"OtherCurrentAssets";#N/A,#N/A,TRUE,"OtherAssets";#N/A,#N/A,TRUE,"AccruedExpenses"}</definedName>
    <definedName name="adminsti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rha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s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dsaf45t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DF" hidden="1">{#N/A,#N/A,TRUE,"Y생산";#N/A,#N/A,TRUE,"Y판매";#N/A,#N/A,TRUE,"Y총물량";#N/A,#N/A,TRUE,"Y능력";#N/A,#N/A,TRUE,"YKD"}</definedName>
    <definedName name="ad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sfadfnkf" hidden="1">{"'Title Transfer Units6,7,&amp;8'!$A$1:$B$4","'Title Transfer Units6,7,&amp;8'!$C$6"}</definedName>
    <definedName name="adsfadgadg" hidden="1">{"'Title Transfer Units6,7,&amp;8'!$A$1:$B$4","'Title Transfer Units6,7,&amp;8'!$C$6"}</definedName>
    <definedName name="adsfadgadgg" hidden="1">{"'Title Transfer Units6,7,&amp;8'!$A$1:$B$4","'Title Transfer Units6,7,&amp;8'!$C$6"}</definedName>
    <definedName name="adsfadsfasdfasd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fasdfadsf" hidden="1">{"'Title Transfer Units6,7,&amp;8'!$A$1:$B$4","'Title Transfer Units6,7,&amp;8'!$C$6"}</definedName>
    <definedName name="adsfdafdsaf2" hidden="1">{#N/A,#N/A,FALSE,"Index";#N/A,#N/A,FALSE,"1.1";#N/A,#N/A,FALSE,"Scenario Summary"}</definedName>
    <definedName name="adsfdsafdsaf" hidden="1">{#N/A,#N/A,FALSE,"Index";#N/A,#N/A,FALSE,"1.1";#N/A,#N/A,FALSE,"Scenario Summary"}</definedName>
    <definedName name="adsfgadg" hidden="1">{"'Title Transfer Units6,7,&amp;8'!$A$1:$B$4","'Title Transfer Units6,7,&amp;8'!$C$6"}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greg" hidden="1">{#N/A,#N/A,TRUE,"Historicals";#N/A,#N/A,TRUE,"Charts";#N/A,#N/A,TRUE,"Forecasts"}</definedName>
    <definedName name="adsfregh" hidden="1">{#N/A,#N/A,TRUE,"Historicals";#N/A,#N/A,TRUE,"Charts";#N/A,#N/A,TRUE,"Forecasts"}</definedName>
    <definedName name="adsfrergre" hidden="1">{#N/A,#N/A,TRUE,"Historicals";#N/A,#N/A,TRUE,"Charts";#N/A,#N/A,TRUE,"Forecasts"}</definedName>
    <definedName name="adsfsrg5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gadgag" hidden="1">{"'Title Transfer Units6,7,&amp;8'!$A$1:$B$4","'Title Transfer Units6,7,&amp;8'!$C$6"}</definedName>
    <definedName name="adsgadhgadgasdfaf" hidden="1">{"'Title Transfer Units6,7,&amp;8'!$A$1:$B$4","'Title Transfer Units6,7,&amp;8'!$C$6"}</definedName>
    <definedName name="adsgsdfhg56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sd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vasdg" hidden="1">{"'Title Transfer Units6,7,&amp;8'!$A$1:$B$4","'Title Transfer Units6,7,&amp;8'!$C$6"}</definedName>
    <definedName name="ae" hidden="1">{#N/A,#N/A,FALSE,"Calc";#N/A,#N/A,FALSE,"Sensitivity";#N/A,#N/A,FALSE,"LT Earn.Dil.";#N/A,#N/A,FALSE,"Dil. AVP"}</definedName>
    <definedName name="ae5ze5" hidden="1">Word</definedName>
    <definedName name="aeradfaereawt" hidden="1">{"var_page",#N/A,FALSE,"template"}</definedName>
    <definedName name="aerhaerhaer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rhrea" hidden="1">{#N/A,#N/A,FALSE,"단축1";#N/A,#N/A,FALSE,"단축2";#N/A,#N/A,FALSE,"단축3";#N/A,#N/A,FALSE,"장축";#N/A,#N/A,FALSE,"4WD"}</definedName>
    <definedName name="aert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aertaejtae" hidden="1">{#N/A,#N/A,FALSE,"ACQ_GRAPHS";#N/A,#N/A,FALSE,"T_1 GRAPHS";#N/A,#N/A,FALSE,"T_2 GRAPHS";#N/A,#N/A,FALSE,"COMB_GRAPHS"}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" hidden="1">#N/A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" hidden="1">#REF!</definedName>
    <definedName name="AFDADSFDAS" hidden="1">{#N/A,#N/A,FALSE,"REPORT"}</definedName>
    <definedName name="afdafds" hidden="1">{#N/A,#N/A,FALSE,"Performance Flash Report"}</definedName>
    <definedName name="afds" hidden="1">{"YTD",#N/A,FALSE,"SUM"}</definedName>
    <definedName name="afgggrtgh" hidden="1">{#N/A,#N/A,TRUE,"Historicals";#N/A,#N/A,TRUE,"Charts";#N/A,#N/A,TRUE,"Forecasts"}</definedName>
    <definedName name="afhsrhsrgh" hidden="1">{#N/A,#N/A,FALSE,"INPUTS";#N/A,#N/A,FALSE,"PROFORMA BSHEET";#N/A,#N/A,FALSE,"COMBINED";#N/A,#N/A,FALSE,"ACQUIROR";#N/A,#N/A,FALSE,"TARGET 1";#N/A,#N/A,FALSE,"TARGET 2";#N/A,#N/A,FALSE,"HIGH YIELD";#N/A,#N/A,FALSE,"OVERFUND"}</definedName>
    <definedName name="AFR" hidden="1">{"'Demand Units'!$X$11:$AD$45"}</definedName>
    <definedName name="africa" hidden="1">{#N/A,#N/A,FALSE,"CNS";#N/A,#N/A,FALSE,"Serz";#N/A,#N/A,FALSE,"Ace"}</definedName>
    <definedName name="afsd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sdgfsfdhg5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" hidden="1">{#N/A,#N/A,FALSE,"Bezirk SW";#N/A,#N/A,FALSE,"Dir S (GK)";#N/A,#N/A,FALSE,"Dir FR (PK)"}</definedName>
    <definedName name="agafdhsdh" hidden="1">{#N/A,#N/A,FALSE,"REPORT"}</definedName>
    <definedName name="agag" hidden="1">{#N/A,#N/A,FALSE,"Aging Summary";#N/A,#N/A,FALSE,"Ratio Analysis";#N/A,#N/A,FALSE,"Test 120 Day Accts";#N/A,#N/A,FALSE,"Tickmarks"}</definedName>
    <definedName name="agarew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 hidden="1">{#N/A,#N/A,FALSE,"Staffnos &amp; cost"}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G" hidden="1">#N/A</definedName>
    <definedName name="ago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agsgaghgfj" hidden="1">{#N/A,#N/A,FALSE,"Pharm";#N/A,#N/A,FALSE,"WWCM"}</definedName>
    <definedName name="ah" hidden="1">{"detail",#N/A,FALSE,"mfg";"summary",#N/A,FALSE,"mfg"}</definedName>
    <definedName name="ahadhasdgaefhgh" hidden="1">{"'Title Transfer Units6,7,&amp;8'!$A$1:$B$4","'Title Transfer Units6,7,&amp;8'!$C$6"}</definedName>
    <definedName name="ahl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ida_2" hidden="1">{#N/A,#N/A,FALSE,"Finanzplan";#N/A,#N/A,FALSE,"Bilanz";#N/A,#N/A,FALSE,"GuV"}</definedName>
    <definedName name="Aida_4" hidden="1">{#N/A,#N/A,FALSE,"Finanzplan";#N/A,#N/A,FALSE,"Bilanz";#N/A,#N/A,FALSE,"GuV"}</definedName>
    <definedName name="aim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imband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ex" hidden="1">{#N/A,#N/A,FALSE,"REPORT"}</definedName>
    <definedName name="alexan" hidden="1">{#N/A,#N/A,FALSE,"REPORT"}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o" hidden="1">MIN(IF((LEFT(#REF!,LEN(#REF!))=#REF!)*ROW(#REF!)=0,"",(LEFT(#REF!,LEN(#REF!))=#REF!)*ROW(#REF!)))</definedName>
    <definedName name="Alpena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ALu" hidden="1">MAX((LEFT(#REF!:INDEX(#REF!,#REF!()),LEN(#REF!))=#REF!)*ROW(#REF!:INDEX(#REF!,#REF!())))</definedName>
    <definedName name="AMORTIZATION" hidden="1">"AMORTIZATION"</definedName>
    <definedName name="añ" hidden="1">{"Performance Details",#N/A,FALSE,"Current Yr";"Performance Details",#N/A,FALSE,"Budget";"Performance Details",#N/A,FALSE,"Prior Year"}</definedName>
    <definedName name="ando" hidden="1">{"'下期集計（10.27迄・速報値）'!$Q$16"}</definedName>
    <definedName name="andy" hidden="1">{#N/A,#N/A,FALSE,"REPORT"}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lageverm.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NM" hidden="1">{"'comite'!$A$9:$G$44","'comite'!$A$1:$G$6"}</definedName>
    <definedName name="annahmen" hidden="1">{"budget95",#N/A,TRUE,"Tabelle1";"Tab1",#N/A,TRUE,"Tabelle2"}</definedName>
    <definedName name="anotherrange" hidden="1">{#N/A,#N/A,FALSE,"Performance Flash Report"}</definedName>
    <definedName name="anscount" hidden="1">1</definedName>
    <definedName name="anu" hidden="1">{#N/A,#N/A,FALSE,"SUMMARY";#N/A,#N/A,FALSE,"RECEIVABLE";"Report recd",#N/A,FALSE,"RECEIVED"}</definedName>
    <definedName name="anything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NFTHSDLR" hidden="1">{#N/A,#N/A,FALSE,"정공"}</definedName>
    <definedName name="aof" hidden="1">{"'SIVA Pricing Model'!$A$1:$F$39"}</definedName>
    <definedName name="äopä" hidden="1">{#N/A,#N/A,FALSE,"Layout GuV"}</definedName>
    <definedName name="a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PDX" hidden="1">{#N/A,#N/A,FALSE,"Cover Page";#N/A,#N/A,FALSE,"Facing Page";#N/A,#N/A,FALSE,"Main Page";#N/A,#N/A,FALSE,"Risk-Adjusted";#N/A,#N/A,FALSE,"Profit Improvement"}</definedName>
    <definedName name="Appendix" hidden="1">{#N/A,#N/A,FALSE,"Cover Page";#N/A,#N/A,FALSE,"Facing Page";#N/A,#N/A,FALSE,"Main Page";#N/A,#N/A,FALSE,"Risk-Adjusted";#N/A,#N/A,FALSE,"Profit Improvement"}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WREFVCOUGAR" hidden="1">"'CVLT-US"</definedName>
    <definedName name="aq" hidden="1">{"Summary",#N/A,FALSE,"Summary";"A&amp;A's",#N/A,FALSE,"Aids &amp; A's";"MajorWorks",#N/A,FALSE,"Major Works";"EstateImps",#N/A,FALSE,"Estate Imps";"CatC",#N/A,FALSE,"Cat C Voids";"CycProg",#N/A,FALSE,"Cyclical Prog inc MR"}</definedName>
    <definedName name="aqe4h5tae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qw" hidden="1">{#N/A,"PURCHM",FALSE,"Business Analysis";#N/A,"SPADD",FALSE,"Business Analysis"}</definedName>
    <definedName name="a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rancio" hidden="1">{"FY98Q1 var",#N/A,FALSE,"FY98 - Q1";"FY98Q2 var",#N/A,FALSE,"FY98 - Q2";"FY98Q3 var",#N/A,FALSE,"FY98 - Q3";"FY98Q4 var",#N/A,FALSE,"FY98 - Q4"}</definedName>
    <definedName name="are" hidden="1">{#N/A,#N/A,FALSE,"Sheet1"}</definedName>
    <definedName name="areherhdf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gsrmsrymas" hidden="1">{"vi1",#N/A,FALSE,"Financial Statements";"vi2",#N/A,FALSE,"Financial Statements";#N/A,#N/A,FALSE,"DCF"}</definedName>
    <definedName name="arhsyhsrth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rinhalt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rjagnargna" hidden="1">{#N/A,#N/A,FALSE,"ACQ_GRAPHS";#N/A,#N/A,FALSE,"T_1 GRAPHS";#N/A,#N/A,FALSE,"T_2 GRAPHS";#N/A,#N/A,FALSE,"COMB_GRAPHS"}</definedName>
    <definedName name="arm" hidden="1">#REF!</definedName>
    <definedName name="arn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t">#REF!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jtajea" hidden="1">{#N/A,#N/A,FALSE,"Valuation Assumptions";#N/A,#N/A,FALSE,"Summary";#N/A,#N/A,FALSE,"DCF";#N/A,#N/A,FALSE,"Valuation";#N/A,#N/A,FALSE,"WACC";#N/A,#N/A,FALSE,"UBVH";#N/A,#N/A,FALSE,"Free Cash Flow"}</definedName>
    <definedName name="artjawrja" hidden="1">{#N/A,#N/A,FALSE,"INPUTS";#N/A,#N/A,FALSE,"PROFORMA BSHEET";#N/A,#N/A,FALSE,"COMBINED";#N/A,#N/A,FALSE,"HIGH YIELD";#N/A,#N/A,FALSE,"COMB_GRAPHS"}</definedName>
    <definedName name="as" hidden="1">TEXT([0]!sve,"T.M.JJJJ")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#N/A</definedName>
    <definedName name="asad" hidden="1">{"away stand alones",#N/A,FALSE,"Target"}</definedName>
    <definedName name="ASaQSS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as" hidden="1">{#N/A,#N/A,FALSE,"Pharm";#N/A,#N/A,FALSE,"WWCM"}</definedName>
    <definedName name="asasas" hidden="1">{"comp1",#N/A,FALSE,"COMPS";"footnotes",#N/A,FALSE,"COMPS"}</definedName>
    <definedName name="asd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1" hidden="1">{#N/A,#N/A,FALSE,"Performance Flash Report"}</definedName>
    <definedName name="asdas2" hidden="1">{#N/A,#N/A,FALSE,"Performance Flash Report"}</definedName>
    <definedName name="asdasd" hidden="1">{"toc1",#N/A,FALSE,"TOC";"cover",#N/A,FALSE,"Cover";"ts1",#N/A,FALSE,"Transaction Summary";"ei3",#N/A,FALSE,"Earnings Impact";"ad3",#N/A,FALSE,"accretion dilution"}</definedName>
    <definedName name="asdasda" hidden="1">{"Teilenummer","Auftragsnummer","Bedarfsnummer","Ist-Menge","Ist-Datum","Sortierbegriff Bedar","Auftragsstatus","Teilenummer","Benennung 1","Benennung 2","Zeichnungsnummer","POSITIONSNUMMER"}</definedName>
    <definedName name="asdasdfa" hidden="1">{#N/A,#N/A,FALSE,"Mittelherkunft";#N/A,#N/A,FALSE,"Mittelverwendung"}</definedName>
    <definedName name="asdd" hidden="1">#REF!</definedName>
    <definedName name="asdde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ASDDGGHHH" hidden="1">{"'Data'!$A$1:$D$17"}</definedName>
    <definedName name="asdf" hidden="1">{#N/A,#N/A,FALSE,"Calc";#N/A,#N/A,FALSE,"Sensitivity";#N/A,#N/A,FALSE,"LT Earn.Dil.";#N/A,#N/A,FALSE,"Dil. AVP"}</definedName>
    <definedName name="asdf.kjahsdf" hidden="1">{"'Title Transfer Units6,7,&amp;8'!$A$1:$B$4","'Title Transfer Units6,7,&amp;8'!$C$6"}</definedName>
    <definedName name="asdf1" hidden="1">#REF!</definedName>
    <definedName name="asdf23r23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asdfadf" hidden="1">#REF!</definedName>
    <definedName name="asdfadfsdaf2" hidden="1">{#N/A,#N/A,FALSE,"Index";#N/A,#N/A,FALSE,"1.1";#N/A,#N/A,FALSE,"Scenario Summary"}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" hidden="1">{#N/A,#N/A,FALSE,"Inputs";#N/A,#N/A,FALSE,"10yr Plan";#N/A,#N/A,FALSE,"JV_Costs";#N/A,#N/A,FALSE,"Case Summary";#N/A,#N/A,FALSE,"Prdn";#N/A,#N/A,FALSE,"Variable"}</definedName>
    <definedName name="asdfadsf" hidden="1">{"'Sheet1'!$A$1:$J$121"}</definedName>
    <definedName name="asdfadsfa" hidden="1">{"'Title Transfer Units6,7,&amp;8'!$A$1:$B$4","'Title Transfer Units6,7,&amp;8'!$C$6"}</definedName>
    <definedName name="asdfadsfgr4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lkjadf" hidden="1">{"'Title Transfer Units6,7,&amp;8'!$A$1:$B$4","'Title Transfer Units6,7,&amp;8'!$C$6"}</definedName>
    <definedName name="asdfasd" hidden="1">"c1376"</definedName>
    <definedName name="asdfasd645tw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sdf" hidden="1">{#N/A,#N/A,FALSE,"CBE";#N/A,#N/A,FALSE,"SWK"}</definedName>
    <definedName name="asdfasdfasd" hidden="1">{"ReportTop",#N/A,FALSE,"report top"}</definedName>
    <definedName name="asdfasdfasdf" hidden="1">{"comp1",#N/A,FALSE,"COMPS";"footnotes",#N/A,FALSE,"COMPS"}</definedName>
    <definedName name="asdfasdfsad" hidden="1">{#N/A,#N/A,FALSE,"output";#N/A,#N/A,FALSE,"contrib";#N/A,#N/A,FALSE,"profile";#N/A,#N/A,FALSE,"comps"}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g" hidden="1">{#N/A,#N/A,FALSE,"Pharm";#N/A,#N/A,FALSE,"WWCM"}</definedName>
    <definedName name="asdfgh" hidden="1">{#N/A,#N/A,FALSE,"Staffnos &amp; cost"}</definedName>
    <definedName name="ASDFGHJKK" hidden="1">{"Fiesta Facer Page",#N/A,FALSE,"Q_C_S";"Fiesta Main Page",#N/A,FALSE,"V_L";"Fiesta 95BP Struct",#N/A,FALSE,"StructBP";"Fiesta Post 95BP Struct",#N/A,FALSE,"AdjStructBP"}</definedName>
    <definedName name="asdfgkj" hidden="1">{#N/A,#N/A,FALSE,"단축1";#N/A,#N/A,FALSE,"단축2";#N/A,#N/A,FALSE,"단축3";#N/A,#N/A,FALSE,"장축";#N/A,#N/A,FALSE,"4WD"}</definedName>
    <definedName name="asdfgsdfgsfdg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qwe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reghrsgd" hidden="1">{#N/A,#N/A,TRUE,"Historicals";#N/A,#N/A,TRUE,"Charts";#N/A,#N/A,TRUE,"Forecasts"}</definedName>
    <definedName name="asdfsa" hidden="1">{#N/A,#N/A,FALSE,"Performance Flash Report"}</definedName>
    <definedName name="asdfsadf" hidden="1">{#N/A,#N/A,FALSE,"Index";#N/A,#N/A,FALSE,"1.1";#N/A,#N/A,FALSE,"Scenario Summary"}</definedName>
    <definedName name="asdfsadfsdaf" hidden="1">{#N/A,#N/A,FALSE,"Index";#N/A,#N/A,FALSE,"1.1";#N/A,#N/A,FALSE,"Scenario Summary"}</definedName>
    <definedName name="asdfsdafdsafdsaf" hidden="1">{#N/A,#N/A,FALSE,"Index";#N/A,#N/A,FALSE,"1.1";#N/A,#N/A,FALSE,"Scenario Summary"}</definedName>
    <definedName name="asdfsdf" hidden="1">{#N/A,#N/A,FALSE,"Table of Contents"}</definedName>
    <definedName name="asdfw" hidden="1">{"indirect labor",#N/A,FALSE,"labor"}</definedName>
    <definedName name="asdfwe" hidden="1">{#N/A,#N/A,TRUE,"Historicals";#N/A,#N/A,TRUE,"Charts";#N/A,#N/A,TRUE,"Forecasts"}</definedName>
    <definedName name="asdfwer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asdg5we5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fge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hdfhth" hidden="1">{#N/A,#N/A,FALSE,"REPORT"}</definedName>
    <definedName name="asdgasfkjdkjlf" hidden="1">{"'Title Transfer Units6,7,&amp;8'!$A$1:$B$4","'Title Transfer Units6,7,&amp;8'!$C$6"}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rae" hidden="1">#REF!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" hidden="1">{"FY97Tot nvs",#N/A,FALSE,"FY97 - Total";"FY98Tot nvs",#N/A,FALSE,"FY98 - Total"}</definedName>
    <definedName name="asdsad" hidden="1">{"consolidated",#N/A,FALSE,"Sheet1";"cms",#N/A,FALSE,"Sheet1";"fse",#N/A,FALSE,"Sheet1"}</definedName>
    <definedName name="asdse" hidden="1">{#N/A,#N/A,FALSE,"Model";#N/A,#N/A,FALSE,"Division"}</definedName>
    <definedName name="asdtf" hidden="1">{"'Standalone List Price Trends'!$A$1:$X$56"}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" hidden="1">{"FY97Tot nvs",#N/A,FALSE,"FY97 - Total";"FY98Tot nvs",#N/A,FALSE,"FY98 - Total"}</definedName>
    <definedName name="a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fadsf" hidden="1">{"ONE",#N/A,FALSE,"96DDCOD";"TWO",#N/A,FALSE,"96DDCOD"}</definedName>
    <definedName name="asfasdf" hidden="1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fghujyki" hidden="1">{#N/A,#N/A,FALSE,"Pharm";#N/A,#N/A,FALSE,"WWCM"}</definedName>
    <definedName name="asf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gf" hidden="1">{#N/A,#N/A,FALSE,"Sheet1"}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dasgasdg" hidden="1">{"'Standalone List Price Trends'!$A$1:$X$56"}</definedName>
    <definedName name="asghx" hidden="1">{"DCF","UPSIDE CASE",FALSE,"Sheet1";"DCF","BASE CASE",FALSE,"Sheet1";"DCF","DOWNSIDE CASE",FALSE,"Sheet1"}</definedName>
    <definedName name="ash" hidden="1">{#N/A,#N/A,TRUE,"Staffnos &amp; cost"}</definedName>
    <definedName name="asjdlksaj" hidden="1">{"'Data'!$A$1:$D$17"}</definedName>
    <definedName name="askdjfhaskjf" hidden="1">{#N/A,#N/A,FALSE,"Cover";#N/A,#N/A,FALSE,"Profits";#N/A,#N/A,FALSE,"ABS";#N/A,#N/A,FALSE,"TFLE Detail";#N/A,#N/A,FALSE,"TFLE Walk";#N/A,#N/A,FALSE,"Variable Cost";#N/A,#N/A,FALSE,"V.C. Walk"}</definedName>
    <definedName name="askjdb" hidden="1">{"HEADCOUNT",#N/A,FALSE,"labor"}</definedName>
    <definedName name="asqq" hidden="1">{"Performance Details",#N/A,FALSE,"Current Yr";"Performance Details",#N/A,FALSE,"Budget";"Performance Details",#N/A,FALSE,"Prior Year"}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ss" hidden="1">{#N/A,#N/A,FALSE,"Balance Sheet";#N/A,#N/A,FALSE,"Income Statement";#N/A,#N/A,FALSE,"Changes in Financial Position"}</definedName>
    <definedName name="ASSA" hidden="1">{#N/A,#N/A,FALSE,"1";#N/A,#N/A,FALSE,"2";#N/A,#N/A,FALSE,"16 - 17";#N/A,#N/A,FALSE,"18 - 19";#N/A,#N/A,FALSE,"26";#N/A,#N/A,FALSE,"27";#N/A,#N/A,FALSE,"28"}</definedName>
    <definedName name="assd" hidden="1">{1;"Konsol_Eingabe";2;"Konsol_Ausgabe";"Yellow";"No value";TRUE}</definedName>
    <definedName name="ASSET_TURNS" hidden="1">"ASSET_TURNS"</definedName>
    <definedName name="Assets_Baxter_FooterType" hidden="1">"INTERNAL"</definedName>
    <definedName name="Assets_Bieffe_FooterType" hidden="1">"INTERNAL"</definedName>
    <definedName name="Assets_CVG_FooterType" hidden="1">"INTERNAL"</definedName>
    <definedName name="Assump_FooterType" hidden="1">"INTERNAL"</definedName>
    <definedName name="Assumptions_2" hidden="1">{"'Form'!$A$2:$J$81"}</definedName>
    <definedName name="ASSY" hidden="1">{#N/A,#N/A,FALSE,"단축1";#N/A,#N/A,FALSE,"단축2";#N/A,#N/A,FALSE,"단축3";#N/A,#N/A,FALSE,"장축";#N/A,#N/A,FALSE,"4WD"}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a" hidden="1">#N/A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ES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atg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thsthae" hidden="1">{#N/A,#N/A,FALSE,"INPUTS";#N/A,#N/A,FALSE,"PROFORMA BSHEET";#N/A,#N/A,FALSE,"COMBINED";#N/A,#N/A,FALSE,"HIGH YIELD";#N/A,#N/A,FALSE,"COMB_GRAPHS"}</definedName>
    <definedName name="atjwerja" hidden="1">{#N/A,#N/A,FALSE,"Valuation Assumptions";#N/A,#N/A,FALSE,"Summary";#N/A,#N/A,FALSE,"DCF";#N/A,#N/A,FALSE,"Valuation";#N/A,#N/A,FALSE,"WACC";#N/A,#N/A,FALSE,"UBVH";#N/A,#N/A,FALSE,"Free Cash Flow"}</definedName>
    <definedName name="atnant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g" hidden="1">{#N/A,#N/A,FALSE,"Staffnos &amp; cost"}</definedName>
    <definedName name="AUSENT" hidden="1">{"'Data'!$A$1:$D$17"}</definedName>
    <definedName name="AustinTest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wertungsBereichsName" hidden="1">#REF!</definedName>
    <definedName name="AuszAnleihenKred" hidden="1">#REF!</definedName>
    <definedName name="AuszAnleihenKred_" hidden="1">#REF!</definedName>
    <definedName name="AuszAnleihenKredN" hidden="1">#REF!</definedName>
    <definedName name="AuszBeschaeftigte" hidden="1">#REF!</definedName>
    <definedName name="AuszBeschaeftigte_" hidden="1">#REF!</definedName>
    <definedName name="AuszBeschaeftigteN" hidden="1">#REF!</definedName>
    <definedName name="AuszFAVInvest" hidden="1">#REF!</definedName>
    <definedName name="AuszFAVInvest_" hidden="1">#REF!</definedName>
    <definedName name="AuszFAVInvestN" hidden="1">#REF!</definedName>
    <definedName name="AuszImmatVerm" hidden="1">#REF!</definedName>
    <definedName name="AuszImmatVerm_" hidden="1">#REF!</definedName>
    <definedName name="AuszImmatVermN" hidden="1">#REF!</definedName>
    <definedName name="AuszKfrFinDisp" hidden="1">#REF!</definedName>
    <definedName name="AuszKfrFinDisp_" hidden="1">#REF!</definedName>
    <definedName name="AuszKfrFinDispN" hidden="1">#REF!</definedName>
    <definedName name="AuszLieferanten" hidden="1">#REF!</definedName>
    <definedName name="AuszLieferanten_" hidden="1">#REF!</definedName>
    <definedName name="AuszLieferantenN" hidden="1">#REF!</definedName>
    <definedName name="AuszSAVInvest" hidden="1">#REF!</definedName>
    <definedName name="AuszSAVInvest_" hidden="1">#REF!</definedName>
    <definedName name="AuszSAVInvestN" hidden="1">#REF!</definedName>
    <definedName name="AuszUnternEigner" hidden="1">#REF!</definedName>
    <definedName name="AuszUnternEigner_" hidden="1">#REF!</definedName>
    <definedName name="AuszUnternEignerN" hidden="1">#REF!</definedName>
    <definedName name="Author" hidden="1">"Kirill Lapin"</definedName>
    <definedName name="AUto1" hidden="1">{#N/A,#N/A,FALSE,"Sheet1"}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VB" hidden="1">Main.SAPF4Help()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IR" hidden="1">{#N/A,#N/A,FALSE,"Staffnos &amp; cost"}</definedName>
    <definedName name="a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aer" hidden="1">{#N/A,#N/A,FALSE,"5yr.hist."}</definedName>
    <definedName name="awerfawer" hidden="1">{"direct labor",#N/A,FALSE,"labor";"direct labor1",#N/A,FALSE,"labor"}</definedName>
    <definedName name="aweroiu" hidden="1">{"'SIVA Pricing Model'!$A$1:$F$39"}</definedName>
    <definedName name="awert" hidden="1">{#N/A,#N/A,FALSE,"ORIX CSC"}</definedName>
    <definedName name="awerwer" hidden="1">{"HEADCOUNT",#N/A,FALSE,"labor"}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port" hidden="1">{"Summary",#N/A,FALSE,"Summary";"A&amp;A's",#N/A,FALSE,"Aids &amp; A's";"MajorWorks",#N/A,FALSE,"Major Works";"EstateImps",#N/A,FALSE,"Estate Imps";"CatC",#N/A,FALSE,"Cat C Voids";"CycProg",#N/A,FALSE,"Cyclical Prog inc MR"}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w" hidden="1">{#N/A,#N/A,FALSE,"Title Page";#N/A,#N/A,FALSE,"Summary Sheet";#N/A,#N/A,FALSE,"Fiscal Year Income Statement";#N/A,#N/A,FALSE,"Valuation Summary";#N/A,#N/A,FALSE,"Comps with IVT";#N/A,#N/A,FALSE,"Comps without IVT"}</definedName>
    <definedName name="aww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X" hidden="1">{#N/A,#N/A,FALSE,"Pharm";#N/A,#N/A,FALSE,"WWCM"}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 hidden="1">{#N/A,#N/A,FALSE,"Layout Aktiva";#N/A,#N/A,FALSE,"Layout Passiva"}</definedName>
    <definedName name="B1.1" hidden="1">#REF!</definedName>
    <definedName name="ba" hidden="1">{"IS",#N/A,FALSE,"IS";"RPTIS",#N/A,FALSE,"RPTIS";"STATS",#N/A,FALSE,"STATS";"CELL",#N/A,FALSE,"CELL";"BS",#N/A,FALSE,"BS"}</definedName>
    <definedName name="baba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{"fdb1_Rapport_Report",#N/A,FALSE,"Report"}</definedName>
    <definedName name="back2" hidden="1">{"fdb2_print",#N/A,FALSE,"Report"}</definedName>
    <definedName name="backup_yo" hidden="1">{"fdb1_Rapport_Report",#N/A,FALSE,"Report"}</definedName>
    <definedName name="backup2_yo" hidden="1">{"fdb2_print",#N/A,FALSE,"Report"}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bb.gb._98" hidden="1">{#N/A,#N/A,FALSE,"Umsatz 99";#N/A,#N/A,FALSE,"ER 99 "}</definedName>
    <definedName name="bb.gb._99" hidden="1">{#N/A,#N/A,FALSE,"Umsatz 99";#N/A,#N/A,FALSE,"ER 99 "}</definedName>
    <definedName name="bbb" hidden="1">{#N/A,#N/A,FALSE,"Pharm";#N/A,#N/A,FALSE,"WWCM"}</definedName>
    <definedName name="bbbb" hidden="1">{#N/A,#N/A,FALSE,"REPORT"}</definedName>
    <definedName name="bbbbb" hidden="1">{"consolidated",#N/A,FALSE,"Sheet1";"cms",#N/A,FALSE,"Sheet1";"fse",#N/A,FALSE,"Sheet1"}</definedName>
    <definedName name="BBBBBB" hidden="1">{#N/A,#N/A,FALSE,"REPORT"}</definedName>
    <definedName name="bbbbbbb" hidden="1">{"detail",#N/A,FALSE,"mfg";"summary",#N/A,FALSE,"mfg"}</definedName>
    <definedName name="bbbbbbbb" hidden="1">{"cap_structure",#N/A,FALSE,"Graph-Mkt Cap";"price",#N/A,FALSE,"Graph-Price";"ebit",#N/A,FALSE,"Graph-EBITDA";"ebitda",#N/A,FALSE,"Graph-EBITDA"}</definedName>
    <definedName name="BBBBBBBBB" hidden="1">{#N/A,#N/A,FALSE,"REPORT"}</definedName>
    <definedName name="bbbbbbbbbb" hidden="1">{"detail",#N/A,FALSE,"mfg";"summary",#N/A,FALSE,"mfg"}</definedName>
    <definedName name="bbbbbbbbbbbb" hidden="1">{"'Data'!$A$1:$D$17"}</definedName>
    <definedName name="bbbbbbbbbbbbb" hidden="1">{#N/A,#N/A,FALSE,"Pharm";#N/A,#N/A,FALSE,"WWCM"}</definedName>
    <definedName name="bbbbbbbbbbbbbb" hidden="1">{"RES-2000",#N/A,FALSE,"BL2000";"A1-2000",#N/A,FALSE,"BL2000";"A2-2000",#N/A,FALSE,"BL2000"}</definedName>
    <definedName name="bbbbbbbbbbbbbbb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bbbbbbbbbbbbbbbbbbbb" hidden="1">{"detail",#N/A,FALSE,"mfg";"summary",#N/A,FALSE,"mfg"}</definedName>
    <definedName name="bbchart1" hidden="1">#REF!</definedName>
    <definedName name="bbchart2" hidden="1">#REF!</definedName>
    <definedName name="bbchart3" hidden="1">#REF!</definedName>
    <definedName name="bbchart4" hidden="1">#REF!</definedName>
    <definedName name="bbchart5" hidden="1">#REF!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ahrt2" hidden="1">#REF!</definedName>
    <definedName name="bcahrt4" hidden="1">#REF!</definedName>
    <definedName name="bcdbdb" hidden="1">{#N/A,#N/A,FALSE,"Layout Aktiva";#N/A,#N/A,FALSE,"Layout Passiva"}</definedName>
    <definedName name="bchart1" hidden="1">#REF!</definedName>
    <definedName name="bchart5" hidden="1">#REF!</definedName>
    <definedName name="bdfgbrt" hidden="1">{#N/A,#N/A,TRUE,"Historicals";#N/A,#N/A,TRUE,"Charts";#N/A,#N/A,TRUE,"Forecasts"}</definedName>
    <definedName name="bdfstry" hidden="1">{#N/A,#N/A,TRUE,"Historicals";#N/A,#N/A,TRUE,"Charts";#N/A,#N/A,TRUE,"Forecasts"}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hidden="1">1/EUReXToBEF</definedName>
    <definedName name="bein" hidden="1">{"fleisch",#N/A,FALSE,"WG HK";"food",#N/A,FALSE,"WG HK";"hartwaren",#N/A,FALSE,"WG HK";"weichwaren",#N/A,FALSE,"WG HK"}</definedName>
    <definedName name="bel" hidden="1">{"'Munka1'!$B$1:$G$101"}</definedName>
    <definedName name="Belgium" hidden="1">{"'Sheet1'!$A$1:$O$22"}</definedName>
    <definedName name="bello" hidden="1">{"FY98Q1",#N/A,FALSE,"FY98 - Q1";"FY98Q2",#N/A,FALSE,"FY98 - Q2";"FY98Q3",#N/A,FALSE,"FY98 - Q3";"FY98Q4",#N/A,FALSE,"FY98 - Q4"}</definedName>
    <definedName name="belnew" hidden="1">{"IS",#N/A,FALSE,"IS";"RPTIS",#N/A,FALSE,"RPTIS";"STATS",#N/A,FALSE,"STATS";"CELL",#N/A,FALSE,"CELL";"BS",#N/A,FALSE,"BS"}</definedName>
    <definedName name="Benchmarking" hidden="1">{"résultats_édition client",#N/A,FALSE,"Résultats"}</definedName>
    <definedName name="bene" hidden="1">{"Tages_D",#N/A,FALSE,"Tagesbericht";"Tages_PL",#N/A,FALSE,"Tagesbericht"}</definedName>
    <definedName name="Benschmarking" hidden="1">{"reg_edition client",#N/A,FALSE,"Regressions"}</definedName>
    <definedName name="Beratung" hidden="1">#N/A</definedName>
    <definedName name="Bermudez" hidden="1">{"'Data'!$A$1:$D$17"}</definedName>
    <definedName name="Bermudez1" hidden="1">{"'Data'!$A$1:$D$17"}</definedName>
    <definedName name="Bestätigungsvermerk" hidden="1">#REF!</definedName>
    <definedName name="BetrieblRohertrag" hidden="1">#REF!</definedName>
    <definedName name="BetrieblRohertrag_" hidden="1">#REF!</definedName>
    <definedName name="BetrieblRohertragK" hidden="1">#REF!</definedName>
    <definedName name="BetrieblRohertragM" hidden="1">#REF!</definedName>
    <definedName name="BetrieblRohertragN" hidden="1">#REF!</definedName>
    <definedName name="Betriebsergebnis" hidden="1">#REF!</definedName>
    <definedName name="Betriebsergebnis_" hidden="1">#REF!</definedName>
    <definedName name="BetriebsergebnisK" hidden="1">#REF!</definedName>
    <definedName name="BetriebsergebnisM" hidden="1">#REF!</definedName>
    <definedName name="BetriebsergebnisN" hidden="1">#REF!</definedName>
    <definedName name="BEx1IDQ7M0421D4DN8VXRBK4JZT0" hidden="1">#REF!</definedName>
    <definedName name="BEx1ITM1S86N1IN1OTGCXNKU3P73" hidden="1">#REF!</definedName>
    <definedName name="BEx1IWB0ZHM6S0OUL4XLX6A70SRR" hidden="1">#REF!</definedName>
    <definedName name="BEx1K59IF7UUJL5EZY6MNI7UXEBI" hidden="1">#REF!</definedName>
    <definedName name="BEx1LJB752WZ5G42I1EKC1FS8189" hidden="1">#REF!</definedName>
    <definedName name="BEx1LTT04O07ZCH09JL1KABT04JX" hidden="1">#REF!</definedName>
    <definedName name="BEx1MMVF7W3RT5QXO7JJDFGNO0OP" hidden="1">#REF!</definedName>
    <definedName name="BEx1NSZ9ZUUC5A862WFTOO3ZG8YK" hidden="1">#REF!</definedName>
    <definedName name="BEx1P1MWNI4KG7ZK4XYU4AASHD0C" hidden="1">#REF!</definedName>
    <definedName name="BEx1R25WATEVTJPPGLNDJM3HSGQL" hidden="1">#REF!</definedName>
    <definedName name="BEx1SK9BMZYHF5JNWZSOKT8KIY2M" hidden="1">#REF!</definedName>
    <definedName name="BEx1V5RJT1TBRY0VQLFT9KK7LH3Q" hidden="1">#REF!</definedName>
    <definedName name="BEx1XDXNEEUSVRNNP5QZ64V9HVUF" hidden="1">#REF!</definedName>
    <definedName name="BEx3CBQFM9GXQBG4UTMCZJ6VQAVP" hidden="1">#REF!</definedName>
    <definedName name="BEx3GUX699VHM6MM4L34NEZM1KJ3" hidden="1">#REF!</definedName>
    <definedName name="BEx3IMGE82LOSS38Q59NDPTQFTEQ" hidden="1">#REF!</definedName>
    <definedName name="BEx3J2HJ5GKLVMW9O8KEV2L525EL" hidden="1">#REF!</definedName>
    <definedName name="BEx3NYEXBV5OBCVLSUJLP3Q1FUA0" hidden="1">#REF!</definedName>
    <definedName name="BEx3PG7KZRR7XXSCVGK5732TALJT" hidden="1">#REF!</definedName>
    <definedName name="BEx3QKD8TKSD4J0CFVWZUBXS4AWP" hidden="1">#REF!</definedName>
    <definedName name="BEx3QZ1XNJ49Y6HF2VKVTJQJUUH5" hidden="1">#REF!</definedName>
    <definedName name="BEx3R0JV9EY14TSESSS8P16DKLTZ" hidden="1">#REF!</definedName>
    <definedName name="BEx3SM8T9CVWG8MQLEQSUVK1IFNK" hidden="1">#REF!</definedName>
    <definedName name="BEx3U5U6L2VXOTBE92W8590Z0903" hidden="1">#REF!</definedName>
    <definedName name="BEx3UOF5GM7S550VBT4DHFCIXFRZ" hidden="1">#REF!</definedName>
    <definedName name="BEx58TLFGI04CBYALB4LG55S2MZI" hidden="1">#REF!</definedName>
    <definedName name="BEx5B824UTHKGB3IB0OS84KQANSU" hidden="1">#REF!</definedName>
    <definedName name="BEx5BMQV645QZREIU2NYIGJ2NZBR" hidden="1">#REF!</definedName>
    <definedName name="BEx5BQHRV2SX9JY7SS46FLI1T6TZ" hidden="1">#REF!</definedName>
    <definedName name="BEx5E1ID5ZV1T2GZMQYD2L2L2E22" hidden="1">#REF!</definedName>
    <definedName name="BEx5K0E303B4KW00O6TLGH37SYJD" hidden="1">#REF!</definedName>
    <definedName name="BEx5NXPAUOC902M08UL3UCIF9J97" hidden="1">#REF!</definedName>
    <definedName name="BEx5PMJGMEZRQ5UBWCI1GXYS3KTQ" hidden="1">#REF!</definedName>
    <definedName name="BEx749P2TDAUJNURPB5VI2WC1VC0" hidden="1">#REF!</definedName>
    <definedName name="BEx77L4OQEB8LMJP5DKVSWANV31T" hidden="1">#REF!</definedName>
    <definedName name="BEx7ADJ0E7R8TLF1AI19JZWDHEDK" hidden="1">#REF!</definedName>
    <definedName name="BEx7AO5ZNEJFCC46DPGUFV69YUJU" hidden="1">#REF!</definedName>
    <definedName name="BEx7BDCA4QX9GQS3EXFP9OBD2ULD" hidden="1">#REF!</definedName>
    <definedName name="BEx7DK5TME6QD8VHX3VRZX5QDJ49" hidden="1">#REF!</definedName>
    <definedName name="BEx7HUSYKZQI0ORPY2I28ML7XE03" hidden="1">#REF!</definedName>
    <definedName name="BEx7IPTRQ19OVA9COQKE4N8LA5OV" hidden="1">#REF!</definedName>
    <definedName name="BEx7KAMBGUZMW9ATOBUGUHXELRJF" hidden="1">#REF!</definedName>
    <definedName name="BEx7L21IEPV662LIEEFDM4GF7TKW" hidden="1">#REF!</definedName>
    <definedName name="BEx7L451MNVZ7KNOEDQ62PEUWG8Z" hidden="1">#REF!</definedName>
    <definedName name="BEx7LI2OJMUAISL0A35CF9EDZVQ9" hidden="1">#REF!</definedName>
    <definedName name="BEx7MI1GMHKLZ71AIB48OMA0PLAE" hidden="1">#REF!</definedName>
    <definedName name="BEx7MZPZWWD041H30X762NXR6Y0X" hidden="1">#REF!</definedName>
    <definedName name="BEx92YJ11LS4F22DKCAWD8SN16W3" hidden="1">#REF!</definedName>
    <definedName name="BEx959EFHDGCJNANDK7BC6L0MPSP" hidden="1">#REF!</definedName>
    <definedName name="BEx95BHTHXPLPF1J0VNB1UB4SJB7" hidden="1">#REF!</definedName>
    <definedName name="BEx962BKRSB7VWO1I9611IG3HJL9" hidden="1">#REF!</definedName>
    <definedName name="BEx97D2LAVHU8BI66YB5E0CCVA3V" hidden="1">#REF!</definedName>
    <definedName name="BEx97ZZXW8RBVTX62K94E0KH8F8B" hidden="1">#REF!</definedName>
    <definedName name="BEx9GL512RQFDX1LOJTG2QMK1OVT" hidden="1">#REF!</definedName>
    <definedName name="BEx9GZZ185PHP7N5T5MAHGGHCDKU" hidden="1">#REF!</definedName>
    <definedName name="BEx9I814A2QZ12Y6MGOBRRU627KO" hidden="1">#REF!</definedName>
    <definedName name="BEx9I8BXW4HE0T7XGRP6MQTTE4Q7" hidden="1">#REF!</definedName>
    <definedName name="BEx9IM9KUL7LYM3VOPB9PF1GFLW5" hidden="1">#REF!</definedName>
    <definedName name="BExAX6Q2VN84G1DWN3NED34DRUHJ" hidden="1">#REF!</definedName>
    <definedName name="BExAXQT14FRI5ZZH0GQI77F0XZYN" hidden="1">#REF!</definedName>
    <definedName name="BExAYUYTQ1SD8NBET1T97UWM9W4T" hidden="1">#REF!</definedName>
    <definedName name="BExAZP33VG7O8VRRPLDTWYILV3J2" hidden="1">#REF!</definedName>
    <definedName name="BExB0HENX8SR0PGFBHD5PMVEJ9EF" hidden="1">#REF!</definedName>
    <definedName name="BExB1W7FMHU3GX93215QDY9HQXDE" hidden="1">#REF!</definedName>
    <definedName name="BExB2XDBSLJG7UHQ8FKZ1SNEIWSH" hidden="1">#REF!</definedName>
    <definedName name="BExB4GNXMG0F03BSH98AFDS8N4ZD" hidden="1">#REF!</definedName>
    <definedName name="BExB87Z7EMMXDFMJOG8F6WSTVCZR" hidden="1">#REF!</definedName>
    <definedName name="BExBB7VBQ30NOJQ6R3BD21BB3H5W" hidden="1">#REF!</definedName>
    <definedName name="BExBB9YVEGJF0J28ABUHI8V3A6UT" hidden="1">#REF!</definedName>
    <definedName name="BExBBGV0A5JO6H643JURO343PSOK" hidden="1">#REF!</definedName>
    <definedName name="BExCU767J1MMS6P4R606V0VP7YOX" hidden="1">#REF!</definedName>
    <definedName name="BExCWGOU935MT45X4BVGTGDKJG8R" hidden="1">#REF!</definedName>
    <definedName name="BExD29VOLBIF669L1YK3G2UVXXQW" hidden="1">#REF!</definedName>
    <definedName name="BExD2TYLCCBCE4EDZXGNEZM5QSQH" hidden="1">#REF!</definedName>
    <definedName name="BExD7AG7KPJG7DDCEBEIRH81IVF8" hidden="1">#REF!</definedName>
    <definedName name="BExDAIVPM6Y042YEELGF2X8J1WZS" hidden="1">#REF!</definedName>
    <definedName name="BExDB640575VXEMAO4KG2XVOVL2A" hidden="1">#REF!</definedName>
    <definedName name="BExEOQWKWC66X76ULCQLSWA7IJ5G" hidden="1">#REF!</definedName>
    <definedName name="BExERN785USYT3L8QP563K7JZX0H" hidden="1">#REF!</definedName>
    <definedName name="BExES5HCNLSYJ12S577PWUA856NC" hidden="1">#REF!</definedName>
    <definedName name="BExEUV1BKGGP9Z9G66TL39X6QDI7" hidden="1">#REF!</definedName>
    <definedName name="BExEWFDM69IBICX9EAEV3SPFS5Y7" hidden="1">#REF!</definedName>
    <definedName name="BExEXMU3J4SF1LOC4QBWAS77UPQ2" hidden="1">#REF!</definedName>
    <definedName name="BExEYYXSDUURMUHCIWA85TIUDEGH" hidden="1">#REF!</definedName>
    <definedName name="BExF3N2FTV6VRL8ZJ30MX9IGNB7S" hidden="1">#REF!</definedName>
    <definedName name="BExF5RXQNH59YI0ZEAQVXFI0TW8L" hidden="1">#REF!</definedName>
    <definedName name="BExF8BNDR46CRQI8TCZS9UJ92VCE" hidden="1">#REF!</definedName>
    <definedName name="BExF95X4OALM2P9QFRWZL8B4KMWT" hidden="1">#REF!</definedName>
    <definedName name="BExF9EM29OWG8W0UAUZYNHSN6Q21" hidden="1">#REF!</definedName>
    <definedName name="BExGKIJKL9J642289LV0OJJ1TILI" hidden="1">#REF!</definedName>
    <definedName name="BExGLIT3CJRMEXWRS00UQJKI32BM" hidden="1">#REF!</definedName>
    <definedName name="BExGM6HHXVXOGCSXWE4U1FIEVKND" hidden="1">#REF!</definedName>
    <definedName name="BExGOZS8O1YXQ4OJW2B77SDB0CXD" hidden="1">#REF!</definedName>
    <definedName name="BExGQKQ8Z6UCL3YH6145CH91N8L7" hidden="1">#REF!</definedName>
    <definedName name="BExGQN9UOX9PBA01P2LJW0D75ZWX" hidden="1">#REF!</definedName>
    <definedName name="BExGSQSQNHAKQX43KZ40QVJMC0OW" hidden="1">#REF!</definedName>
    <definedName name="BExGV3GPRSH8ALZLWOSQ5GTSUADF" hidden="1">#REF!</definedName>
    <definedName name="BExGVMSKMONN37R60ZU7NEEX6JBU" hidden="1">#REF!</definedName>
    <definedName name="BExH2KQSV2F3ROJG9BWJCDDRKWGK" hidden="1">#REF!</definedName>
    <definedName name="BExH2RSA7DMRCQNRHSWDVHW9NX3J" hidden="1">#REF!</definedName>
    <definedName name="BExIIX6U8T313DEW3IXO3OJ0ZXHN" hidden="1">#REF!</definedName>
    <definedName name="BExIKEU16FGFEKA9EM9T8LJ7ZA4C" hidden="1">#REF!</definedName>
    <definedName name="BExIKVM92S3I94HPZRFHACRFNWOI" hidden="1">#REF!</definedName>
    <definedName name="BExIMGESG5W36YYYYI2XA852ON3M" hidden="1">#REF!</definedName>
    <definedName name="BExIOZYYUSRAPJ4CI6637X6NYY5R" hidden="1">#REF!</definedName>
    <definedName name="BExIRGOJOXHXOIVAXQ3PZK4QFKLD" hidden="1">#REF!</definedName>
    <definedName name="BExIRJZ8W6U7Z84N4Z61WEBKU77Q" hidden="1">#REF!</definedName>
    <definedName name="BExIU6U2OD7JEWOBZEIKHKZ7YNWA" hidden="1">#REF!</definedName>
    <definedName name="BExIX5DJRVFMD00ZY76LAAL5A82T" hidden="1">#REF!</definedName>
    <definedName name="BExIXL9FA3SHL0EFTUUV1N9MJ9IL" hidden="1">#REF!</definedName>
    <definedName name="BExIYCDRVVSW6XOZEYS64FDQK7DG" hidden="1">#REF!</definedName>
    <definedName name="BExIYJFERQKKE8MUBIN6FOB6B51A" hidden="1">#REF!</definedName>
    <definedName name="BExKGBKL9RFL9UXUXODJ2S3BUS2M" hidden="1">#REF!</definedName>
    <definedName name="BExKKX05AJOQK8KSB3MY0TTO7R35" hidden="1">#REF!</definedName>
    <definedName name="BExKP6LLTRTTIXCRAMB6TYZV6M20" hidden="1">#REF!</definedName>
    <definedName name="BExKQ0PVJDU8WB35W0PVH0G27D9Q" hidden="1">#REF!</definedName>
    <definedName name="BExKRIO093H91C8J6PYK2CRQ9Z78" hidden="1">#REF!</definedName>
    <definedName name="BExKU7645H8FOT548TM16VOGWHJ8" hidden="1">#REF!</definedName>
    <definedName name="BExKU7M8XMN7TAR95Y2AIHGTFDUT" hidden="1">#REF!</definedName>
    <definedName name="BExKUN7A2I138KPXPQQMKXC0R1H1" hidden="1">#REF!</definedName>
    <definedName name="BExMAIV4P2IJPE304VKSLEHS0J2D" hidden="1">#REF!</definedName>
    <definedName name="BExMDFLZZ2FNY6GE74IZ7OO1KPTE" hidden="1">#REF!</definedName>
    <definedName name="BExMF2I3NNMY6MB5RIZY0ZGPM94L" hidden="1">#REF!</definedName>
    <definedName name="BExMHGIK3CUR8FB6NNEH5I94HC9Y" hidden="1">#REF!</definedName>
    <definedName name="BExMHJYPZ6Z39C833AGPK3BP9W8T" hidden="1">#REF!</definedName>
    <definedName name="BExMIETVRD00R889OKQQ0BFDQ0XV" hidden="1">#REF!</definedName>
    <definedName name="BExMIJMJ6HE9F3FT1TQOM2PGPPAM" hidden="1">#REF!</definedName>
    <definedName name="BExMJVKWJL1V3M0BO2UAK3GTEI4T" hidden="1">#REF!</definedName>
    <definedName name="BExMK9D7BGN7AG0UZIQ966BK3IFE" hidden="1">#REF!</definedName>
    <definedName name="BExML2L3ZHF8SPRJKKEJM6L0ARYA" hidden="1">#REF!</definedName>
    <definedName name="BExMLWEMCZ9NW871Q2U94CN470YU" hidden="1">#REF!</definedName>
    <definedName name="BExMLX06Q0PJ9OXXQATF8LDLLAE5" hidden="1">#REF!</definedName>
    <definedName name="BExMP5AF8XKG63B5H99EA0KVQYLR" hidden="1">#REF!</definedName>
    <definedName name="BExMPXRE43BI4DPNSP1SIPLGHGAQ" hidden="1">#REF!</definedName>
    <definedName name="BExMRIEGLN75EV8GQSCCQJB08SYV" hidden="1">#REF!</definedName>
    <definedName name="BExO5EQKFHHDQRTF781X1Z743LPV" hidden="1">#REF!</definedName>
    <definedName name="BExO5RBOVVWJQJYJ6949QI1Z58BQ" hidden="1">#REF!</definedName>
    <definedName name="BExOHFNNI1NFJVPVJ33U9A7JGFCJ" hidden="1">#REF!</definedName>
    <definedName name="BExOMCRYBVN6OC3RGPXLZNMCZCXC" hidden="1">#REF!</definedName>
    <definedName name="BExONOKUPIR8IOH1UAIP71BQYTLP" hidden="1">#REF!</definedName>
    <definedName name="BExQ3CASVAPPF9ESQPA1ORK7L7KE" hidden="1">#REF!</definedName>
    <definedName name="BExQ3SBZBISF6C8NNOKNT57LNIW5" hidden="1">#REF!</definedName>
    <definedName name="BExQ41H5AMLT1OM3QIFPF08MTWNC" hidden="1">#REF!</definedName>
    <definedName name="BExQ7ILKG84PSVGQQJDF0GPL9ISE" hidden="1">#REF!</definedName>
    <definedName name="BExQ7IWDM245VCM5W6V8Q0T6BG8T" hidden="1">#REF!</definedName>
    <definedName name="BExQ84XBNFEG0TZ0LCXRJ6IESUSQ" hidden="1">#REF!</definedName>
    <definedName name="BExQ8PR5BB0H6C1MQNPCMCDFFFP7" hidden="1">#REF!</definedName>
    <definedName name="BExQA1PICGJDW2S5MQYWT1Z7GO1A" hidden="1">#REF!</definedName>
    <definedName name="BExQAL6SVVBNLAPD6GR61CLZOMUN" hidden="1">#REF!</definedName>
    <definedName name="BExQB36679KBE8A52KOP82FG33KP" hidden="1">#REF!</definedName>
    <definedName name="BExQDB6U9VBJDAKONQC4UZAY4Y6N" hidden="1">#REF!</definedName>
    <definedName name="BExQEFHZKF2WPAVE3HIJR09H148G" hidden="1">#REF!</definedName>
    <definedName name="BExS13F1ULV3PWNVSHQYP22NFA9Q" hidden="1">#REF!</definedName>
    <definedName name="BExS38AI7RFDD6C80K9RZASV5W53" hidden="1">#REF!</definedName>
    <definedName name="BExS564AUZ4DA33T6FWXSOYHE359" hidden="1">#REF!</definedName>
    <definedName name="BExS5XOYCAFG2MQSZE3C6SN1D6UN" hidden="1">#REF!</definedName>
    <definedName name="BExS5XZQMBVPEK541IVLQFYD6GW6" hidden="1">#REF!</definedName>
    <definedName name="BExS621BO93B1QZ51EOBYA1ACKIP" hidden="1">#REF!</definedName>
    <definedName name="BExSA9OQX4RLQLQ5V7DC0J6HD1B7" hidden="1">#REF!</definedName>
    <definedName name="BExSAYPLADSLSTF3QHQYAZFCZC8X" hidden="1">#REF!</definedName>
    <definedName name="BExSCTZS3DSTL6J8Y11DQNQYL3SZ" hidden="1">#REF!</definedName>
    <definedName name="BExSFGEELYR8NVDQ6ZJPQ0APVFDX" hidden="1">#REF!</definedName>
    <definedName name="BExSFP8LN5RTTUXVT2J6NKQUAI8L" hidden="1">#REF!</definedName>
    <definedName name="BExTV6THKOJDWWQ0O69QBUG3LEQA" hidden="1">#REF!</definedName>
    <definedName name="BExTZHWVY43ZG4P9JRO8E8A91BDB" hidden="1">#REF!</definedName>
    <definedName name="BExU0S7RULNDHU8WSNSPM8JP9ZFR" hidden="1">#REF!</definedName>
    <definedName name="BExU37Q81N19795CDCNWRI5GQHQZ" hidden="1">#REF!</definedName>
    <definedName name="BExU3U1XUP6X26EU0FYOA66AUW8G" hidden="1">#REF!</definedName>
    <definedName name="BExU4QKJHG1CHQSC6RM1SMC0B5IT" hidden="1">#REF!</definedName>
    <definedName name="BExU7Q60549IDBMP1FBUR0LKIKK8" hidden="1">#REF!</definedName>
    <definedName name="BExUEKYVD1J9DXYDPYV7JKGTU7VA" hidden="1">#REF!</definedName>
    <definedName name="BExVYSRXH0R65LYU8C4FIS8HXMAS" hidden="1">#REF!</definedName>
    <definedName name="BExW1DZ74B6NQ0OZX0RSUGHPJICB" hidden="1">#REF!</definedName>
    <definedName name="BExW3GRATC3UVOX92NLXDCNQQKGC" hidden="1">#REF!</definedName>
    <definedName name="BExW68EMLS8G29P0J5CFWTV6X36S" hidden="1">#REF!</definedName>
    <definedName name="BExW6EJQH55323MKKZ0AELPY13ZR" hidden="1">#REF!</definedName>
    <definedName name="BExW7BIMAOADT5901EFZIB40CZY4" hidden="1">#REF!</definedName>
    <definedName name="BExW8GFB0Z700HK4ISQR04D1XFBV" hidden="1">#REF!</definedName>
    <definedName name="BExW8R2F60VGA54F807KPKIVPY4Z" hidden="1">#REF!</definedName>
    <definedName name="BExXQH9DMUEIC3SU2JBR19HL9YPP" hidden="1">#REF!</definedName>
    <definedName name="BExXRJBNSW11EARW4O3VJOLO7B5D" hidden="1">#REF!</definedName>
    <definedName name="BExXS7LMF3TF19N0J5W4UZIZHXWP" hidden="1">#REF!</definedName>
    <definedName name="BExXTER5X3ZAG49R8JU3R04VTRLZ" hidden="1">#REF!</definedName>
    <definedName name="BExXVETZW21U5CVVS0IJVX2U020T" hidden="1">#REF!</definedName>
    <definedName name="BExXVWNWMXG58VDP36YI0DW3AYL2" hidden="1">#REF!</definedName>
    <definedName name="BExXWV4PQE9ID8RF20OERLDY34PK" hidden="1">#REF!</definedName>
    <definedName name="BExXYW3X0BIOCO8X4IXM8JINNMJ2" hidden="1">#REF!</definedName>
    <definedName name="BExXZ9LFVDX0TVUXUPQYFMOHCDLO" hidden="1">#REF!</definedName>
    <definedName name="BExY2HQ69NQBHTM3R0GDALECRMSK" hidden="1">#REF!</definedName>
    <definedName name="BExY2VTBFYP66RBQZKKUZIIGVNE9" hidden="1">#REF!</definedName>
    <definedName name="BExY2ZUVTZKKA15QYRQ79ZCTSZML" hidden="1">#REF!</definedName>
    <definedName name="BExY31NMTDW8NZRPDS0C42AU3NKB" hidden="1">#REF!</definedName>
    <definedName name="BExY3MSEEWIBIXH8RONHQWSHQIDX" hidden="1">#REF!</definedName>
    <definedName name="BExY3Q31FN4S96P3GRWXL0J00T9B" hidden="1">#REF!</definedName>
    <definedName name="BExZJ6GKROPE324YJWCRTDUSJTL4" hidden="1">#REF!</definedName>
    <definedName name="BExZKOPDECSFGF39CY31ZHZKJXFP" hidden="1">#REF!</definedName>
    <definedName name="BExZKPR7NXT61BEWKH7MCRCDPWYX" hidden="1">#REF!</definedName>
    <definedName name="BExZL6OQQTEQIR8XKZXLR3CI02TT" hidden="1">#REF!</definedName>
    <definedName name="BExZOETNII823DJ9QJHQABZX7X4B" hidden="1">#REF!</definedName>
    <definedName name="BExZQ07TIV32LFXTYZ2VB7E53SJ9" hidden="1">#REF!</definedName>
    <definedName name="BExZU07Z52O5A79OL7J5DRU5T2VK" hidden="1">#REF!</definedName>
    <definedName name="BExZWV5ZCEKKY7OBZSYHYZPRIPJI" hidden="1">#REF!</definedName>
    <definedName name="BExZXHN727IU1B1FGHQ2U2XVOX2V" hidden="1">#REF!</definedName>
    <definedName name="BExZYFYJWGLQMVH49A5SS9R1BYGU" hidden="1">#REF!</definedName>
    <definedName name="BezogeneLeistungen" hidden="1">#REF!</definedName>
    <definedName name="BezogeneLeistungen_" hidden="1">#REF!</definedName>
    <definedName name="BezogeneLeistungenK" hidden="1">#REF!</definedName>
    <definedName name="BezogeneLeistungenM" hidden="1">#REF!</definedName>
    <definedName name="BezogeneLeistungenN" hidden="1">#REF!</definedName>
    <definedName name="bff" hidden="1">{#N/A,#N/A,FALSE,"Profit Status";#N/A,#N/A,FALSE,"Invest";#N/A,#N/A,FALSE,"Revenue";#N/A,#N/A,FALSE,"Variable Cost";#N/A,#N/A,FALSE,"Options &amp; Series"}</definedName>
    <definedName name="bfg" hidden="1">{#N/A,#N/A,TRUE,"Historicals";#N/A,#N/A,TRUE,"Charts";#N/A,#N/A,TRUE,"Forecasts"}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n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2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6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h" hidden="1">{"Tages_D",#N/A,FALSE,"Tagesbericht";"Tages_PL",#N/A,FALSE,"Tagesbericht"}</definedName>
    <definedName name="bhjb" hidden="1">{"résultats_édition client",#N/A,FALSE,"Résultats"}</definedName>
    <definedName name="bhjbu" hidden="1">{"weichwaren",#N/A,FALSE,"Liste 1";"hartwaren",#N/A,FALSE,"Liste 1";"food",#N/A,FALSE,"Liste 1";"fleisch",#N/A,FALSE,"Liste 1"}</definedName>
    <definedName name="BHUVAN" hidden="1">{"'subnets'!$A$1:$F$20"}</definedName>
    <definedName name="bih" hidden="1">{"Tages_D",#N/A,FALSE,"Tagesbericht";"Tages_PL",#N/A,FALSE,"Tagesbericht"}</definedName>
    <definedName name="bil" hidden="1">{"K Bilanz o. Kommentar",#N/A,FALSE,"Kaufhof"}</definedName>
    <definedName name="bilan4" hidden="1">{"K Bilanz o. Kommentar",#N/A,FALSE,"Kaufhof"}</definedName>
    <definedName name="bilan5" hidden="1">{"K Bilanz o. Kommentar",#N/A,FALSE,"Kaufhof"}</definedName>
    <definedName name="bilanz" hidden="1">{"K Bilanz o. Kommentar",#N/A,FALSE,"Kaufhof"}</definedName>
    <definedName name="bilanzeid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bilanzen" hidden="1">{"K Bilanz o. Kommentar",#N/A,FALSE,"Kaufhof"}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der" hidden="1">{"'Data'!$A$1:$D$17"}</definedName>
    <definedName name="bj" hidden="1">{"'Data'!$A$1:$D$17"}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kls" hidden="1">{#N/A,"PURCHM",FALSE,"Business Analysis";#N/A,"SPADD",FALSE,"Business Analysis"}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h" hidden="1">{"multiple",#N/A,FALSE,"client (2)";"margins",#N/A,FALSE,"client (2)";"data",#N/A,FALSE,"client (2)";"multiple",#N/A,FALSE,"client";"margins",#N/A,FALSE,"client";"data",#N/A,FALSE,"client"}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h4" hidden="1">{#N/A,#N/A,FALSE,"Performance Flash Report"}</definedName>
    <definedName name="bleine.erg" hidden="1">{"fleisch",#N/A,FALSE,"WG HK";"food",#N/A,FALSE,"WG HK";"hartwaren",#N/A,FALSE,"WG HK";"weichwaren",#N/A,FALSE,"WG HK"}</definedName>
    <definedName name="blkh" hidden="1">{"fleisch",#N/A,FALSE,"WG HK";"food",#N/A,FALSE,"WG HK";"hartwaren",#N/A,FALSE,"WG HK";"weichwaren",#N/A,FALSE,"WG HK"}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00001" hidden="1">#REF!</definedName>
    <definedName name="BLPH1100002" hidden="1">#REF!</definedName>
    <definedName name="BLPH1100003" hidden="1">#REF!</definedName>
    <definedName name="BLPH1100004" hidden="1">#REF!</definedName>
    <definedName name="BLPH1100005" hidden="1">#REF!</definedName>
    <definedName name="BLPH1100006" hidden="1">#REF!</definedName>
    <definedName name="BLPH1100007" hidden="1">#REF!</definedName>
    <definedName name="BLPH1100008" hidden="1">#REF!</definedName>
    <definedName name="BLPH1100009" hidden="1">#REF!</definedName>
    <definedName name="BLPH1100010" hidden="1">#REF!</definedName>
    <definedName name="BLPH1100011" hidden="1">#REF!</definedName>
    <definedName name="BLPH1100012" hidden="1">#REF!</definedName>
    <definedName name="BLPH1100013" hidden="1">#REF!</definedName>
    <definedName name="BLPH1100014" hidden="1">#REF!</definedName>
    <definedName name="BLPH1100015" hidden="1">#REF!</definedName>
    <definedName name="BLPH1100016" hidden="1">#REF!</definedName>
    <definedName name="BLPH1100017" hidden="1">#REF!</definedName>
    <definedName name="BLPH1100018" hidden="1">#REF!</definedName>
    <definedName name="BLPH1100019" hidden="1">#REF!</definedName>
    <definedName name="BLPH1100020" hidden="1">#REF!</definedName>
    <definedName name="BLPH1100021" hidden="1">#REF!</definedName>
    <definedName name="BLPH1100022" hidden="1">#REF!</definedName>
    <definedName name="BLPH1100023" hidden="1">#REF!</definedName>
    <definedName name="BLPH1100024" hidden="1">#REF!</definedName>
    <definedName name="BLPH1100025" hidden="1">#REF!</definedName>
    <definedName name="BLPH1100026" hidden="1">#REF!</definedName>
    <definedName name="BLPH1100027" hidden="1">#REF!</definedName>
    <definedName name="BLPH1100028" hidden="1">#REF!</definedName>
    <definedName name="BLPH1100029" hidden="1">#REF!</definedName>
    <definedName name="BLPH1100030" hidden="1">#REF!</definedName>
    <definedName name="BLPH1100031" hidden="1">#REF!</definedName>
    <definedName name="BLPH1100032" hidden="1">#REF!</definedName>
    <definedName name="BLPH1100033" hidden="1">#REF!</definedName>
    <definedName name="BLPH1100034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000001" hidden="1">#REF!</definedName>
    <definedName name="BLPH13000002" hidden="1">#REF!</definedName>
    <definedName name="BLPH13000003" hidden="1">#REF!</definedName>
    <definedName name="BLPH13000004" hidden="1">#REF!</definedName>
    <definedName name="BLPH13000005" hidden="1">#REF!</definedName>
    <definedName name="BLPH13000006" hidden="1">#REF!</definedName>
    <definedName name="BLPH13000007" hidden="1">#REF!</definedName>
    <definedName name="BLPH13000008" hidden="1">#REF!</definedName>
    <definedName name="BLPH13000009" hidden="1">#REF!</definedName>
    <definedName name="BLPH13000010" hidden="1">#REF!</definedName>
    <definedName name="BLPH13000011" hidden="1">#REF!</definedName>
    <definedName name="BLPH13000012" hidden="1">#REF!</definedName>
    <definedName name="BLPH13000013" hidden="1">#REF!</definedName>
    <definedName name="BLPH13000014" hidden="1">#REF!</definedName>
    <definedName name="BLPH13000015" hidden="1">#REF!</definedName>
    <definedName name="BLPH13000016" hidden="1">#REF!</definedName>
    <definedName name="BLPH13000017" hidden="1">#REF!</definedName>
    <definedName name="BLPH13000018" hidden="1">#REF!</definedName>
    <definedName name="BLPH13000019" hidden="1">#REF!</definedName>
    <definedName name="BLPH13000020" hidden="1">#REF!</definedName>
    <definedName name="BLPH13000021" hidden="1">#REF!</definedName>
    <definedName name="BLPH13000022" hidden="1">#REF!</definedName>
    <definedName name="BLPH13000023" hidden="1">#REF!</definedName>
    <definedName name="BLPH13000024" hidden="1">#REF!</definedName>
    <definedName name="BLPH13000025" hidden="1">#REF!</definedName>
    <definedName name="BLPH13000026" hidden="1">#REF!</definedName>
    <definedName name="BLPH13000027" hidden="1">#REF!</definedName>
    <definedName name="BLPH13000028" hidden="1">#REF!</definedName>
    <definedName name="BLPH13000029" hidden="1">#REF!</definedName>
    <definedName name="BLPH13000030" hidden="1">#REF!</definedName>
    <definedName name="BLPH13000031" hidden="1">#REF!</definedName>
    <definedName name="BLPH13000032" hidden="1">#REF!</definedName>
    <definedName name="BLPH13000033" hidden="1">#REF!</definedName>
    <definedName name="BLPH13000034" hidden="1">#REF!</definedName>
    <definedName name="BLPH13000035" hidden="1">#REF!</definedName>
    <definedName name="BLPH13000036" hidden="1">#REF!</definedName>
    <definedName name="BLPH13000037" hidden="1">#REF!</definedName>
    <definedName name="BLPH13000038" hidden="1">#REF!</definedName>
    <definedName name="BLPH13000039" hidden="1">#REF!</definedName>
    <definedName name="BLPH13000040" hidden="1">#REF!</definedName>
    <definedName name="BLPH13000041" hidden="1">#REF!</definedName>
    <definedName name="BLPH13000042" hidden="1">#REF!</definedName>
    <definedName name="BLPH13000043" hidden="1">#REF!</definedName>
    <definedName name="BLPH13000044" hidden="1">#REF!</definedName>
    <definedName name="BLPH13000045" hidden="1">#REF!</definedName>
    <definedName name="BLPH13000046" hidden="1">#REF!</definedName>
    <definedName name="BLPH13000047" hidden="1">#REF!</definedName>
    <definedName name="BLPH13000048" hidden="1">#REF!</definedName>
    <definedName name="BLPH13000049" hidden="1">#REF!</definedName>
    <definedName name="BLPH13000050" hidden="1">#REF!</definedName>
    <definedName name="BLPH13000051" hidden="1">#REF!</definedName>
    <definedName name="BLPH13000052" hidden="1">#REF!</definedName>
    <definedName name="BLPH13000053" hidden="1">#REF!</definedName>
    <definedName name="BLPH13000054" hidden="1">#REF!</definedName>
    <definedName name="BLPH13000055" hidden="1">#REF!</definedName>
    <definedName name="BLPH13000056" hidden="1">#REF!</definedName>
    <definedName name="BLPH13000057" hidden="1">#REF!</definedName>
    <definedName name="BLPH13000058" hidden="1">#REF!</definedName>
    <definedName name="BLPH13000059" hidden="1">#REF!</definedName>
    <definedName name="BLPH13000060" hidden="1">#REF!</definedName>
    <definedName name="BLPH13000061" hidden="1">#REF!</definedName>
    <definedName name="BLPH13000062" hidden="1">#REF!</definedName>
    <definedName name="BLPH13000063" hidden="1">#REF!</definedName>
    <definedName name="BLPH13000064" hidden="1">#REF!</definedName>
    <definedName name="BLPH13000125" hidden="1">#REF!</definedName>
    <definedName name="BLPH13000126" hidden="1">#REF!</definedName>
    <definedName name="BLPH13000127" hidden="1">#REF!</definedName>
    <definedName name="BLPH13000128" hidden="1">#REF!</definedName>
    <definedName name="BLPH13000129" hidden="1">#REF!</definedName>
    <definedName name="BLPH13000130" hidden="1">#REF!</definedName>
    <definedName name="BLPH13000131" hidden="1">#REF!</definedName>
    <definedName name="BLPH13000132" hidden="1">#REF!</definedName>
    <definedName name="BLPH13000133" hidden="1">#REF!</definedName>
    <definedName name="BLPH13000134" hidden="1">#REF!</definedName>
    <definedName name="BLPH13000135" hidden="1">#REF!</definedName>
    <definedName name="BLPH13000136" hidden="1">#REF!</definedName>
    <definedName name="BLPH13000137" hidden="1">#REF!</definedName>
    <definedName name="BLPH13000138" hidden="1">#REF!</definedName>
    <definedName name="BLPH13000139" hidden="1">#REF!</definedName>
    <definedName name="BLPH13000140" hidden="1">#REF!</definedName>
    <definedName name="BLPH13000141" hidden="1">#REF!</definedName>
    <definedName name="BLPH13000142" hidden="1">#REF!</definedName>
    <definedName name="BLPH13000143" hidden="1">#REF!</definedName>
    <definedName name="BLPH13000144" hidden="1">#REF!</definedName>
    <definedName name="BLPH13000145" hidden="1">#REF!</definedName>
    <definedName name="BLPH13000146" hidden="1">#REF!</definedName>
    <definedName name="BLPH13000147" hidden="1">#REF!</definedName>
    <definedName name="BLPH13000148" hidden="1">#REF!</definedName>
    <definedName name="BLPH13000149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#N/A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#N/A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#N/A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#N/A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#N/A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#N/A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3" hidden="1">#REF!</definedName>
    <definedName name="BLPH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5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00011" hidden="1">#REF!</definedName>
    <definedName name="BLPH900012" hidden="1">#REF!</definedName>
    <definedName name="BLPH900013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bnmn" hidden="1">{#N/A,#N/A,FALSE,"KA CH  (2)"}</definedName>
    <definedName name="bmt4Updated" hidden="1">41157.727037037</definedName>
    <definedName name="bmv" hidden="1">{#N/A,#N/A,FALSE,"DCF";#N/A,#N/A,FALSE,"WACC";#N/A,#N/A,FALSE,"Sales_EBIT";#N/A,#N/A,FALSE,"Capex_Depreciation";#N/A,#N/A,FALSE,"WC";#N/A,#N/A,FALSE,"Interest";#N/A,#N/A,FALSE,"Assumptions"}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CVHDO" hidden="1">{"'Demand Units'!$X$11:$AD$45"}</definedName>
    <definedName name="bndwfb" hidden="1">{"FY97Total var",#N/A,FALSE,"FY97 - Total";"FY98Total var",#N/A,FALSE,"FY98 - Total"}</definedName>
    <definedName name="BNFJRFKJ" hidden="1">{"'Demand Units'!$X$11:$AD$45"}</definedName>
    <definedName name="BNGHFKFD" hidden="1">{"'Demand Units'!$X$11:$AD$45"}</definedName>
    <definedName name="bnkj" hidden="1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m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o" hidden="1">{#N/A,#N/A,FALSE,"Index";#N/A,#N/A,FALSE,"1.1";#N/A,#N/A,FALSE,"Scenario Summary"}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r" hidden="1">{"'Munka1'!$B$1:$G$101"}</definedName>
    <definedName name="BraRepKumuliert">#REF!</definedName>
    <definedName name="brgew" hidden="1">{"'Munka1'!$B$1:$G$101"}</definedName>
    <definedName name="Bridge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ker" hidden="1">{"'Analysis'!$A$1:$B$4,$A$6:$N$129"}</definedName>
    <definedName name="Broker2" hidden="1">{"'Analysis'!$A$1:$B$4,$A$6:$N$129"}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IWhichPageSetup" hidden="1">1</definedName>
    <definedName name="BSIWhichPageSetup_0" hidden="1">"0þ"</definedName>
    <definedName name="BS차이내역" hidden="1">{#N/A,#N/A,FALSE,"정공"}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get_ASM_Set" hidden="1">{"'Sheet1'!$A$1:$H$96"}</definedName>
    <definedName name="budjsett_halvår1" hidden="1">{#N/A,#N/A,FALSE,"PrintH"}</definedName>
    <definedName name="budjsett1" hidden="1">{#N/A,#N/A,FALSE,"PrintH"}</definedName>
    <definedName name="budsjett_per_mnd1" hidden="1">{#N/A,#N/A,FALSE,"PrintM"}</definedName>
    <definedName name="budsjett_per1" hidden="1">{#N/A,#N/A,FALSE,"Sheet2"}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t" hidden="1">{#N/A,#N/A,FALSE,"DK1VER";#N/A,#N/A,FALSE,"DK1VER"}</definedName>
    <definedName name="BV_OVER_SHARES" hidden="1">"BV_OVER_SHARES"</definedName>
    <definedName name="bvbx" hidden="1">{#N/A,#N/A,TRUE,"Historicals";#N/A,#N/A,TRUE,"Charts";#N/A,#N/A,TRUE,"Forecasts"}</definedName>
    <definedName name="bvcx" hidden="1">{#N/A,#N/A,TRUE,"Historicals";#N/A,#N/A,TRUE,"Charts";#N/A,#N/A,TRUE,"Forecasts"}</definedName>
    <definedName name="BY" hidden="1">{"'Data'!$A$1:$D$17"}</definedName>
    <definedName name="bz" hidden="1">{"budget95",#N/A,TRUE,"Tabelle1";"Tab1",#N/A,TRUE,"Tabelle2"}</definedName>
    <definedName name="c.LTMYear" hidden="1">#REF!</definedName>
    <definedName name="cab" hidden="1">{"'Munka1'!$B$1:$G$101"}</definedName>
    <definedName name="Cable" hidden="1">{#N/A,#N/A,FALSE,"Operations";#N/A,#N/A,FALSE,"Financials"}</definedName>
    <definedName name="Cable2" hidden="1">{#N/A,#N/A,FALSE,"Operations";#N/A,#N/A,FALSE,"Financials"}</definedName>
    <definedName name="cabt" hidden="1">{"'Munka1'!$B$1:$G$101"}</definedName>
    <definedName name="CabTec" hidden="1">{"'Munka1'!$B$1:$G$101"}</definedName>
    <definedName name="cabtec2" hidden="1">{"'Munka1'!$B$1:$G$101"}</definedName>
    <definedName name="Cabtec3" hidden="1">{"'Munka1'!$B$1:$G$101"}</definedName>
    <definedName name="CAE해석" hidden="1">{#N/A,#N/A,FALSE,"단축1";#N/A,#N/A,FALSE,"단축2";#N/A,#N/A,FALSE,"단축3";#N/A,#N/A,FALSE,"장축";#N/A,#N/A,FALSE,"4WD"}</definedName>
    <definedName name="cagnew" hidden="1">{"IS",#N/A,FALSE,"IS";"RPTIS",#N/A,FALSE,"RPTIS";"STATS",#N/A,FALSE,"STATS";"CELL",#N/A,FALSE,"CELL";"BS",#N/A,FALSE,"BS"}</definedName>
    <definedName name="calle" hidden="1">{#N/A,#N/A,FALSE,"PrintS"}</definedName>
    <definedName name="calle1" hidden="1">{#N/A,#N/A,FALSE,"PrintS"}</definedName>
    <definedName name="caos" hidden="1">{"FY97Total",#N/A,FALSE,"FY97 - Total";"FY98Total",#N/A,FALSE,"FY98 - Total"}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 hidden="1">{#N/A,#N/A,FALSE,"IPO";#N/A,#N/A,FALSE,"DCF";#N/A,#N/A,FALSE,"LBO";#N/A,#N/A,FALSE,"MULT_VAL";#N/A,#N/A,FALSE,"Status Quo";#N/A,#N/A,FALSE,"Recap"}</definedName>
    <definedName name="CAPEX" hidden="1">"CAPEX"</definedName>
    <definedName name="CAPITAL_EXPEN" hidden="1">"CAPITAL_EXPEN"</definedName>
    <definedName name="CAPITAL_LEASE" hidden="1">"CAPITAL_LEASE"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Structure" hidden="1">#REF!</definedName>
    <definedName name="CapSpendingExcludesSanFu" hidden="1">{"detail",#N/A,FALSE,"mfg";"summary",#N/A,FALSE,"mfg"}</definedName>
    <definedName name="carla" hidden="1">{"FY98Q1",#N/A,FALSE,"FY98 - Q1";"FY98Q2",#N/A,FALSE,"FY98 - Q2";"FY98Q3",#N/A,FALSE,"FY98 - Q3";"FY98Q4",#N/A,FALSE,"FY98 - Q4"}</definedName>
    <definedName name="casca" hidden="1">{"'Data'!$A$1:$D$17"}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hflFinanzierg" hidden="1">#REF!</definedName>
    <definedName name="CashflFinanzierg_" hidden="1">#REF!</definedName>
    <definedName name="CashflInvestition" hidden="1">#REF!</definedName>
    <definedName name="CashflInvestition_" hidden="1">#REF!</definedName>
    <definedName name="CashflLfdGesch" hidden="1">#REF!</definedName>
    <definedName name="CashflLfdGesch_" hidden="1">#REF!</definedName>
    <definedName name="cas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casta" hidden="1">{"FY97Total var",#N/A,FALSE,"FY97 - Total";"FY98Total var",#N/A,FALSE,"FY98 - Total"}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#N/A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6EBA7BA_opts" hidden="1">"1, 1, 1, False, 2, True, False, , 0, False, True,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34D814_opts" hidden="1">"1, 1, 1, False, 2, True, False, , 0, False, False, 1, 1"</definedName>
    <definedName name="cb_sChart1B34D894_opts" hidden="1">"1, 1, 1, False, 2, True, False, , 0, False, False, 1, 2"</definedName>
    <definedName name="cb_sChart1B34D987_opts" hidden="1">"1, 1, 1, False, 2, False, False, , 0, False, False,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WorkbookPriority" hidden="1">-1131501022</definedName>
    <definedName name="cc" hidden="1">#REF!</definedName>
    <definedName name="çç" hidden="1">{"Informes",#N/A,FALSE,"CA";"Informes",#N/A,FALSE,"CN";"Informes",#N/A,FALSE,"INVERSIONES";"Informes",#N/A,FALSE,"CN Oficial";"Informes",#N/A,FALSE,"CA Oficial";"Informes",#N/A,FALSE,"Res Datos Areas"}</definedName>
    <definedName name="CC_Budget_2005_7810" hidden="1">{"'Raumplanung April'!$A$1:$H$30"}</definedName>
    <definedName name="ccac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ccc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cccc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ccccc" hidden="1">{#N/A,#N/A,FALSE,"Layout Cash Flow"}</definedName>
    <definedName name="CCCCCCCC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CCCCCCCCCCCCCCCCCC" hidden="1">#REF!</definedName>
    <definedName name="cccddd" hidden="1">{#N/A,#N/A,FALSE,"단축1";#N/A,#N/A,FALSE,"단축2";#N/A,#N/A,FALSE,"단축3";#N/A,#N/A,FALSE,"장축";#N/A,#N/A,FALSE,"4WD"}</definedName>
    <definedName name="ccchart1" hidden="1">#REF!</definedName>
    <definedName name="ccchart2" hidden="1">#REF!</definedName>
    <definedName name="ccchart3" hidden="1">#REF!</definedName>
    <definedName name="ccchart4" hidden="1">#REF!</definedName>
    <definedName name="ccchart5" hidden="1">#REF!</definedName>
    <definedName name="ccczz" hidden="1">{#N/A,"VB",FALSE,"output";#N/A,"VS",FALSE,"output";#N/A,"VC",FALSE,"output";#N/A,"VG",FALSE,"output";#N/A,"J1",FALSE,"output";#N/A,"PT",FALSE,"output"}</definedName>
    <definedName name="ccf" hidden="1">{"YD PRS",#N/A,FALSE,"YTD"}</definedName>
    <definedName name="cchart1" hidden="1">#REF!</definedName>
    <definedName name="cchart2" hidden="1">#REF!</definedName>
    <definedName name="cchart4" hidden="1">#REF!</definedName>
    <definedName name="cchart5" hidden="1">#REF!</definedName>
    <definedName name="c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alt" hidden="1">{"budget95",#N/A,TRUE,"Tabelle1";"Tab1",#N/A,TRUE,"Tabelle2"}</definedName>
    <definedName name="cdAM" hidden="1">{"budget95",#N/A,TRUE,"Tabelle1";"Tab1",#N/A,TRUE,"Tabelle2"}</definedName>
    <definedName name="cdam00" hidden="1">{"budget95",#N/A,TRUE,"Tabelle1";"Tab1",#N/A,TRUE,"Tabelle2"}</definedName>
    <definedName name="cdam1100" hidden="1">{"budget95",#N/A,TRUE,"Tabelle1";"Tab1",#N/A,TRUE,"Tabelle2"}</definedName>
    <definedName name="cdamend" hidden="1">{"budget95",#N/A,TRUE,"Tabelle1";"Tab1",#N/A,TRUE,"Tabelle2"}</definedName>
    <definedName name="cdamend1" hidden="1">{"budget95",#N/A,TRUE,"Tabelle1";"Tab1",#N/A,TRUE,"Tabelle2"}</definedName>
    <definedName name="cdamend2" hidden="1">{"budget95",#N/A,TRUE,"Tabelle1";"Tab1",#N/A,TRUE,"Tabelle2"}</definedName>
    <definedName name="cddd" hidden="1">{"budget95",#N/A,TRUE,"Tabelle1";"Tab1",#N/A,TRUE,"Tabelle2"}</definedName>
    <definedName name="cdds" hidden="1">{"detail",#N/A,FALSE,"mfg";"summary",#N/A,FALSE,"mfg"}</definedName>
    <definedName name="cd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for" hidden="1">{"budget95",#N/A,TRUE,"Tabelle1";"Tab1",#N/A,TRUE,"Tabelle2"}</definedName>
    <definedName name="cdol" hidden="1">{"budget95",#N/A,TRUE,"Tabelle1";"Tab1",#N/A,TRUE,"Tabelle2"}</definedName>
    <definedName name="CDpers" hidden="1">{"budget95",#N/A,TRUE,"Tabelle1";"Tab1",#N/A,TRUE,"Tabelle2"}</definedName>
    <definedName name="cds" hidden="1">{"detail",#N/A,FALSE,"mfg";"summary",#N/A,FALSE,"mfg"}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rto" hidden="1">{"FY97Q1",#N/A,FALSE,"FY97 - Q1";"FY97Q2",#N/A,FALSE,"FY97 - Q2";"FY97Q3",#N/A,FALSE,"FY97 - Q3";"FY97Q4",#N/A,FALSE,"FY97 - Q4"}</definedName>
    <definedName name="certro" hidden="1">{"FY98Q1",#N/A,FALSE,"FY98 - Q1";"FY98Q2",#N/A,FALSE,"FY98 - Q2";"FY98Q3",#N/A,FALSE,"FY98 - Q3";"FY98Q4",#N/A,FALSE,"FY98 - Q4"}</definedName>
    <definedName name="cew" hidden="1">{"ICD Details",#N/A,FALSE,"Current Yr";"ICD Details",#N/A,FALSE,"Budget";"ICD Details",#N/A,FALSE,"Prior Year"}</definedName>
    <definedName name="cfg" hidden="1">{"Act_vs_Budget",#N/A,FALSE,"QTRDPVAR";"Act_vs_Prior_Year",#N/A,FALSE,"QTRDPVAR"}</definedName>
    <definedName name="CFiniN" hidden="1">0</definedName>
    <definedName name="cfs" hidden="1">{"YD LOUISIANA",#N/A,FALSE,"YTD"}</definedName>
    <definedName name="CFSheetVisible" hidden="1">#REF!</definedName>
    <definedName name="cghj" hidden="1">{"ReportTop",#N/A,FALSE,"report top"}</definedName>
    <definedName name="ch" hidden="1">{"sbfk2",#N/A,FALSE,"A";"sbkf3",#N/A,FALSE,"A";"sbkf4",#N/A,FALSE,"A";"sbkf1",#N/A,FALSE,"A"}</definedName>
    <definedName name="CH14_6" hidden="1">{"SCM_Detail",#N/A,FALSE,"SCM";"SCM_Top",#N/A,FALSE,"SCM"}</definedName>
    <definedName name="CH21_6" hidden="1">{"SCM_Detail",#N/A,FALSE,"SCM";"SCM_Top",#N/A,FALSE,"SCM"}</definedName>
    <definedName name="chang" hidden="1">{#N/A,#N/A,FALSE,"을지 (4)";#N/A,#N/A,FALSE,"을지 (5)";#N/A,#N/A,FALSE,"을지 (6)"}</definedName>
    <definedName name="ChangAT" hidden="1">{#N/A,"VB",FALSE,"output";#N/A,"VS",FALSE,"output";#N/A,"VC",FALSE,"output";#N/A,"VG",FALSE,"output";#N/A,"J1",FALSE,"output";#N/A,"PT",FALSE,"output"}</definedName>
    <definedName name="change" hidden="1">{1;"Konsol_Eingabe";2;"Konsol_Ausgabe";"Yellow";"No value";TRUE}</definedName>
    <definedName name="ChangeRange" hidden="1">#REF!</definedName>
    <definedName name="ChangeRange1" hidden="1">#REF!</definedName>
    <definedName name="CHANGES_WORK_CAP" hidden="1">"CHANGES_WORK_CAP"</definedName>
    <definedName name="Chart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2" hidden="1">#REF!</definedName>
    <definedName name="checkthis" hidden="1">#REF!</definedName>
    <definedName name="chgcvhgvvg" hidden="1">#REF!</definedName>
    <definedName name="CHIARA" hidden="1">{"'Future Reviews'!$A$1:$D$58"}</definedName>
    <definedName name="chiho" hidden="1">{"'下期集計（10.27迄・速報値）'!$Q$16"}</definedName>
    <definedName name="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i" hidden="1">{#N/A,#N/A,FALSE,"단축1";#N/A,#N/A,FALSE,"단축2";#N/A,#N/A,FALSE,"단축3";#N/A,#N/A,FALSE,"장축";#N/A,#N/A,FALSE,"4WD"}</definedName>
    <definedName name="ciao" hidden="1">{"FY98Q1 var",#N/A,FALSE,"FY98 - Q1";"FY98Q2 var",#N/A,FALSE,"FY98 - Q2";"FY98Q3 var",#N/A,FALSE,"FY98 - Q3";"FY98Q4 var",#N/A,FALSE,"FY98 - Q4"}</definedName>
    <definedName name="cieco" hidden="1">{"Allocation Matrix p1",#N/A,FALSE,"Allocation Matrix";"Allocation Matrix p2",#N/A,FALSE,"Allocation Matrix";"Allocation Matrix p3",#N/A,FALSE,"Allocation Matrix"}</definedName>
    <definedName name="cifra" hidden="1">{"FY97Q1 var",#N/A,FALSE,"FY97 - Q1";"FY97Q2 var",#N/A,FALSE,"FY97 - Q2";"FY97Q3 var",#N/A,FALSE,"FY97 - Q3";"FY97Q4 var",#N/A,FALSE,"FY97 - Q4"}</definedName>
    <definedName name="CIQANR_76cee6ac8ea746c4b5aac5c94447979c" hidden="1">#REF!</definedName>
    <definedName name="CIQANR_96c1cddfe61944a0bc15fe251fce345b" hidden="1">#REF!</definedName>
    <definedName name="CIQANR_d9968032b4694a8b9fc09ae21794208a" hidden="1">#REF!</definedName>
    <definedName name="CIQWBGuid" hidden="1">"69f10468-471b-4a41-8315-57f4187deb2b"</definedName>
    <definedName name="CIQWBGuid_1" hidden="1">"45c41a06-4b14-428c-b2bf-cfa5f0eafbc0"</definedName>
    <definedName name="CIQWBGuid2" hidden="1">"1624847b-4375-42fb-9dd7-40ba87e6aaa1"</definedName>
    <definedName name="CIQWBGuil2" hidden="1">"c74735fe-0900-4227-b020-948d12a31ac8"</definedName>
    <definedName name="CIQWBInfo" hidden="1">"{ ""CIQVersion"":""9.48.1616.5174"" }"</definedName>
    <definedName name="CITY" hidden="1">"CITY"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L" hidden="1">1</definedName>
    <definedName name="ÇLK" hidden="1">{"'comite'!$A$9:$G$44","'comite'!$A$1:$G$6"}</definedName>
    <definedName name="CLsysID" hidden="1">"BWP"</definedName>
    <definedName name="Co50py" hidden="1">{#N/A,"DR",FALSE,"increm pf";#N/A,"MAMSI",FALSE,"increm pf";#N/A,"MAXI",FALSE,"increm pf";#N/A,"PCAM",FALSE,"increm pf";#N/A,"PHSV",FALSE,"increm pf";#N/A,"SIE",FALSE,"increm pf"}</definedName>
    <definedName name="COGstandard" hidden="1">{#N/A,#N/A,FALSE,"Pharm";#N/A,#N/A,FALSE,"WWCM"}</definedName>
    <definedName name="Coltrol29" hidden="1">{"'Data'!$A$1:$D$17"}</definedName>
    <definedName name="Column" hidden="1">#REF!</definedName>
    <definedName name="comeonnow" hidden="1">{#N/A,#N/A,FALSE,"Performance Flash Report"}</definedName>
    <definedName name="comite" hidden="1">{"'comite'!$A$9:$G$44","'comite'!$A$1:$G$6"}</definedName>
    <definedName name="COMMON_STOCK" hidden="1">"COMMON_STOCK"</definedName>
    <definedName name="commonstart" hidden="1">#REF!</definedName>
    <definedName name="comp2" hidden="1">{"'Sheet1'!$A$1:$H$96"}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Code" hidden="1">"USDO"</definedName>
    <definedName name="COMPANY_NAME" hidden="1">"COMPANY_NAME"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 hidden="1">#REF!</definedName>
    <definedName name="Comparable" hidden="1">{"First Page",#N/A,FALSE,"Surfactants LBO";"Second Page",#N/A,FALSE,"Surfactants LBO"}</definedName>
    <definedName name="Comparative_Period" hidden="1">#REF!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esult" hidden="1">{"FCB_ALL",#N/A,FALSE,"FCB"}</definedName>
    <definedName name="compresult2" hidden="1">{"FCB_ALL",#N/A,FALSE,"FCB"}</definedName>
    <definedName name="compresults" hidden="1">{"FCB_ALL",#N/A,FALSE,"FCB"}</definedName>
    <definedName name="CompYear" hidden="1">#REF!</definedName>
    <definedName name="CONCEPT" hidden="1">{#N/A,#N/A,FALSE,"단축1";#N/A,#N/A,FALSE,"단축2";#N/A,#N/A,FALSE,"단축3";#N/A,#N/A,FALSE,"장축";#N/A,#N/A,FALSE,"4WD"}</definedName>
    <definedName name="Condensed" hidden="1">{"execsum",#N/A,FALSE,"ExecSum";"finstatement",#N/A,FALSE,"Fin_St"}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used" hidden="1">#REF!</definedName>
    <definedName name="consolidation" hidden="1">{#N/A,#N/A,FALSE,"단축1";#N/A,#N/A,FALSE,"단축2";#N/A,#N/A,FALSE,"단축3";#N/A,#N/A,FALSE,"장축";#N/A,#N/A,FALSE,"4WD"}</definedName>
    <definedName name="ConsoliDent" hidden="1">39216.5878819444</definedName>
    <definedName name="ContentsHelp" hidden="1">#REF!</definedName>
    <definedName name="cooper2" hidden="1">{#N/A,#N/A,TRUE,"Pro Forma";#N/A,#N/A,TRUE,"PF_Bal";#N/A,#N/A,TRUE,"PF_INC";#N/A,#N/A,TRUE,"CBE";#N/A,#N/A,TRUE,"SWK"}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" hidden="1">{#N/A,#N/A,TRUE,"Pro Forma";#N/A,#N/A,TRUE,"PF_Bal";#N/A,#N/A,TRUE,"PF_INC";#N/A,#N/A,TRUE,"CBE";#N/A,#N/A,TRUE,"SWK"}</definedName>
    <definedName name="copy33" hidden="1">{#N/A,#N/A,FALSE,"Pharm";#N/A,#N/A,FALSE,"WWCM"}</definedName>
    <definedName name="copy38" hidden="1">{#N/A,#N/A,FALSE,"Pharm";#N/A,#N/A,FALSE,"WWCM"}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TE" hidden="1">{"Capital",#N/A,FALSE,"capital"}</definedName>
    <definedName name="cost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COST_REVENUE" hidden="1">"COST_REVENUE"</definedName>
    <definedName name="Costwalk" hidden="1">{"REVISED",#N/A,FALSE,"Sheet1"}</definedName>
    <definedName name="Cotrans_Grafik" hidden="1">{"general",#N/A,FALSE,"Assumptions"}</definedName>
    <definedName name="coucou" hidden="1">{#N/A,#N/A,TRUE,"Cover sheet";#N/A,#N/A,TRUE,"INPUTS";#N/A,#N/A,TRUE,"OUTPUTS";#N/A,#N/A,TRUE,"VALUATION"}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_NAME" hidden="1">"COUNTRY_NAME"</definedName>
    <definedName name="COVER1" hidden="1">#REF!</definedName>
    <definedName name="cover2" hidden="1">#N/A</definedName>
    <definedName name="cox" hidden="1">{#N/A,#N/A,FALSE,"Time Warner";#N/A,#N/A,FALSE,"Entertainment Group";#N/A,#N/A,FALSE,"EBITDA";#N/A,#N/A,FALSE,"Notes"}</definedName>
    <definedName name="CR" hidden="1">#N/A</definedName>
    <definedName name="Crap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eateTable" hidden="1">#REF!</definedName>
    <definedName name="CreditStats" hidden="1">#REF!</definedName>
    <definedName name="CROSSMBR" hidden="1">{#N/A,#N/A,FALSE,"단축1";#N/A,#N/A,FALSE,"단축2";#N/A,#N/A,FALSE,"단축3";#N/A,#N/A,FALSE,"장축";#N/A,#N/A,FALSE,"4WD"}</definedName>
    <definedName name="Crystal_1_1_WEBI_DataGrid" hidden="1">#REF!</definedName>
    <definedName name="Crystal_1_1_WEBI_HHeading" hidden="1">#REF!</definedName>
    <definedName name="Crystal_1_1_WEBI_Table" hidden="1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" hidden="1">#N/A</definedName>
    <definedName name="ctc" hidden="1">#REF!</definedName>
    <definedName name="cu102.ShareScalingFactor" hidden="1">1000000</definedName>
    <definedName name="cu103.EmployeeScalingFactor" hidden="1">1000</definedName>
    <definedName name="cu107.DPSSymbol" hidden="1">"€"</definedName>
    <definedName name="cu107.EPSSymbol" hidden="1">"€"</definedName>
    <definedName name="cu71.ScalingFactor" hidden="1">1000000</definedName>
    <definedName name="cuiao" hidden="1">{"Allocation Matrix p1",#N/A,FALSE,"Allocation Matrix";"Allocation Matrix p2",#N/A,FALSE,"Allocation Matrix";"Allocation Matrix p3",#N/A,FALSE,"Allocation Matrix"}</definedName>
    <definedName name="culo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cun" hidden="1">{#N/A,#N/A,FALSE,"WOB_1.XLS";#N/A,#N/A,FALSE,"WOB_2.XLS";#N/A,#N/A,FALSE,"WOB_3.XLS";#N/A,#N/A,FALSE,"WOB_4.XLS";#N/A,#N/A,FALSE,"WOB_5.XLS"}</definedName>
    <definedName name="CUNDEZ" hidden="1">{#N/A,#N/A,FALSE,"WOB_1.XLS";#N/A,#N/A,FALSE,"WOB_2.XLS";#N/A,#N/A,FALSE,"WOB_3.XLS";#N/A,#N/A,FALSE,"WOB_4.XLS";#N/A,#N/A,FALSE,"WOB_5.XLS"}</definedName>
    <definedName name="CURRENT_PORT" hidden="1">"CURRENT_PORT"</definedName>
    <definedName name="CURRENT_RATIO" hidden="1">"CURRENT_RATIO"</definedName>
    <definedName name="CurrYear" hidden="1">#REF!</definedName>
    <definedName name="curse" hidden="1">#REF!</definedName>
    <definedName name="cursource" hidden="1">#N/A</definedName>
    <definedName name="cutting" hidden="1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hidden="1">{#N/A,#N/A,FALSE,"Operations";#N/A,#N/A,FALSE,"Financials"}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ncvnvbn" hidden="1">{#N/A,#N/A,FALSE,"Operations";#N/A,#N/A,FALSE,"Financials"}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f" hidden="1">{#N/A,#N/A,FALSE,"Finanzbedarfsrechnung"}</definedName>
    <definedName name="CVNCVNBVN" hidden="1">{"comp1",#N/A,FALSE,"COMPS";"footnotes",#N/A,FALSE,"COMPS"}</definedName>
    <definedName name="Cwvu.ALL." hidden="1">#REF!,#REF!</definedName>
    <definedName name="Cwvu.all.2" hidden="1">#REF!,#REF!</definedName>
    <definedName name="Cwvu.GREY_ALL." hidden="1">#REF!</definedName>
    <definedName name="Cwvu.PRT." hidden="1">#REF!,#REF!,#REF!,#REF!,#REF!</definedName>
    <definedName name="Cwvu.prt.2" hidden="1">#REF!,#REF!,#REF!,#REF!,#REF!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z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CY_15_IS" hidden="1">#REF!</definedName>
    <definedName name="CY_16_IS" hidden="1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{#N/A,#N/A,FALSE,"Finanzbedarsrechnung"}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fA" hidden="1">#REF!</definedName>
    <definedName name="DAFAFAE" hidden="1">{#N/A,#N/A,FALSE,"단축1";#N/A,#N/A,FALSE,"단축2";#N/A,#N/A,FALSE,"단축3";#N/A,#N/A,FALSE,"장축";#N/A,#N/A,FALSE,"4WD"}</definedName>
    <definedName name="dafd" hidden="1">{"bs",#N/A,FALSE,"SCF"}</definedName>
    <definedName name="daf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g" hidden="1">{"Total",#N/A,FALSE,"Six Fields";"PDP",#N/A,FALSE,"Six Fields";"PNP",#N/A,FALSE,"Six Fields";"PUD",#N/A,FALSE,"Six Fields";"Prob",#N/A,FALSE,"Six Fields"}</definedName>
    <definedName name="ＤＡＩＳＵＵ" hidden="1">{#VALUE!,#N/A,FALSE,0;#N/A,#N/A,FALSE,0;#N/A,#N/A,FALSE,0;#N/A,#N/A,FALSE,0}</definedName>
    <definedName name="dakfkjafgkeaj" hidden="1">{#N/A,#N/A,FALSE,"Pharm";#N/A,#N/A,FALSE,"WWCM"}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f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.Dump" hidden="1">OFFSET(#REF!,1,0)</definedName>
    <definedName name="DATA_01" hidden="1">#REF!</definedName>
    <definedName name="Data_FooterType" hidden="1">"INTERNAL"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base.File" hidden="1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RangePrice" hidden="1">OFFSET(#REF!,5,0,COUNTA(#REF!)-COUNTA(#REF!),1)</definedName>
    <definedName name="DateRangePriceMain" hidden="1">#REF!</definedName>
    <definedName name="dave" hidden="1">{"'Form'!$A$2:$J$81"}</definedName>
    <definedName name="daws" hidden="1">{#N/A,#N/A,FALSE,"Renewals In Process";#N/A,#N/A,FALSE,"New Clients In Process";#N/A,#N/A,FALSE,"Completed New Clients";#N/A,#N/A,FALSE,"Completed Renewals"}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hart1" hidden="1">#REF!</definedName>
    <definedName name="dchart4" hidden="1">#REF!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" hidden="1">{#N/A,#N/A,FALSE,"Layout Aktiva";#N/A,#N/A,FALSE,"Layout Passiva"}</definedName>
    <definedName name="ddchart1" hidden="1">#REF!</definedName>
    <definedName name="ddd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az" hidden="1">{#N/A,#N/A,FALSE,"Pharm";#N/A,#N/A,FALSE,"WWCM"}</definedName>
    <definedName name="dddd" hidden="1">{"'Munka1'!$B$1:$G$101"}</definedName>
    <definedName name="ddddd" hidden="1">{"Tages_D",#N/A,FALSE,"Tagesbericht";"Tages_PL",#N/A,FALSE,"Tagesbericht"}</definedName>
    <definedName name="dddddd" hidden="1">{#N/A,#N/A,FALSE,"Pharm";#N/A,#N/A,FALSE,"WWCM"}</definedName>
    <definedName name="ddddddd" hidden="1">{"detail",#N/A,FALSE,"mfg";"summary",#N/A,FALSE,"mfg"}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fg" hidden="1">{#N/A,#N/A,FALSE,"정공"}</definedName>
    <definedName name="ddds" hidden="1">{"cap_structure",#N/A,FALSE,"Graph-Mkt Cap";"price",#N/A,FALSE,"Graph-Price";"ebit",#N/A,FALSE,"Graph-EBITDA";"ebitda",#N/A,FALSE,"Graph-EBITDA"}</definedName>
    <definedName name="ddee" hidden="1">{#N/A,#N/A,FALSE,"Finanzbedarsrechnung"}</definedName>
    <definedName name="ddf" hidden="1">{#N/A,#N/A,FALSE,"KA CH  (2)"}</definedName>
    <definedName name="dDFA" hidden="1">{#N/A,#N/A,FALSE,"단축1";#N/A,#N/A,FALSE,"단축2";#N/A,#N/A,FALSE,"단축3";#N/A,#N/A,FALSE,"장축";#N/A,#N/A,FALSE,"4WD"}</definedName>
    <definedName name="ddfdsf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ddff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DDO" hidden="1">{"'Future Reviews'!$A$1:$D$58"}</definedName>
    <definedName name="DDS" hidden="1">{#N/A,#N/A,FALSE,"을지 (4)";#N/A,#N/A,FALSE,"을지 (5)";#N/A,#N/A,FALSE,"을지 (6)"}</definedName>
    <definedName name="ddsad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ddsafdsf" hidden="1">{#N/A,#N/A,FALSE,"Index";#N/A,#N/A,FALSE,"1.1";#N/A,#N/A,FALSE,"Scenario Summary"}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t_ratedBBB" hidden="1">{#N/A,#N/A,FALSE,"Aging Summary";#N/A,#N/A,FALSE,"Ratio Analysis";#N/A,#N/A,FALSE,"Test 120 Day Accts";#N/A,#N/A,FALSE,"Tickmarks"}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pref" hidden="1">#REF!</definedName>
    <definedName name="Dec_Plan_Income_Month" hidden="1">{"Oct_Plan_Income_Month",#N/A,FALSE,"OctInc";"Oct_Month_Lastyear_Inc",#N/A,FALSE,"OctInc"}</definedName>
    <definedName name="Deckbla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s" hidden="1">{#N/A,#N/A,FALSE,"Layout GuV"}</definedName>
    <definedName name="DEDZD" hidden="1">{#N/A,#N/A,FALSE,"Pharm";#N/A,#N/A,FALSE,"WWCM"}</definedName>
    <definedName name="DEE" hidden="1">{#N/A,#N/A,FALSE,"Pharm";#N/A,#N/A,FALSE,"WWCM"}</definedName>
    <definedName name="def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DEFERRED_INC_TAX" hidden="1">"DEFERRED_INC_TAX"</definedName>
    <definedName name="DEFERRED_TAXES" hidden="1">"DEFERRED_TAXES"</definedName>
    <definedName name="degzer" hidden="1">{#N/A,#N/A,FALSE,"Layout Cash Flow"}</definedName>
    <definedName name="delete" hidden="1">{"'Sheet1'!$A$1:$O$22"}</definedName>
    <definedName name="Delete_ME" hidden="1">{"'Server Configuration'!$A$1:$DB$281"}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{"PA1",#N/A,FALSE,"BORDMW";"pa2",#N/A,FALSE,"BORDMW";"PA3",#N/A,FALSE,"BORDMW";"PA4",#N/A,FALSE,"BORDMW"}</definedName>
    <definedName name="deleteme1" hidden="1">{#N/A,#N/A,FALSE,"Summary";#N/A,#N/A,FALSE,"CF";#N/A,#N/A,FALSE,"P&amp;L";#N/A,#N/A,FALSE,"BS";#N/A,#N/A,FALSE,"Returns";#N/A,#N/A,FALSE,"Assumptions";#N/A,#N/A,FALSE,"Analysis"}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" hidden="1">{#N/A,#N/A,FALSE,"Summary";#N/A,#N/A,FALSE,"CF";#N/A,#N/A,FALSE,"P&amp;L";"summary",#N/A,FALSE,"Returns";#N/A,#N/A,FALSE,"BS";"summary",#N/A,FALSE,"Analysis";#N/A,#N/A,FALSE,"Assumptions"}</definedName>
    <definedName name="DeleteRange" hidden="1">#REF!</definedName>
    <definedName name="DeleteTable" hidden="1">#REF!</definedName>
    <definedName name="DEMeXToEUR" hidden="1">#REF!</definedName>
    <definedName name="DEMeXToEUR1a" hidden="1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" hidden="1">{"'Demand Units'!$X$11:$AD$45"}</definedName>
    <definedName name="der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rta" hidden="1">{"FY97Q1 nvs",#N/A,FALSE,"FY97 - Q1";"FY97Q2 nvs",#N/A,FALSE,"FY97 - Q2";"FY97Q3 nvs",#N/A,FALSE,"FY97 - Q3";"FY97Q4 nvs",#N/A,FALSE,"FY97 - Q4"}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_LONG" hidden="1">"DESCRIPTION_LONG"</definedName>
    <definedName name="dess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sto" hidden="1">{"FY98Q1 nvs",#N/A,FALSE,"FY98 - Q1";"FY98Q2 nvs",#N/A,FALSE,"FY98 - Q2";"FY98Q3 nvs",#N/A,FALSE,"FY98 - Q3";"FY98Q4 nvs",#N/A,FALSE,"FY98 - Q4"}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edPLinclLM" hidden="1">Main.SAPF4Help()</definedName>
    <definedName name="detto" hidden="1">{"FY97Q1",#N/A,FALSE,"FY97 - Q1";"FY97Q2",#N/A,FALSE,"FY97 - Q2";"FY97Q3",#N/A,FALSE,"FY97 - Q3";"FY97Q4",#N/A,FALSE,"FY97 - Q4"}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f" hidden="1">{"comps",#N/A,FALSE,"comps";"notes",#N/A,FALSE,"comps"}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dfadsfa" hidden="1">{#VALUE!,#N/A,FALSE,0;#N/A,#N/A,FALSE,0;#N/A,#N/A,FALSE,0;#N/A,#N/A,FALSE,0}</definedName>
    <definedName name="dfafa" hidden="1">#N/A</definedName>
    <definedName name="dfagdfg" hidden="1">{"résultats_édition client",#N/A,FALSE,"Résultats"}</definedName>
    <definedName name="dfaggdfg" hidden="1">{"regression corrigées",#N/A,FALSE,"Regressions"}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f" hidden="1">#REF!</definedName>
    <definedName name="dfbfhyt" hidden="1">{#N/A,#N/A,TRUE,"Historicals";#N/A,#N/A,TRUE,"Charts";#N/A,#N/A,TRUE,"Forecasts"}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d" hidden="1">{"comp1",#N/A,FALSE,"COMPS";"footnotes",#N/A,FALSE,"COMPS"}</definedName>
    <definedName name="dfdadf" hidden="1">{#N/A,"DR",FALSE,"increm pf";#N/A,"MAMSI",FALSE,"increm pf";#N/A,"MAXI",FALSE,"increm pf";#N/A,"PCAM",FALSE,"increm pf";#N/A,"PHSV",FALSE,"increm pf";#N/A,"SIE",FALSE,"increm pf"}</definedName>
    <definedName name="dfdas" hidden="1">{"FCB_ALL",#N/A,FALSE,"FCB";"GREY_ALL",#N/A,FALSE,"GREY"}</definedName>
    <definedName name="DFDD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fd" hidden="1">{#N/A,#N/A,FALSE,"AD_Purchase";#N/A,#N/A,FALSE,"Credit";#N/A,#N/A,FALSE,"PF Acquisition";#N/A,#N/A,FALSE,"PF Offering"}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gdfg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dfdsfsf" hidden="1">{#N/A,#N/A,FALSE,"Mittelherkunft";#N/A,#N/A,FALSE,"Mittelverwendung"}</definedName>
    <definedName name="dfegf" hidden="1">{"'MVS'!$A$5:$O$716"}</definedName>
    <definedName name="dfere" hidden="1">{"ReportTop",#N/A,FALSE,"report top"}</definedName>
    <definedName name="DFF" hidden="1">{#N/A,#N/A,FALSE,"단축1";#N/A,#N/A,FALSE,"단축2";#N/A,#N/A,FALSE,"단축3";#N/A,#N/A,FALSE,"장축";#N/A,#N/A,FALSE,"4WD"}</definedName>
    <definedName name="dffadfadf" hidden="1">{"'Title Transfer Units6,7,&amp;8'!$A$1:$B$4","'Title Transfer Units6,7,&amp;8'!$C$6"}</definedName>
    <definedName name="DFG" hidden="1">{#N/A,#N/A,FALSE,"Assumptions";#N/A,#N/A,FALSE,"N-IS-Sum";#N/A,#N/A,FALSE,"N-St-Sum";#N/A,#N/A,FALSE,"Inc Stmt";#N/A,#N/A,FALSE,"Stats"}</definedName>
    <definedName name="dfgd" hidden="1">{"subs",#N/A,FALSE,"database ";"proportional",#N/A,FALSE,"database 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f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fgds" hidden="1">38922.8233796296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dfgh56hzu" hidden="1">{#N/A,#N/A,FALSE,"Layout GuV"}</definedName>
    <definedName name="dfghd" hidden="1">{#N/A,#N/A,FALSE,"Layout Cash Flow"}</definedName>
    <definedName name="dfghdfhdg" hidden="1">{#N/A,#N/A,FALSE,"Umsatz 99";#N/A,#N/A,FALSE,"ER 99 "}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xc" hidden="1">{"targetdcf",#N/A,FALSE,"Merger consequences";"TARGETASSU",#N/A,FALSE,"Merger consequences";"TERMINAL VALUE",#N/A,FALSE,"Merger consequences"}</definedName>
    <definedName name="dfgxcv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dfgzrtz" hidden="1">{#N/A,#N/A,FALSE,"Layout GuV"}</definedName>
    <definedName name="dfh" hidden="1">#REF!</definedName>
    <definedName name="dfhd" hidden="1">{"vi1",#N/A,FALSE,"Financial Statements";"vi2",#N/A,FALSE,"Financial Statements";#N/A,#N/A,FALSE,"DCF"}</definedName>
    <definedName name="DFHFDHFDH" hidden="1">{#N/A,#N/A,FALSE,"Operations";#N/A,#N/A,FALSE,"Financials"}</definedName>
    <definedName name="DFHJ" hidden="1">{#N/A,#N/A,FALSE,"단축1";#N/A,#N/A,FALSE,"단축2";#N/A,#N/A,FALSE,"단축3";#N/A,#N/A,FALSE,"장축";#N/A,#N/A,FALSE,"4WD"}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{#N/A,#N/A,FALSE,"Index";#N/A,#N/A,FALSE,"1.1";#N/A,#N/A,FALSE,"Scenario Summary"}</definedName>
    <definedName name="dfsaadsfa" hidden="1">{#N/A,#N/A,FALSE,"Calc";#N/A,#N/A,FALSE,"Sensitivity";#N/A,#N/A,FALSE,"LT Earn.Dil.";#N/A,#N/A,FALSE,"Dil. AVP"}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rtg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dfssdf" hidden="1">{#N/A,#N/A,FALSE,"Finanzbedarfsrechnung"}</definedName>
    <definedName name="dft" hidden="1">{"EVA",#N/A,FALSE,"EVA";"WACC",#N/A,FALSE,"WACC"}</definedName>
    <definedName name="dfwerf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dfxc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DG" hidden="1">{#N/A,#N/A,FALSE,"Staffnos &amp; cost"}</definedName>
    <definedName name="dga" hidden="1">{"'Title Transfer Units6,7,&amp;8'!$A$1:$B$4","'Title Transfer Units6,7,&amp;8'!$C$6"}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" hidden="1">{#N/A,#N/A,FALSE,"단축1";#N/A,#N/A,FALSE,"단축2";#N/A,#N/A,FALSE,"단축3";#N/A,#N/A,FALSE,"장축";#N/A,#N/A,FALSE,"4WD"}</definedName>
    <definedName name="dgfdgfdg" hidden="1">{#N/A,#N/A,FALSE,"Calc";#N/A,#N/A,FALSE,"Sensitivity";#N/A,#N/A,FALSE,"LT Earn.Dil.";#N/A,#N/A,FALSE,"Dil. AVP"}</definedName>
    <definedName name="dgfhgf" hidden="1">{#N/A,#N/A,FALSE,"ORIX CSC"}</definedName>
    <definedName name="DGFMASEH" hidden="1">{"'גיליון1'!$W$156:$AB$173","'גיליון1'!$S$154:$AB$158"}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j" hidden="1">{"EVA",#N/A,FALSE,"EVA";"WACC",#N/A,FALSE,"WACC"}</definedName>
    <definedName name="DGJSRGH" hidden="1">{#N/A,#N/A,FALSE,"단축1";#N/A,#N/A,FALSE,"단축2";#N/A,#N/A,FALSE,"단축3";#N/A,#N/A,FALSE,"장축";#N/A,#N/A,FALSE,"4WD"}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xcv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dgy" hidden="1">{"mgmt forecast",#N/A,FALSE,"Mgmt Forecast";"dcf table",#N/A,FALSE,"Mgmt Forecast";"sensitivity",#N/A,FALSE,"Mgmt Forecast";"table inputs",#N/A,FALSE,"Mgmt Forecast";"calculations",#N/A,FALSE,"Mgmt Forecast"}</definedName>
    <definedName name="dhg" hidden="1">{"GuVGmbH",#N/A,FALSE,"ratios";"BilanzGmbH",#N/A,FALSE,"ratios";"BilanzKG",#N/A,FALSE,"ratios";"GuVKG",#N/A,FALSE,"ratios"}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gkghkds" hidden="1">{"DCF1",#N/A,FALSE,"SIERRA DCF";"MATRIX1",#N/A,FALSE,"SIERRA DCF"}</definedName>
    <definedName name="dicci" hidden="1">{"FY97Total",#N/A,FALSE,"FY97 - Total";"FY98Total",#N/A,FALSE,"FY98 - Total"}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gital" hidden="1">#N/A</definedName>
    <definedName name="digitalboost" hidden="1">{"sbfk2",#N/A,FALSE,"A";"sbkf3",#N/A,FALSE,"A";"sbkf4",#N/A,FALSE,"A";"sbkf1",#N/A,FALSE,"A"}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mmi" hidden="1">{"FY97Q1 nvs",#N/A,FALSE,"FY97 - Q1";"FY97Q2 nvs",#N/A,FALSE,"FY97 - Q2";"FY97Q3 nvs",#N/A,FALSE,"FY97 - Q3";"FY97Q4 nvs",#N/A,FALSE,"FY97 - Q4"}</definedName>
    <definedName name="dirlo" hidden="1">{"FY97Tot nvs",#N/A,FALSE,"FY97 - Total";"FY98Tot nvs",#N/A,FALSE,"FY98 - Total"}</definedName>
    <definedName name="DISCONT_OPER" hidden="1">"DISCONT_OPER"</definedName>
    <definedName name="display_area_2" hidden="1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JKDNF" hidden="1">{"'Demand Units'!$X$11:$AD$45"}</definedName>
    <definedName name="djksljd" hidden="1">{#N/A,#N/A,FALSE,"Other";#N/A,#N/A,FALSE,"Ace";#N/A,#N/A,FALSE,"Derm"}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Q" hidden="1">{#N/A,#N/A,FALSE,"초도품";#N/A,#N/A,FALSE,"초도품 (2)";#N/A,#N/A,FALSE,"초도품 (3)";#N/A,#N/A,FALSE,"초도품 (4)";#N/A,#N/A,FALSE,"초도품 (5)";#N/A,#N/A,FALSE,"초도품 (6)"}</definedName>
    <definedName name="dkdk" hidden="1">{#N/A,#N/A,FALSE,"단축1";#N/A,#N/A,FALSE,"단축2";#N/A,#N/A,FALSE,"단축3";#N/A,#N/A,FALSE,"장축";#N/A,#N/A,FALSE,"4WD"}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DL" hidden="1">{#N/A,#N/A,FALSE,"단축1";#N/A,#N/A,FALSE,"단축2";#N/A,#N/A,FALSE,"단축3";#N/A,#N/A,FALSE,"장축";#N/A,#N/A,FALSE,"4WD"}</definedName>
    <definedName name="dma" hidden="1">{"GLI-Income Statement",#N/A,FALSE,"gli";"GLI - Balance Sheet Wksht",#N/A,FALSE,"gli";"GLI-Cash Flow",#N/A,FALSE,"gli";"GLI Qtrly Stats",#N/A,FALSE,"gli"}</definedName>
    <definedName name="DME_Dirty" hidden="1">"False"</definedName>
    <definedName name="DME_DocumentFlags" hidden="1">"1"</definedName>
    <definedName name="DME_DocumentID" hidden="1">"::ODMA\DME-MSE\London-36832"</definedName>
    <definedName name="DME_DocumentOpened" hidden="1">"True"</definedName>
    <definedName name="DME_DocumentTitle" hidden="1">"London-36832 - Standard Mini Model"</definedName>
    <definedName name="DME_LocalFile" hidden="1">"False"</definedName>
    <definedName name="DME_NextWindowNumber" hidden="1">"2"</definedName>
    <definedName name="DME_ODMALinks1" hidden="1">"::ODMA\DME-MSE\London-44590=C:\TEMP\Dme\London-44590.xls"</definedName>
    <definedName name="DME_ODMALinksCount" hidden="1">"1"</definedName>
    <definedName name="doc" hidden="1">{#N/A,#N/A,FALSE,"Header &amp; Contents";#N/A,#N/A,FALSE,"Section1 - Inv Smry";#N/A,#N/A,FALSE,"Section2 - Exec Smry";#N/A,#N/A,FALSE,"Section 3 - Cost Bdwn";#N/A,#N/A,FALSE,"Section 5 - Load &amp; Cap";#N/A,#N/A,FALSE,"Section 6 - Financial";#N/A,#N/A,FALSE,"Section 8 - Assumptions Summary";#N/A,#N/A,FALSE,"Section 9 - Local Signatures";#N/A,#N/A,FALSE,"Section 10 - Liberated Assets";#N/A,#N/A,FALSE,"Section 11 - Suppl Auth"}</definedName>
    <definedName name="DoCoMo" hidden="1">{"test2",#N/A,TRUE,"Prices"}</definedName>
    <definedName name="dog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os" hidden="1">{#N/A,#N/A,FALSE,"summary"}</definedName>
    <definedName name="doug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wn" hidden="1">{#N/A,#N/A,FALSE,"Umsatz";#N/A,#N/A,FALSE,"Base V.02";#N/A,#N/A,FALSE,"Charts"}</definedName>
    <definedName name="DPNA" hidden="1">{"'Future Reviews'!$A$1:$D$58"}</definedName>
    <definedName name="dq" hidden="1">{"Comp_of_Price_Effect",#N/A,FALSE,"QTRDPVAR"}</definedName>
    <definedName name="dr" hidden="1">{"bkod1",#N/A,FALSE,"A";"bokd2",#N/A,FALSE,"A";"bokd3",#N/A,FALSE,"A";"bkod4",#N/A,FALSE,"A";"bokd5",#N/A,FALSE,"A";"bokd6",#N/A,FALSE,"A";"bokd7",#N/A,FALSE,"A"}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df" hidden="1">{#N/A,#N/A,TRUE,"Staffnos &amp; cost"}</definedName>
    <definedName name="dre" hidden="1">{"weichwaren",#N/A,FALSE,"Liste 1";"hartwaren",#N/A,FALSE,"Liste 1";"food",#N/A,FALSE,"Liste 1";"fleisch",#N/A,FALSE,"Liste 1"}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IVEABILITY" hidden="1">{#N/A,#N/A,FALSE,"단축1";#N/A,#N/A,FALSE,"단축2";#N/A,#N/A,FALSE,"단축3";#N/A,#N/A,FALSE,"장축";#N/A,#N/A,FALSE,"4WD"}</definedName>
    <definedName name="DRS" hidden="1">39454.4051388889</definedName>
    <definedName name="drw" hidden="1">{"PAGE 1",#N/A,FALSE,"COS";"PAGE 2",#N/A,FALSE,"COS";"PAGE 3",#N/A,FALSE,"COS"}</definedName>
    <definedName name="ds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dsa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safa" hidden="1">{"comp1",#N/A,FALSE,"COMPS";"footnotes",#N/A,FALSE,"COMPS"}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sf" hidden="1">#REF!</definedName>
    <definedName name="dsafergre" hidden="1">{#N/A,#N/A,TRUE,"Historicals";#N/A,#N/A,TRUE,"Charts";#N/A,#N/A,TRUE,"Forecasts"}</definedName>
    <definedName name="dsafertge" hidden="1">{#N/A,#N/A,TRUE,"Historicals";#N/A,#N/A,TRUE,"Charts";#N/A,#N/A,TRUE,"Forecasts"}</definedName>
    <definedName name="dsafg" hidden="1">{"reg_edition client",#N/A,FALSE,"Regressions"}</definedName>
    <definedName name="dsafge" hidden="1">{#N/A,#N/A,TRUE,"Historicals";#N/A,#N/A,TRUE,"Charts";#N/A,#N/A,TRUE,"Forecasts"}</definedName>
    <definedName name="dsafsdaf" hidden="1">{#N/A,#N/A,FALSE,"Index";#N/A,#N/A,FALSE,"1.1";#N/A,#N/A,FALSE,"Scenario Summary"}</definedName>
    <definedName name="dsafwer" hidden="1">{#N/A,#N/A,TRUE,"Historicals";#N/A,#N/A,TRUE,"Charts";#N/A,#N/A,TRUE,"Forecasts"}</definedName>
    <definedName name="dscasca" hidden="1">{"dcf_summary_value",#N/A,FALSE,"depr and amort";"dcf_discountedCF",#N/A,FALSE,"depr and amort";"dcf_terminalCF",#N/A,FALSE,"depr and amort";"dcf_terminal_value",#N/A,FALSE,"depr and amort";"dcf_implied_multiples",#N/A,FALSE,"depr and amort";"dcf_is_annual",#N/A,FALSE,"depr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_ol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afgsa" hidden="1">{"Performance Details",#N/A,FALSE,"Current Yr";"Performance Details",#N/A,FALSE,"Budget";"Performance Details",#N/A,FALSE,"Prior Year"}</definedName>
    <definedName name="dsd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e" hidden="1">{"FY97Tot nvs",#N/A,FALSE,"FY97 - Total";"FY98Tot nvs",#N/A,FALSE,"FY98 - Total"}</definedName>
    <definedName name="DSF" hidden="1">{#N/A,#N/A,FALSE,"Renewals In Process";#N/A,#N/A,FALSE,"New Clients In Process";#N/A,#N/A,FALSE,"Completed New Clients";#N/A,#N/A,FALSE,"Completed Renewals"}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f" hidden="1">{"histincome",#N/A,FALSE,"hyfins";"closing balance",#N/A,FALSE,"hyfins"}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ergersa" hidden="1">{#N/A,#N/A,TRUE,"Historicals";#N/A,#N/A,TRUE,"Charts";#N/A,#N/A,TRUE,"Forecasts"}</definedName>
    <definedName name="dsferghrt" hidden="1">{#N/A,#N/A,TRUE,"Historicals";#N/A,#N/A,TRUE,"Charts";#N/A,#N/A,TRUE,"Forecasts"}</definedName>
    <definedName name="dsff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sfgdsgfsdfg" hidden="1">{"'Plan_vs_Actual'!$B$3:$U$27"}</definedName>
    <definedName name="dsfgf" hidden="1">{"'Plan_vs_Actual'!$B$3:$U$27"}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fsffss" hidden="1">{#N/A,#N/A,FALSE,"Pharm";#N/A,#N/A,FALSE,"WWCM"}</definedName>
    <definedName name="dsg" hidden="1">{#N/A,#N/A,FALSE,"Calc";#N/A,#N/A,FALSE,"Sensitivity";#N/A,#N/A,FALSE,"LT Earn.Dil.";#N/A,#N/A,FALSE,"Dil. AVP"}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f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L" hidden="1">{#N/A,#N/A,FALSE,"단축1";#N/A,#N/A,FALSE,"단축2";#N/A,#N/A,FALSE,"단축3";#N/A,#N/A,FALSE,"장축";#N/A,#N/A,FALSE,"4WD"}</definedName>
    <definedName name="DsLink_DistDueBack" hidden="1">""</definedName>
    <definedName name="DsLink_DistEmailFrom" hidden="1">"richard_tse@dell.ca"</definedName>
    <definedName name="DsLink_DistEmailMessage" hidden="1">"You have received a Distributed Spreadsheet.  Please open Excel and select the menu option, Distributed Spreadsheet, Receive and Open Spreadsheet."</definedName>
    <definedName name="DsLink_DistEmailReturnTo" hidden="1">"richard_tse@dell.ca"</definedName>
    <definedName name="DsLink_DistEmailSubject" hidden="1">"Distributed Spreadsheet Received"</definedName>
    <definedName name="DsLink_DistInstruction" hidden="1">"You have received a Distributed Spreadsheet that needs to be completed and returned."</definedName>
    <definedName name="DSO" hidden="1">{#N/A,#N/A,FALSE,"ACQ_GRAPHS";#N/A,#N/A,FALSE,"T_1 GRAPHS";#N/A,#N/A,FALSE,"T_2 GRAPHS";#N/A,#N/A,FALSE,"COMB_GRAPHS"}</definedName>
    <definedName name="dsrfgds" hidden="1">{#N/A,#N/A,TRUE,"Historicals";#N/A,#N/A,TRUE,"Charts";#N/A,#N/A,TRUE,"Forecasts"}</definedName>
    <definedName name="dss" hidden="1">{#N/A,#N/A,FALSE,"ACQ_GRAPHS";#N/A,#N/A,FALSE,"T_1 GRAPHS";#N/A,#N/A,FALSE,"T_2 GRAPHS";#N/A,#N/A,FALSE,"COMB_GRAPHS"}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hdftd" hidden="1">{#N/A,#N/A,TRUE,"Historicals";#N/A,#N/A,TRUE,"Charts";#N/A,#N/A,TRUE,"Forecasts"}</definedName>
    <definedName name="dthdfthfd" hidden="1">{#N/A,#N/A,TRUE,"Historicals";#N/A,#N/A,TRUE,"Charts";#N/A,#N/A,TRUE,"Forecasts"}</definedName>
    <definedName name="dthdtyhfgg" hidden="1">{#N/A,#N/A,TRUE,"Historicals";#N/A,#N/A,TRUE,"Charts";#N/A,#N/A,TRUE,"Forecasts"}</definedName>
    <definedName name="dtu" hidden="1">{#N/A,#N/A,TRUE,"financial";#N/A,#N/A,TRUE,"plants"}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ummy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ummy2" hidden="1">{"REVISED",#N/A,FALSE,"Sheet1"}</definedName>
    <definedName name="dummy3" hidden="1">{"REVISED",#N/A,FALSE,"Sheet1"}</definedName>
    <definedName name="Dummyw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uplicate123A" hidden="1">#REF!</definedName>
    <definedName name="DVSVSDVsdvsD" hidden="1">{"'Planning Data'!$A$2:$X$120"}</definedName>
    <definedName name="dw" hidden="1">#N/A</definedName>
    <definedName name="dwe" hidden="1">#N/A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{#N/A,#N/A,FALSE,"Layout GuV"}</definedName>
    <definedName name="e0" hidden="1">{"'Demand Units'!$Z$2:$AF$53"}</definedName>
    <definedName name="E01_Sender" hidden="1">"0669/PREMIER7/0685/P_NOSTAL/"</definedName>
    <definedName name="E05_OrderCustom" hidden="1">6</definedName>
    <definedName name="E50ﾄﾞﾗﾍﾙ西端" hidden="1">1</definedName>
    <definedName name="eaf" hidden="1">#REF!</definedName>
    <definedName name="earn1" hidden="1">#REF!</definedName>
    <definedName name="eartert" hidden="1">{#N/A,#N/A,FALSE,"Layout GuV"}</definedName>
    <definedName name="eata43qrfed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AWR" hidden="1">{#N/A,#N/A,FALSE,"단축1";#N/A,#N/A,FALSE,"단축2";#N/A,#N/A,FALSE,"단축3";#N/A,#N/A,FALSE,"장축";#N/A,#N/A,FALSE,"4WD"}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Dec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ed5dyx" hidden="1">{#N/A,#N/A,FALSE,"CBE";#N/A,#N/A,FALSE,"SWK"}</definedName>
    <definedName name="EDFedf" hidden="1">{#N/A,#N/A,FALSE,"Staffnos &amp; cost"}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hidden="1">{"FY97Q1 nvs",#N/A,FALSE,"FY97 - Q1";"FY97Q2 nvs",#N/A,FALSE,"FY97 - Q2";"FY97Q3 nvs",#N/A,FALSE,"FY97 - Q3";"FY97Q4 nvs",#N/A,FALSE,"FY97 - Q4"}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e" hidden="1">{#N/A,#N/A,FALSE,"Calc";#N/A,#N/A,FALSE,"Sensitivity";#N/A,#N/A,FALSE,"LT Earn.Dil.";#N/A,#N/A,FALSE,"Dil. AVP"}</definedName>
    <definedName name="eeeee" hidden="1">{#N/A,#N/A,FALSE,"Pharm";#N/A,#N/A,FALSE,"WWCM"}</definedName>
    <definedName name="eeeeeee" hidden="1">#N/A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EEE" hidden="1">{"Summary",#N/A,FALSE,"Summary";"A&amp;A's",#N/A,FALSE,"Aids &amp; A's";"MajorWorks",#N/A,FALSE,"Major Works";"EstateImps",#N/A,FALSE,"Estate Imps";"CatC",#N/A,FALSE,"Cat C Voids";"CycProg",#N/A,FALSE,"Cyclical Prog inc MR"}</definedName>
    <definedName name="eeeeeeeeeeeeeeeeeeeeeeeeee" hidden="1">{"London cttee condensed",#N/A,FALSE,"Dev Panel Cut Report";"South East cttee condensed",#N/A,FALSE,"Dev Panel Cut Report"}</definedName>
    <definedName name="eek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erer" hidden="1">{"mgmt forecast",#N/A,FALSE,"Mgmt Forecast";"dcf table",#N/A,FALSE,"Mgmt Forecast";"sensitivity",#N/A,FALSE,"Mgmt Forecast";"table inputs",#N/A,FALSE,"Mgmt Forecast";"calculations",#N/A,FALSE,"Mgmt Forecast"}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YREYREYERY" hidden="1">{"up stand alones",#N/A,FALSE,"Acquiror"}</definedName>
    <definedName name="eeutzuitzu" hidden="1">{#N/A,#N/A,FALSE,"Layout Cash Flow"}</definedName>
    <definedName name="EF" hidden="1">{#N/A,#N/A,TRUE,"Cover sheet";#N/A,#N/A,TRUE,"DCF analysis";#N/A,#N/A,TRUE,"WACC calculation"}</definedName>
    <definedName name="efaf" hidden="1">{"'SIVA Pricing Model'!$A$1:$F$39"}</definedName>
    <definedName name="efaf2" hidden="1">{"'SIVA Pricing Model'!$A$1:$F$39"}</definedName>
    <definedName name="efbar" hidden="1">{#N/A,#N/A,FALSE,"Performance Flash Report"}</definedName>
    <definedName name="EFFECT_SPECIAL_CHARGE" hidden="1">"EFFECT_SPECIAL_CHARGE"</definedName>
    <definedName name="effodd" hidden="1">{"'Standalone List Price Trends'!$A$1:$X$56"}</definedName>
    <definedName name="EFFOG" hidden="1">{#N/A,#N/A,FALSE,"단축1";#N/A,#N/A,FALSE,"단축2";#N/A,#N/A,FALSE,"단축3";#N/A,#N/A,FALSE,"장축";#N/A,#N/A,FALSE,"4WD"}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q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fr" hidden="1">{#N/A,#N/A,FALSE,"Layout Aktiva";#N/A,#N/A,FALSE,"Layout Passiva"}</definedName>
    <definedName name="EF제동" hidden="1">{#N/A,#N/A,FALSE,"단축1";#N/A,#N/A,FALSE,"단축2";#N/A,#N/A,FALSE,"단축3";#N/A,#N/A,FALSE,"장축";#N/A,#N/A,FALSE,"4WD"}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HÜ0101200001000" hidden="1">#REF!</definedName>
    <definedName name="eHÜ0101200002000" hidden="1">#REF!</definedName>
    <definedName name="eHÜ0102200001000" hidden="1">#REF!</definedName>
    <definedName name="eHÜ0102200002000" hidden="1">#REF!</definedName>
    <definedName name="eHÜ0102200003000" hidden="1">#REF!</definedName>
    <definedName name="eHÜ0103200002000" hidden="1">#REF!</definedName>
    <definedName name="eHÜ0103200003000" hidden="1">#REF!</definedName>
    <definedName name="eHÜ0103200004000" hidden="1">#REF!</definedName>
    <definedName name="eHÜ0104200001000" hidden="1">#REF!</definedName>
    <definedName name="eHÜ0105200001000" hidden="1">#REF!</definedName>
    <definedName name="eHÜ0106200001000" hidden="1">#REF!</definedName>
    <definedName name="eHÜ0106200002000" hidden="1">#REF!</definedName>
    <definedName name="eHÜ0107100007000" hidden="1">#REF!</definedName>
    <definedName name="eHÜ0107200002000" hidden="1">#REF!</definedName>
    <definedName name="eHÜ0107200003000" hidden="1">#REF!</definedName>
    <definedName name="eHÜ0107200004000" hidden="1">#REF!</definedName>
    <definedName name="eHÜ0107200005000" hidden="1">#REF!</definedName>
    <definedName name="eHÜ0107200006000" hidden="1">#REF!</definedName>
    <definedName name="eHÜ0107200008000" hidden="1">#REF!</definedName>
    <definedName name="eHÜ0107200009000" hidden="1">#REF!</definedName>
    <definedName name="eHÜ0107200010000" hidden="1">#REF!</definedName>
    <definedName name="eHÜ0112200001000" hidden="1">#REF!</definedName>
    <definedName name="eHÜ0112200002000" hidden="1">#REF!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kapital" hidden="1">{#N/A,#N/A,FALSE,"Aging Summary";#N/A,#N/A,FALSE,"Ratio Analysis";#N/A,#N/A,FALSE,"Test 120 Day Accts";#N/A,#N/A,FALSE,"Tickmarks"}</definedName>
    <definedName name="Eigenkapitalplanung" hidden="1">{#N/A,#N/A,FALSE,"Aging Summary";#N/A,#N/A,FALSE,"Ratio Analysis";#N/A,#N/A,FALSE,"Test 120 Day Accts";#N/A,#N/A,FALSE,"Tickmarks"}</definedName>
    <definedName name="Eigenverbrauch" hidden="1">#REF!</definedName>
    <definedName name="Eigenverbrauch_" hidden="1">#REF!</definedName>
    <definedName name="EigenverbrauchN" hidden="1">#REF!</definedName>
    <definedName name="EIJI" hidden="1">{"ALLOCATION1",#N/A,FALSE,"EXPENSE ALLOCATIONS";"ALLOCATION2",#N/A,FALSE,"EXPENSE ALLOCATIONS";"ALLOCATION3",#N/A,FALSE,"EXPENSE ALLOCATIONS";"ALLOCATION4",#N/A,FALSE,"EXPENSE ALLOCATIONS"}</definedName>
    <definedName name="Eiji1" hidden="1">{"ALLOCATION1",#N/A,FALSE,"EXPENSE ALLOCATIONS";"ALLOCATION2",#N/A,FALSE,"EXPENSE ALLOCATIONS";"ALLOCATION3",#N/A,FALSE,"EXPENSE ALLOCATIONS";"ALLOCATION4",#N/A,FALSE,"EXPENSE ALLOCATIONS"}</definedName>
    <definedName name="EIJIA" hidden="1">{"ALLOCATION1",#N/A,FALSE,"EXPENSE ALLOCATIONS";"ALLOCATION2",#N/A,FALSE,"EXPENSE ALLOCATIONS";"ALLOCATION3",#N/A,FALSE,"EXPENSE ALLOCATIONS";"ALLOCATION4",#N/A,FALSE,"EXPENSE ALLOCATIONS"}</definedName>
    <definedName name="EIJIB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EIJIC" hidden="1">{"TOTALDPAK",#N/A,FALSE,"DPAK PRODUCTION";"HADPAK",#N/A,FALSE,"DPAK PRODUCTION";"PSIDPAK",#N/A,FALSE,"DPAK PRODUCTION"}</definedName>
    <definedName name="EIJID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eings" hidden="1">{#N/A,"PURCHM",FALSE,"Business Analysis";#N/A,"SPADD",FALSE,"Business Analysis"}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zAnleihen_Kred" hidden="1">#REF!</definedName>
    <definedName name="EinzAnleihen_Kred_" hidden="1">#REF!</definedName>
    <definedName name="EinzAnleihen_KredN" hidden="1">#REF!</definedName>
    <definedName name="EinzEigenkapital" hidden="1">#REF!</definedName>
    <definedName name="EinzEigenkapital_" hidden="1">#REF!</definedName>
    <definedName name="EinzEigenkapitalN" hidden="1">#REF!</definedName>
    <definedName name="EinzEKZufuehrung" hidden="1">#REF!</definedName>
    <definedName name="EinzEKZufuehrung_" hidden="1">#REF!</definedName>
    <definedName name="EinzEKZufuehrungN" hidden="1">#REF!</definedName>
    <definedName name="EinzFAVVerkauf" hidden="1">#REF!</definedName>
    <definedName name="EinzFAVVerkauf_" hidden="1">#REF!</definedName>
    <definedName name="EinzFAVVerkaufN" hidden="1">#REF!</definedName>
    <definedName name="EinzImmatVerm" hidden="1">#REF!</definedName>
    <definedName name="EinzImmatVerm_" hidden="1">#REF!</definedName>
    <definedName name="EinzImmatVermN" hidden="1">#REF!</definedName>
    <definedName name="EinzKfrFinDisp" hidden="1">#REF!</definedName>
    <definedName name="EinzKfrFinDisp_" hidden="1">#REF!</definedName>
    <definedName name="EinzKfrFinDispN" hidden="1">#REF!</definedName>
    <definedName name="EinzKunden" hidden="1">#REF!</definedName>
    <definedName name="EinzKunden_" hidden="1">#REF!</definedName>
    <definedName name="EinzKundenN" hidden="1">#REF!</definedName>
    <definedName name="EinzSAVVerkauf" hidden="1">#REF!</definedName>
    <definedName name="EinzSAVVerkauf_" hidden="1">#REF!</definedName>
    <definedName name="EinzSAVVerkaufN" hidden="1">#REF!</definedName>
    <definedName name="EJ" hidden="1">TEXT(EJE,"TT.MM.JJJJ")</definedName>
    <definedName name="EJE" hidden="1">40087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" hidden="1">TEXT(EJE,"T.M.JJJJ")</definedName>
    <definedName name="ejkfgkjze" hidden="1">{#N/A,#N/A,FALSE,"Pharm";#N/A,#N/A,FALSE,"WWCM"}</definedName>
    <definedName name="EK" hidden="1">{#N/A,#N/A,FALSE,"Aging Summary";#N/A,#N/A,FALSE,"Ratio Analysis";#N/A,#N/A,FALSE,"Test 120 Day Accts";#N/A,#N/A,FALSE,"Tickmarks"}</definedName>
    <definedName name="Eken" hidden="1">{#N/A,#N/A,FALSE,"INPUTS";#N/A,#N/A,FALSE,"PROFORMA BSHEET";#N/A,#N/A,FALSE,"COMBINED";#N/A,#N/A,FALSE,"HIGH YIELD";#N/A,#N/A,FALSE,"COMB_GRAPHS"}</definedName>
    <definedName name="Eken.cs" hidden="1">{#N/A,#N/A,FALSE,"INPUTS";#N/A,#N/A,FALSE,"PROFORMA BSHEET";#N/A,#N/A,FALSE,"COMBINED";#N/A,#N/A,FALSE,"ACQUIROR";#N/A,#N/A,FALSE,"TARGET 1";#N/A,#N/A,FALSE,"TARGET 2";#N/A,#N/A,FALSE,"HIGH YIELD";#N/A,#N/A,FALSE,"OVERFUND"}</definedName>
    <definedName name="EKV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ekvre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emil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MPLOYEES" hidden="1">"EMPLOYEES"</definedName>
    <definedName name="EMS" hidden="1">{"'Data'!$A$1:$D$17"}</definedName>
    <definedName name="ENG_BI_EXE_NAME" hidden="1">"BICORE.EXE"</definedName>
    <definedName name="ENG_BI_EXEC_CMD_ARGS" hidden="1">"03304607807808310008509207808203605007003304907412708906908707207908410406808007306906512505112706312512707306708509308007306605313413009611212310611910211610507306609207808209007408306207006908008207908709108905109208308709708805509105413413209511611"</definedName>
    <definedName name="ENG_BI_EXEC_CMD_ARGS_2" hidden="1">"91061191011161050730660760720850650850800720661200551230541341320951161191061191011161050730660940900700820700831021171111181211051191120851191061151261270951161191051271041171010770670810700830870920790910770610870720830660810580530550510680560490480"</definedName>
    <definedName name="ENG_BI_EXEC_CMD_ARGS_3" hidden="1">"68050050055059060058059058065056063056055060053054053064055066066057050068051051053059058054059058062052063055049054063050052058059059055050059058053053064050058054059059063054063054051054063049058062059064055060050058053060057057063055049059134123099"</definedName>
    <definedName name="ENG_BI_EXEC_CMD_ARGS_4" hidden="1">"117118099112105103081065087078068079077070062106110129128079091077069086074069081069082069082083070056126"</definedName>
    <definedName name="ENG_BI_GEN_LIC" hidden="1">"1"</definedName>
    <definedName name="ENG_BI_GEN_LIC_WS" hidden="1">"True"</definedName>
    <definedName name="ENG_BI_LBI" hidden="1">"B70E71BI55"</definedName>
    <definedName name="ENG_BI_TLA" hidden="1">"168;115;40;151;9;31;124;198;22;131;31;134;248;39;32;154;128;244;35;261;244;57;70;103;103;150;232;183;259;32;212;256"</definedName>
    <definedName name="ENG_BI_TLA2" hidden="1">"152;120;133;91;249;21;39;191;31;68;207;73;225;167;47;216;175;109;105;194;178;125;73;16;103;190;84;195;53;158;61;126"</definedName>
    <definedName name="ENTERPRISE_VALUE" hidden="1">"ENTERPRISE_VALUE"</definedName>
    <definedName name="entntfnyh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o" hidden="1">{"'B1'!$B$3:$E$3"}</definedName>
    <definedName name="eoflsru" hidden="1">{"QTD",#N/A,FALSE,"SUM"}</definedName>
    <definedName name="EOGH" hidden="1">{#N/A,#N/A,FALSE,"단축1";#N/A,#N/A,FALSE,"단축2";#N/A,#N/A,FALSE,"단축3";#N/A,#N/A,FALSE,"장축";#N/A,#N/A,FALSE,"4WD"}</definedName>
    <definedName name="eoil" hidden="1">{"detail",#N/A,FALSE,"mfg";"summary",#N/A,FALSE,"mfg"}</definedName>
    <definedName name="EO계획" hidden="1">#N/A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S" hidden="1">"EPS"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ltm" hidden="1">#REF!</definedName>
    <definedName name="eqrwwe" hidden="1">{#N/A,#N/A,TRUE,"Historicals";#N/A,#N/A,TRUE,"Charts";#N/A,#N/A,TRUE,"Forecasts"}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{#N/A,#N/A,FALSE,"Staffnos &amp; cost"}</definedName>
    <definedName name="er\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eraefewef" hidden="1">{#N/A,#N/A,FALSE,"summary"}</definedName>
    <definedName name="erase2" hidden="1">{#N/A,#N/A,FALSE,"Summary";#N/A,#N/A,FALSE,"CF";#N/A,#N/A,FALSE,"P&amp;L";#N/A,#N/A,FALSE,"BS";#N/A,#N/A,FALSE,"Returns";#N/A,#N/A,FALSE,"Assumptions";#N/A,#N/A,FALSE,"Analysis"}</definedName>
    <definedName name="erase3" hidden="1">{#N/A,#N/A,FALSE,"Summary";#N/A,#N/A,FALSE,"CF";#N/A,#N/A,FALSE,"P&amp;L";"summary",#N/A,FALSE,"Returns";#N/A,#N/A,FALSE,"BS";"summary",#N/A,FALSE,"Analysis";#N/A,#N/A,FALSE,"Assumptions"}</definedName>
    <definedName name="erd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" hidden="1">#REF!</definedName>
    <definedName name="ererer3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e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VorSteuern" hidden="1">#REF!</definedName>
    <definedName name="ErgebnisVorSteuern_" hidden="1">#REF!</definedName>
    <definedName name="ErgebnisVorSteuernK" hidden="1">#REF!</definedName>
    <definedName name="ErgebnisVorSteuernM" hidden="1">#REF!</definedName>
    <definedName name="ErgebnisVorSteuernN" hidden="1">#REF!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haltDividenden" hidden="1">#REF!</definedName>
    <definedName name="ErhaltDividenden_" hidden="1">#REF!</definedName>
    <definedName name="ErhaltDividendenN" hidden="1">#REF!</definedName>
    <definedName name="ErhaltZinsen" hidden="1">#REF!</definedName>
    <definedName name="ErhaltZinsen_" hidden="1">#REF!</definedName>
    <definedName name="ErhaltZinsenN" hidden="1">#REF!</definedName>
    <definedName name="ErhaltZuschuesse" hidden="1">#REF!</definedName>
    <definedName name="ErhaltZuschuesse_" hidden="1">#REF!</definedName>
    <definedName name="ErhaltZuschuesseN" hidden="1">#REF!</definedName>
    <definedName name="erhfgbdgh" hidden="1">{#N/A,#N/A,TRUE,"Historicals";#N/A,#N/A,TRUE,"Charts";#N/A,#N/A,TRUE,"Forecasts"}</definedName>
    <definedName name="eric" hidden="1">{#N/A,#N/A,FALSE,"Profit Status";#N/A,#N/A,FALSE,"Invest";#N/A,#N/A,FALSE,"Revenue";#N/A,#N/A,FALSE,"Variable Cost";#N/A,#N/A,FALSE,"Options &amp; Series"}</definedName>
    <definedName name="ermgkrtnbnvmd" hidden="1">Word</definedName>
    <definedName name="err.g." hidden="1">{#N/A,#N/A,FALSE,"KA CH  (2)"}</definedName>
    <definedName name="ERRA" hidden="1">{"Allocation Matrix p1",#N/A,FALSE,"Allocation Matrix";"Allocation Matrix p2",#N/A,FALSE,"Allocation Matrix";"Allocation Matrix p3",#N/A,FALSE,"Allocation Matrix"}</definedName>
    <definedName name="erre" hidden="1">{"weichwaren",#N/A,FALSE,"Liste 1";"hartwaren",#N/A,FALSE,"Liste 1";"food",#N/A,FALSE,"Liste 1";"fleisch",#N/A,FALSE,"Liste 1"}</definedName>
    <definedName name="errr.g" hidden="1">{#N/A,#N/A,FALSE,"KA CH  (2)"}</definedName>
    <definedName name="erryeyetyuu" hidden="1">{#N/A,#N/A,FALSE,"Pharm";#N/A,#N/A,FALSE,"WWCM"}</definedName>
    <definedName name="ert" hidden="1">{#N/A,#N/A,FALSE,"1. PTI Ziele";#N/A,#N/A,FALSE,"2. Zielkatalog ";#N/A,#N/A,FALSE,"3. Masterterminplan"}</definedName>
    <definedName name="ertaertaer" hidden="1">{#N/A,#N/A,FALSE,"Layout Aktiva";#N/A,#N/A,FALSE,"Layout Passiva"}</definedName>
    <definedName name="ertaz" hidden="1">{#N/A,#N/A,FALSE,"Operations";#N/A,#N/A,FALSE,"Financials"}</definedName>
    <definedName name="erterg" hidden="1">{#N/A,#N/A,FALSE,"Layout Cash Flow"}</definedName>
    <definedName name="ertr" hidden="1">{#N/A,#N/A,FALSE,"Umsatz 99";#N/A,#N/A,FALSE,"ER 99 "}</definedName>
    <definedName name="Ertragsteuerzlg" hidden="1">#REF!</definedName>
    <definedName name="Ertragsteuerzlg_" hidden="1">#REF!</definedName>
    <definedName name="ErtragsteuerzlgN" hidden="1">#REF!</definedName>
    <definedName name="Ertragswert_Sz6" hidden="1">{#N/A,#N/A,FALSE,"Mittelherkunft";#N/A,#N/A,FALSE,"Mittelverwendung"}</definedName>
    <definedName name="ervnj" hidden="1">{"YTDACT",#N/A,FALSE,"YTD Cum";"YTDBUD",#N/A,FALSE,"YTD Cum";"YTDPRIOR",#N/A,FALSE,"YTD Cum"}</definedName>
    <definedName name="erw" hidden="1">{#N/A,#N/A,FALSE,"Fluktuation TSI"}</definedName>
    <definedName name="erwefasgrghehwet" hidden="1">{"'Sheet1'!$L$16"}</definedName>
    <definedName name="erwerer" hidden="1">{#N/A,#N/A,FALSE,"mfg - consol";#N/A,#N/A,FALSE,"mfg - flo";#N/A,#N/A,FALSE,"mfg - lindsay"}</definedName>
    <definedName name="eryert" hidden="1">{"MATERIAL",#N/A,FALSE,"material"}</definedName>
    <definedName name="esdqcfq1de3w" hidden="1">#REF!</definedName>
    <definedName name="esdrt" hidden="1">#REF!</definedName>
    <definedName name="esnrc100c1_values" hidden="1">{"FTSE100","COMPANIES",TRUE}</definedName>
    <definedName name="esnrc15c1_values" hidden="1">{"EUWAT","COMPANIES",TRUE}</definedName>
    <definedName name="esnrc198c1_values" hidden="1">{"EUENG","COMPANIES",TRUE}</definedName>
    <definedName name="esnrc1c1_values" hidden="1">{"HUBAN","COMPANIES",TRUE}</definedName>
    <definedName name="esnrc33c1_values" hidden="1">{"EUMOT","COMPANIES",TRUE}</definedName>
    <definedName name="esnrc46c1_values" hidden="1">{"PL","COMPANIES",TRUE}</definedName>
    <definedName name="esnrc4c1_values" hidden="1">{"GRBAN","COMPANIES",TRUE}</definedName>
    <definedName name="esnrc56c1_values" hidden="1">{"ASCONGRP","COMPANIES",TRUE}</definedName>
    <definedName name="esnrc63c1_values" hidden="1">{"EUUTIGRP","COMPANIES",TRUE}</definedName>
    <definedName name="esnrc91c1_values" hidden="1">{"EUUTI","COMPANIES",TRUE}</definedName>
    <definedName name="ESOP_DEBT" hidden="1">"ESOP_DEBT"</definedName>
    <definedName name="ESPeXToEUR" hidden="1">1/EUReXToESP</definedName>
    <definedName name="esr" hidden="1">{"qchm_dcf",#N/A,FALSE,"QCHMDCF2";"qchm_terminal",#N/A,FALSE,"QCHMDCF2"}</definedName>
    <definedName name="es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SAI" hidden="1">{#N/A,#N/A,FALSE,"Pharm";#N/A,#N/A,FALSE,"WWCM"}</definedName>
    <definedName name="essai2" hidden="1">{"'LU_GMP'!$A$10:$U$254"}</definedName>
    <definedName name="essais" hidden="1">{#N/A,#N/A,FALSE,"F_Plan";#N/A,#N/A,FALSE,"Parameter"}</definedName>
    <definedName name="essais2" hidden="1">{#N/A,#N/A,FALSE,"F_Plan";#N/A,#N/A,FALSE,"Parameter"}</definedName>
    <definedName name="essb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t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est_mvic" hidden="1">#REF!</definedName>
    <definedName name="Estimate" hidden="1">{#N/A,#N/A,FALSE,"P&amp;L";#N/A,#N/A,FALSE,"Capital";#N/A,#N/A,FALSE,"Summary";#N/A,#N/A,FALSE,"VAR Rec";#N/A,#N/A,FALSE,"EBIT Rec"}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c" hidden="1">#REF!</definedName>
    <definedName name="etet" hidden="1">{#N/A,#N/A,FALSE,"Calc";#N/A,#N/A,FALSE,"Sensitivity";#N/A,#N/A,FALSE,"LT Earn.Dil.";#N/A,#N/A,FALSE,"Dil. AVP"}</definedName>
    <definedName name="ETM.BID" hidden="1">"7be5220cf82549649558d90af623bfb5"</definedName>
    <definedName name="ETRYU" hidden="1">{#N/A,#N/A,FALSE,"단축1";#N/A,#N/A,FALSE,"단축2";#N/A,#N/A,FALSE,"단축3";#N/A,#N/A,FALSE,"장축";#N/A,#N/A,FALSE,"4WD"}</definedName>
    <definedName name="etwasneues" hidden="1">#N/A</definedName>
    <definedName name="ety" hidden="1">{"Acq_matrix",#N/A,FALSE,"Acquisition Matrix"}</definedName>
    <definedName name="etyufg" hidden="1">{"mult96",#N/A,FALSE,"PETCOMP";"est96",#N/A,FALSE,"PETCOMP";"mult95",#N/A,FALSE,"PETCOMP";"est95",#N/A,FALSE,"PETCOMP";"multltm",#N/A,FALSE,"PETCOMP";"resultltm",#N/A,FALSE,"PETCOMP"}</definedName>
    <definedName name="ETYUI" hidden="1">{#N/A,#N/A,FALSE,"단축1";#N/A,#N/A,FALSE,"단축2";#N/A,#N/A,FALSE,"단축3";#N/A,#N/A,FALSE,"장축";#N/A,#N/A,FALSE,"4WD"}</definedName>
    <definedName name="etzutzutz" hidden="1">{#N/A,#N/A,FALSE,"Layout Aktiva";#N/A,#N/A,FALSE,"Layout Passiva"}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eXToDEM" hidden="1">#REF!</definedName>
    <definedName name="eutzuitzui" hidden="1">{#N/A,#N/A,FALSE,"Finanzbedarfsrechnung"}</definedName>
    <definedName name="euutzu" hidden="1">{#N/A,#N/A,FALSE,"Finanzbedarfsrechnung"}</definedName>
    <definedName name="euvwu" hidden="1">{"'B1'!$B$3:$E$3"}</definedName>
    <definedName name="EV" hidden="1">TEXT(EVE,"TT.MM.JJJJ")</definedName>
    <definedName name="ev.Calculation" hidden="1">-4105</definedName>
    <definedName name="ev.Initialized" hidden="1">FALSE</definedName>
    <definedName name="EV__ALLOWSTOPEXPAND__" hidden="1">1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42096.450150463</definedName>
    <definedName name="EV__LASTREFTIME___1" hidden="1">38610.708900463</definedName>
    <definedName name="EV__LASTREFTIME___2" hidden="1">"(GMT-05:00)12/13/2012 8:16:56 AM"</definedName>
    <definedName name="EV__LOCKEDCVW__BUDGET" hidden="1">"SalesVolume,ACTUAL,SalesCustomers,TOTALVAL,AspenPumps,GBP,2012.JAN,Periodic,"</definedName>
    <definedName name="EV__LOCKEDCVW__CAPITAL" hidden="1">"DEPR.AMORT,ALL_ASSETCLASS,TOT_ASSETS,ACTUAL,TOTAL_ADJ,WICHORUS_DS_RD,PROD_HIER,USD,2012.DEC,PERIODIC,"</definedName>
    <definedName name="EV__LOCKEDCVW__CASHFLOW" hidden="1">"A_TOTCFA,AC_CASHAC,ACTUAL,LC,E_QSG,2007.Q2,PERIODIC,"</definedName>
    <definedName name="EV__LOCKEDCVW__CONSO" hidden="1">"A_None_NETINC,B_ALL,ACTUAL,C_ALL,USD,TotConso,E_QSG,G_ALL,2007.Q3,PERIODIC,"</definedName>
    <definedName name="EV__LOCKEDCVW__CORPOPS" hidden="1">"A_None_NETINC,B_ALL,BUDGET,C_ALL,USD,TotConso,E_100,G_ALL,2007.Q3,PERIODIC,"</definedName>
    <definedName name="EV__LOCKEDCVW__EXPENSES" hidden="1">"EXPENSES,FCST12,TOTAL_ADJ,TELLABS,EXP_DETAIL,PROD_HIER,USD,2011.DEC,PERIODIC,"</definedName>
    <definedName name="EV__LOCKEDCVW__FINANCE" hidden="1">"15110,Actual,TotalAdj,TOT_DEPT,TOT_COMPANY,TOT_LOB,2009.OCT,PERIODIC,"</definedName>
    <definedName name="EV__LOCKEDCVW__FINANCE_HP" hidden="1">"Balance_Sheet,ACTUAL,C_HPE,All_DS,2011.dec,YTD,"</definedName>
    <definedName name="EV__LOCKEDCVW__FPR" hidden="1">"A_STAT_INVENT,B_ALL,FORECAST,C_ALL,LC,Input,D_ALL,E_503,P_ALL,S_ALL,2006.Q4,PERIODIC,"</definedName>
    <definedName name="EV__LOCKEDCVW__INTERCOMATCHING" hidden="1">"ICAssets,Actual,Input,E_All,I_All,2004.TOTAL,USD,PERIODIC,"</definedName>
    <definedName name="EV__LOCKEDCVW__KPI" hidden="1">"ACTUAL,TOTALCC,TotalAdj,All_Minions,TOT_ANDROID,TOT_WGS_FRNGS,USD,TOT_SUB_LNCH,2006.TOTAL,PERIODIC,"</definedName>
    <definedName name="EV__LOCKEDCVW__MANAGEMENT" hidden="1">"PL_REV,FCST12,CHANNEL,ALL_CUSTOMER,TOTAL_ADJ,TELLABS,ALT1_HIER,USD,TOTAL_TELLABS,2010.DEC,PERIODIC,"</definedName>
    <definedName name="EV__LOCKEDCVW__OPERATIONS" hidden="1">"ACTUAL,SalesCustomers,TOTALVAL,TotalItems,SalesValue,GBP,TotalSuppliers,2012.TOTAL,Periodic,"</definedName>
    <definedName name="EV__LOCKEDCVW__PAYROLL" hidden="1">"11250,Actual,TotalAdj,TOT_DEPT,ALLEMPL,TOT_COMPANY_PF,Tot_Job,TOT_LOB,XCG,2008.Total,4215,PERIODIC,"</definedName>
    <definedName name="EV__LOCKEDCVW__PLANNING2005" hidden="1">"ACTUAL,ALLLE,TURBINE,GPPCT,ALLPRODUCTS,USOPS,1998.TOTAL,PERIODIC,"</definedName>
    <definedName name="EV__LOCKEDCVW__PROJ_EVEREST" hidden="1">"ACTUAL,TOTALADJ,TOT_DELIVER,TOT_ANDROID,2000.TOTAL,PERIODIC,"</definedName>
    <definedName name="EV__LOCKEDCVW__RATE" hidden="1">"ACTUAL,USD,Avg,Default,2004.TOTAL,PERIODIC,"</definedName>
    <definedName name="EV__LOCKEDCVW__RATE_INTERCO" hidden="1">"Actual,Avg,Default,2004.TOTAL,USD,PERIODIC,"</definedName>
    <definedName name="EV__LOCKEDCVW__REVENUE" hidden="1">"Balance_Sheet,Actual,TOT_CUSTOMERS,TotalAdj,TOT_COMPANY_PF,TOT_LOB,2005.TOTAL,PERIODIC,"</definedName>
    <definedName name="EV__LOCKEDCVW__SAFETY" hidden="1">"Accidents,Actual,TotalAdj,TOT_DEPT,TOT_COMPANY_PF,TOT_LOB,2005.TOTAL,PERIODIC,"</definedName>
    <definedName name="EV__LOCKEDCVW__TEST" hidden="1">"Tot_Broker_Rev,Actual,TotalAdj,TOT_COMPANY,TOT_LOB,2008.APR,TOT_DEPT,PERIODIC,"</definedName>
    <definedName name="EV__LOCKEDCVW__WORKFORCE" hidden="1">"PAYROLL_RELATED,PLAN,TOTAL_ADJ,EMPLOYEES,FINANCE,PROD_HIER_ELIM,USD,2012.TOTAL,PERIODIC,"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"silver"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E" hidden="1">39722</definedName>
    <definedName name="EVK" hidden="1">TEXT(EVE,"T.M.JJJJ")</definedName>
    <definedName name="EVLastRefTime" hidden="1">38638.6670023148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ae" hidden="1">{"FY98Q1",#N/A,FALSE,"FY98 - Q1";"FY98Q2",#N/A,FALSE,"FY98 - Q2";"FY98Q3",#N/A,FALSE,"FY98 - Q3";"FY98Q4",#N/A,FALSE,"FY98 - Q4"}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" hidden="1">{#N/A,#N/A,FALSE,"inc state";#N/A,#N/A,FALSE,"Products";#N/A,#N/A,FALSE,"bal sht"}</definedName>
    <definedName name="ewewe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wf" hidden="1">{"GuVGmbH",#N/A,FALSE,"ratios";"BilanzGmbH",#N/A,FALSE,"ratios";"BilanzKG",#N/A,FALSE,"ratios";"GuVKG",#N/A,FALSE,"ratios"}</definedName>
    <definedName name="ewq" hidden="1">{"oct_res_comm",#N/A,FALSE,"VarToBud"}</definedName>
    <definedName name="ew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wrtwet" hidden="1">#REF!</definedName>
    <definedName name="ewrwer" hidden="1">{#N/A,#N/A,FALSE,"ORIX CSC"}</definedName>
    <definedName name="ewv" hidden="1">{"Page1",#N/A,FALSE,"OpExJanvsBud";"Page2",#N/A,FALSE,"OpExJanvsBud"}</definedName>
    <definedName name="ewwe" hidden="1">{#N/A,#N/A,FALSE,"REPORT"}</definedName>
    <definedName name="EWY" hidden="1">{#N/A,#N/A,FALSE,"단축1";#N/A,#N/A,FALSE,"단축2";#N/A,#N/A,FALSE,"단축3";#N/A,#N/A,FALSE,"장축";#N/A,#N/A,FALSE,"4WD"}</definedName>
    <definedName name="ExactAddinConnection" hidden="1">"001"</definedName>
    <definedName name="ExactAddinConnection.001" hidden="1">"corp-es-db;001;mike.wolnik;1"</definedName>
    <definedName name="ExactAddinConnection.010" hidden="1">"corp-es-db;001;gary.bristow;1"</definedName>
    <definedName name="ExactAddinConnection.050" hidden="1">"corp-es-db;050;gary.bristow;1"</definedName>
    <definedName name="ExactAddinConnection.102" hidden="1">"SGDC04;102;amokhtar;1"</definedName>
    <definedName name="ExactAddinConnection.360" hidden="1">"amsfinw01;360;kbekkenk;1"</definedName>
    <definedName name="ExactAddinReports" hidden="1">1</definedName>
    <definedName name="ExactlyOneYear" hidden="1">#REF!</definedName>
    <definedName name="ExbMult_Total" hidden="1">#REF!</definedName>
    <definedName name="exbnumlist" hidden="1">#REF!</definedName>
    <definedName name="EXC_VER" hidden="1">"  V 2.86"</definedName>
    <definedName name="EXCEL_VER" hidden="1">"8.0e"</definedName>
    <definedName name="EXCHANGE" hidden="1">{"'subnets'!$A$1:$F$20"}</definedName>
    <definedName name="Exchange_Rates" hidden="1">#REF!</definedName>
    <definedName name="excl_FX" hidden="1">{"SCM_Detail",#N/A,FALSE,"SCM";"SCM_Top",#N/A,FALSE,"SCM"}</definedName>
    <definedName name="ExfactoryPrices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xp.2008" hidden="1">{"'WST RETAIL PRICE LIST Apr 9 (2)'!$B$1:$C$177"}</definedName>
    <definedName name="expanded" hidden="1">{"printceo5",#N/A,FALSE,"CEO";"prints15",#N/A,FALSE,"S1";"printdepr5",#N/A,FALSE,"DEPR"}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EXTRA_ITEMS" hidden="1">"EXTRA_ITEMS"</definedName>
    <definedName name="eydsr" hidden="1">{#N/A,"PURCHM",FALSE,"Business Analysis";#N/A,"SPADD",FALSE,"Business Analysis"}</definedName>
    <definedName name="eyr" hidden="1">{"hiden",#N/A,FALSE,"14";"hidden",#N/A,FALSE,"16";"hidden",#N/A,FALSE,"18";"hidden",#N/A,FALSE,"20"}</definedName>
    <definedName name="EYRU" hidden="1">{#N/A,#N/A,FALSE,"단축1";#N/A,#N/A,FALSE,"단축2";#N/A,#N/A,FALSE,"단축3";#N/A,#N/A,FALSE,"장축";#N/A,#N/A,FALSE,"4WD"}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v" hidden="1">{"AQUIRORDCF",#N/A,FALSE,"Merger consequences";"Acquirorassns",#N/A,FALSE,"Merger consequences"}</definedName>
    <definedName name="ez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zt" hidden="1">{#N/A,#N/A,FALSE,"Calc";#N/A,#N/A,FALSE,"Sensitivity";#N/A,#N/A,FALSE,"LT Earn.Dil.";#N/A,#N/A,FALSE,"Dil. AVP"}</definedName>
    <definedName name="f.ffff" hidden="1">{#N/A,#N/A,FALSE,"Umsatz 99";#N/A,#N/A,FALSE,"ER 99 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a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rrellWitchita" hidden="1">{"FCB_ALL",#N/A,FALSE,"FCB"}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sdff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sd" hidden="1">39166.5621180556</definedName>
    <definedName name="fasdfwegr" hidden="1">{#N/A,#N/A,TRUE,"Historicals";#N/A,#N/A,TRUE,"Charts";#N/A,#N/A,TRUE,"Forecasts"}</definedName>
    <definedName name="fast" hidden="1">{"FY97Q1",#N/A,FALSE,"FY97 - Q1";"FY97Q2",#N/A,FALSE,"FY97 - Q2";"FY97Q3",#N/A,FALSE,"FY97 - Q3";"FY97Q4",#N/A,FALSE,"FY97 - Q4"}</definedName>
    <definedName name="fbnhsfbgh" hidden="1">{#VALUE!,#N/A,FALSE,0;#N/A,#N/A,FALSE,0;#N/A,#N/A,FALSE,0;#N/A,#N/A,FALSE,0;#N/A,#N/A,FALSE,0;#N/A,#N/A,FALSE,0;#N/A,#N/A,FALSE,0;#N/A,#N/A,FALSE,0;#N/A,#N/A,FALSE,0}</definedName>
    <definedName name="FC1_Motorplan" hidden="1">{"Recon",#N/A,FALSE,"GL Recons";"Recon Detail",#N/A,FALSE,"GL Recons"}</definedName>
    <definedName name="fcb" hidden="1">{"FCB_ALL",#N/A,FALSE,"FCB"}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ode" hidden="1">#REF!</definedName>
    <definedName name="fcuk" hidden="1">{"by departments",#N/A,TRUE,"FORECAST";"cap_headcount",#N/A,TRUE,"FORECAST";"summary",#N/A,TRUE,"FORECAST"}</definedName>
    <definedName name="fd" hidden="1">"3O3X63G5BUK9F0LUEJV5CTJXV"</definedName>
    <definedName name="fdaf" hidden="1">{#N/A,#N/A,TRUE,"Historicals";#N/A,#N/A,TRUE,"Charts";#N/A,#N/A,TRUE,"Forecasts"}</definedName>
    <definedName name="fdafdsafdsa" hidden="1">{#N/A,#N/A,TRUE,"Historicals";#N/A,#N/A,TRUE,"Charts";#N/A,#N/A,TRUE,"Forecasts"}</definedName>
    <definedName name="fdare" hidden="1">{#N/A,#N/A,TRUE,"Historicals";#N/A,#N/A,TRUE,"Charts";#N/A,#N/A,TRUE,"Forecasts"}</definedName>
    <definedName name="fdas" hidden="1">{"IS",#N/A,FALSE,"IS";"RPTIS",#N/A,FALSE,"RPTIS";"STATS",#N/A,FALSE,"STATS";"CELL",#N/A,FALSE,"CELL";"BS",#N/A,FALSE,"BS"}</definedName>
    <definedName name="fdasa" hidden="1">{#N/A,#N/A,TRUE,"Historicals";#N/A,#N/A,TRUE,"Charts";#N/A,#N/A,TRUE,"Forecasts"}</definedName>
    <definedName name="fdasggfdg" hidden="1">{"résultats_édition client",#N/A,FALSE,"Résultats"}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dqwe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{"SCM_Detail",#N/A,FALSE,"SCM";"SCM_Top",#N/A,FALSE,"SCM"}</definedName>
    <definedName name="FDFD" hidden="1">{#N/A,#N/A,FALSE,"Pharm";#N/A,#N/A,FALSE,"WWCM"}</definedName>
    <definedName name="fdfdf" hidden="1">{#N/A,#N/A,FALSE,"Staffnos &amp; cost"}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" hidden="1">{"quarterly",#N/A,FALSE,"Income Statement";#N/A,#N/A,FALSE,"print segment";#N/A,#N/A,FALSE,"Balance Sheet";#N/A,#N/A,FALSE,"Annl Inc";#N/A,#N/A,FALSE,"Cash Flow"}</definedName>
    <definedName name="fdfgdgdfgfdg" hidden="1">{"comp",#N/A,FALSE,"SPEC";"footnotes",#N/A,FALSE,"SPEC"}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hfdh" hidden="1">{"First Page",#N/A,FALSE,"Surfactants LBO";"Second Page",#N/A,FALSE,"Surfactants LBO"}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hidden="1">{"First Page",#N/A,FALSE,"Surfactants LBO";"Second Page",#N/A,FALSE,"Surfactants LBO"}</definedName>
    <definedName name="fdhgfj" hidden="1">{"adj95mult",#N/A,FALSE,"COMPCO";"adj95est",#N/A,FALSE,"COMPCO"}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rthfg" hidden="1">{#N/A,#N/A,TRUE,"Historicals";#N/A,#N/A,TRUE,"Charts";#N/A,#N/A,TRUE,"Forecasts"}</definedName>
    <definedName name="FDJGDFHJ" hidden="1">{#N/A,#N/A,FALSE,"단축1";#N/A,#N/A,FALSE,"단축2";#N/A,#N/A,FALSE,"단축3";#N/A,#N/A,FALSE,"장축";#N/A,#N/A,FALSE,"4WD"}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Q" hidden="1">{"detail",#N/A,FALSE,"mfg";"summary",#N/A,FALSE,"mfg"}</definedName>
    <definedName name="fds" hidden="1">{"comps",#N/A,FALSE,"comps";"notes",#N/A,FALSE,"comps"}</definedName>
    <definedName name="fdsa" hidden="1">{#N/A,#N/A,TRUE,"Historicals";#N/A,#N/A,TRUE,"Charts";#N/A,#N/A,TRUE,"Forecasts"}</definedName>
    <definedName name="fdsafdf" hidden="1">{#N/A,#N/A,TRUE,"Historicals";#N/A,#N/A,TRUE,"Charts";#N/A,#N/A,TRUE,"Forecasts"}</definedName>
    <definedName name="fdsafrwefreg" hidden="1">{#N/A,#N/A,TRUE,"Historicals";#N/A,#N/A,TRUE,"Charts";#N/A,#N/A,TRUE,"Forecasts"}</definedName>
    <definedName name="fdsagfdg" hidden="1">{"toc1",#N/A,FALSE,"TOC";"cover",#N/A,FALSE,"Cover";"ts1",#N/A,FALSE,"Transaction Summary";"ei3",#N/A,FALSE,"Earnings Impact";"ad3",#N/A,FALSE,"accretion dilution"}</definedName>
    <definedName name="fdsagsfdg34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aregh" hidden="1">{#N/A,#N/A,TRUE,"Historicals";#N/A,#N/A,TRUE,"Charts";#N/A,#N/A,TRUE,"Forecasts"}</definedName>
    <definedName name="fdsf" hidden="1">{"general",#N/A,FALSE,"Assumptions"}</definedName>
    <definedName name="fdsf2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gafgrt" hidden="1">{#N/A,#N/A,TRUE,"Historicals";#N/A,#N/A,TRUE,"Charts";#N/A,#N/A,TRUE,"Forecasts"}</definedName>
    <definedName name="fdsgdfgsdfgh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gfsrt" hidden="1">{#N/A,#N/A,TRUE,"Historicals";#N/A,#N/A,TRUE,"Charts";#N/A,#N/A,TRUE,"Forecasts"}</definedName>
    <definedName name="FDSJFH" hidden="1">{"'Data'!$A$1:$D$17"}</definedName>
    <definedName name="fdskj" hidden="1">{#N/A,#N/A,FALSE,"Model";#N/A,#N/A,FALSE,"Division"}</definedName>
    <definedName name="fdsrfaer" hidden="1">{"K GuV o. Kommentar",#N/A,FALSE,"Kaufhof"}</definedName>
    <definedName name="fdv" hidden="1">{"quarterly",#N/A,FALSE,"Income Statement";#N/A,#N/A,FALSE,"print segment";#N/A,#N/A,FALSE,"Balance Sheet";#N/A,#N/A,FALSE,"Annl Inc";#N/A,#N/A,FALSE,"Cash Flow"}</definedName>
    <definedName name="Feb_D" hidden="1">"CT41H4F85C6471IMEFRRV32TF"</definedName>
    <definedName name="feb02tb" hidden="1">{"Statement of Income",#N/A,TRUE,"Mar99";"Balance Sheet",#N/A,TRUE,"Mar99"}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gheath" hidden="1">#REF!</definedName>
    <definedName name="feineer" hidden="1">{"fleisch",#N/A,FALSE,"WG HK";"food",#N/A,FALSE,"WG HK";"hartwaren",#N/A,FALSE,"WG HK";"weichwaren",#N/A,FALSE,"WG HK"}</definedName>
    <definedName name="Felli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fer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gerq" hidden="1">{"ONE",#N/A,FALSE,"96DDCOD";"TWO",#N/A,FALSE,"96DDCOD"}</definedName>
    <definedName name="fetr" hidden="1">{"BA detail",#N/A,FALSE,"Q3YTD "}</definedName>
    <definedName name="fewf" hidden="1">{#N/A,#N/A,TRUE,"Historicals";#N/A,#N/A,TRUE,"Charts";#N/A,#N/A,TRUE,"Forecasts"}</definedName>
    <definedName name="fewfsdf" hidden="1">{#N/A,#N/A,TRUE,"Historicals";#N/A,#N/A,TRUE,"Charts";#N/A,#N/A,TRUE,"Forecasts"}</definedName>
    <definedName name="fewq" hidden="1">{"Comp_of_Price_Effect",#N/A,FALSE,"QTRDPVAR"}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ee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ff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fff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f" hidden="1">{"comps",#N/A,FALSE,"comps";"notes",#N/A,FALSE,"comps"}</definedName>
    <definedName name="FFFFF" hidden="1">{#VALUE!,#N/A,FALSE,0;#N/A,#N/A,FALSE,0;#N/A,#N/A,FALSE,0;#N/A,#N/A,FALSE,0}</definedName>
    <definedName name="ffffff" hidden="1">{"'Boston'!$A$1:$AQ$152","'Summary'!$R$37","'Summary'!$A$1:$P$44"}</definedName>
    <definedName name="fffffff" hidden="1">{#N/A,#N/A,FALSE,"Pharm";#N/A,#N/A,FALSE,"WWCM"}</definedName>
    <definedName name="fffffffffffffff" hidden="1">{#N/A,#N/A,FALSE,"단축1";#N/A,#N/A,FALSE,"단축2";#N/A,#N/A,FALSE,"단축3";#N/A,#N/A,FALSE,"장축";#N/A,#N/A,FALSE,"4WD"}</definedName>
    <definedName name="FFGHJKK" hidden="1">{#N/A,#N/A,FALSE,"단축1";#N/A,#N/A,FALSE,"단축2";#N/A,#N/A,FALSE,"단축3";#N/A,#N/A,FALSE,"장축";#N/A,#N/A,FALSE,"4WD"}</definedName>
    <definedName name="ffsf" hidden="1">{"'Future Reviews'!$A$1:$D$58"}</definedName>
    <definedName name="ffy" hidden="1">{#N/A,#N/A,FALSE,"FY97";#N/A,#N/A,FALSE,"FY98";#N/A,#N/A,FALSE,"FY99";#N/A,#N/A,FALSE,"FY00";#N/A,#N/A,FALSE,"FY01"}</definedName>
    <definedName name="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gcvfhg" hidden="1">{#N/A,#N/A,TRUE,"Historicals";#N/A,#N/A,TRUE,"Charts";#N/A,#N/A,TRUE,"Forecasts"}</definedName>
    <definedName name="fgdghj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fgf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gfgf" hidden="1">{"mgmt forecast",#N/A,FALSE,"Mgmt Forecast";"dcf table",#N/A,FALSE,"Mgmt Forecast";"sensitivity",#N/A,FALSE,"Mgmt Forecast";"table inputs",#N/A,FALSE,"Mgmt Forecast";"calculations",#N/A,FALSE,"Mgmt Forecast"}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x" hidden="1">{#N/A,#N/A,FALSE,"Umsatz 99";#N/A,#N/A,FALSE,"ER 99 "}</definedName>
    <definedName name="fgg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fggddf" hidden="1">{"Employee Efficiency",#N/A,FALSE,"Benchmarking"}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dhgdfhfd" hidden="1">{"equity comps",#N/A,FALSE,"CS Comps";"equity comps",#N/A,FALSE,"PS Comps";"equity comps",#N/A,FALSE,"GIC_Comps";"equity comps",#N/A,FALSE,"GIC2_Comps"}</definedName>
    <definedName name="fghdrth" hidden="1">{#N/A,#N/A,TRUE,"Historicals";#N/A,#N/A,TRUE,"Charts";#N/A,#N/A,TRUE,"Forecasts"}</definedName>
    <definedName name="fghfgh" hidden="1">{"away stand alones",#N/A,FALSE,"Target"}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FMFMJTMV" hidden="1">{#N/A,#N/A,FALSE,"단축1";#N/A,#N/A,FALSE,"단축2";#N/A,#N/A,FALSE,"단축3";#N/A,#N/A,FALSE,"장축";#N/A,#N/A,FALSE,"4WD"}</definedName>
    <definedName name="fghgf" hidden="1">{#N/A,#N/A,FALSE,"Mittelherkunft";#N/A,#N/A,FALSE,"Mittelverwendung"}</definedName>
    <definedName name="FGHGFJF" hidden="1">{#N/A,#N/A,FALSE,"단축1";#N/A,#N/A,FALSE,"단축2";#N/A,#N/A,FALSE,"단축3";#N/A,#N/A,FALSE,"장축";#N/A,#N/A,FALSE,"4WD"}</definedName>
    <definedName name="fghj" hidden="1">{#N/A,#N/A,FALSE,"Finanzbedarfsrechnung"}</definedName>
    <definedName name="fghrthyuj" hidden="1">{#N/A,#N/A,TRUE,"Historicals";#N/A,#N/A,TRUE,"Charts";#N/A,#N/A,TRUE,"Forecasts"}</definedName>
    <definedName name="fghsert" hidden="1">{#N/A,#N/A,TRUE,"Historicals";#N/A,#N/A,TRUE,"Charts";#N/A,#N/A,TRUE,"Forecasts"}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jhfgjhgj" hidden="1">{"comp1",#N/A,FALSE,"COMPS";"footnotes",#N/A,FALSE,"COMPS"}</definedName>
    <definedName name="fgkjkh" hidden="1">{#N/A,#N/A,FALSE,"REPORT"}</definedName>
    <definedName name="fgndh" hidden="1">{#N/A,#N/A,TRUE,"Historicals";#N/A,#N/A,TRUE,"Charts";#N/A,#N/A,TRUE,"Forecasts"}</definedName>
    <definedName name="fgsd" hidden="1">{"PAGE 1",#N/A,FALSE,"COS Excluding Geismar";"PAGE 2",#N/A,FALSE,"COS Excluding Geismar";"PAGE 3",#N/A,FALSE,"COS Excluding Geismar"}</definedName>
    <definedName name="fgs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VDFG" hidden="1">{#N/A,#N/A,FALSE,"Staffnos &amp; cost"}</definedName>
    <definedName name="fh" hidden="1">{#N/A,#N/A,FALSE,"Staffnos &amp; cost"}</definedName>
    <definedName name="FHE" hidden="1">{"'Demand Units'!$X$11:$AD$45"}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gfhf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le.Type" hidden="1">#REF!</definedName>
    <definedName name="FileChart" hidden="1">#REF!</definedName>
    <definedName name="fill" hidden="1">#REF!</definedName>
    <definedName name="Fill1" hidden="1">#REF!</definedName>
    <definedName name="Fill2" hidden="1">#REF!</definedName>
    <definedName name="FIMeXToEUR" hidden="1">1/EUReXToFIM</definedName>
    <definedName name="fin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l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c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ishing2" hidden="1">{"'Data'!$A$1:$D$17"}</definedName>
    <definedName name="finres" hidden="1">#REF!</definedName>
    <definedName name="fins1" hidden="1">{#N/A,#N/A,FALSE,"Calc";#N/A,#N/A,FALSE,"Sensitivity";#N/A,#N/A,FALSE,"LT Earn.Dil.";#N/A,#N/A,FALSE,"Dil. AVP"}</definedName>
    <definedName name="fj" hidden="1">{"Tages_D",#N/A,FALSE,"Tagesbericht";"Tages_PL",#N/A,FALSE,"Tagesbericht"}</definedName>
    <definedName name="fjalaslaslfasllaa" hidden="1">{#N/A,#N/A,FALSE,"을지 (4)";#N/A,#N/A,FALSE,"을지 (5)";#N/A,#N/A,FALSE,"을지 (6)"}</definedName>
    <definedName name="FJEZK" hidden="1">{#N/A,#N/A,FALSE,"Pharm";#N/A,#N/A,FALSE,"WWCM"}</definedName>
    <definedName name="FJFJ" hidden="1">{#N/A,#N/A,FALSE,"단축1";#N/A,#N/A,FALSE,"단축2";#N/A,#N/A,FALSE,"단축3";#N/A,#N/A,FALSE,"장축";#N/A,#N/A,FALSE,"4WD"}</definedName>
    <definedName name="FJFJFJFJFJFF" hidden="1">{#N/A,#N/A,FALSE,"단축1";#N/A,#N/A,FALSE,"단축2";#N/A,#N/A,FALSE,"단축3";#N/A,#N/A,FALSE,"장축";#N/A,#N/A,FALSE,"4WD"}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whf" hidden="1">{#N/A,#N/A,FALSE,"Profit Status";#N/A,#N/A,FALSE,"Invest";#N/A,#N/A,FALSE,"Revenue";#N/A,#N/A,FALSE,"Variable Cost";#N/A,#N/A,FALSE,"Options &amp; Series"}</definedName>
    <definedName name="fjyfyd" hidden="1">{#N/A,#N/A,TRUE,"Historicals";#N/A,#N/A,TRUE,"Charts";#N/A,#N/A,TRUE,"Forecasts"}</definedName>
    <definedName name="fkjfdh" hidden="1">{"mult96",#N/A,FALSE,"PETCOMP";"est96",#N/A,FALSE,"PETCOMP";"mult95",#N/A,FALSE,"PETCOMP";"est95",#N/A,FALSE,"PETCOMP";"multltm",#N/A,FALSE,"PETCOMP";"resultltm",#N/A,FALSE,"PETCOMP"}</definedName>
    <definedName name="FL" hidden="1">"DATAGROUP IT Services Holding AG, Pliezhausen"</definedName>
    <definedName name="Flagship" hidden="1">{"EXPORT",#N/A,FALSE,"A8CONTENT"}</definedName>
    <definedName name="FLKWFL" hidden="1">{"'Demand Units'!$X$11:$AD$45"}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MittelAnfangPeriode" hidden="1">#REF!</definedName>
    <definedName name="FMittelAnfangPeriode_" hidden="1">#REF!</definedName>
    <definedName name="FMittelEndePeriode" hidden="1">#REF!</definedName>
    <definedName name="FMittelEndePeriode_" hidden="1">#REF!</definedName>
    <definedName name="FOG_자재표" hidden="1">{#N/A,#N/A,FALSE,"단축1";#N/A,#N/A,FALSE,"단축2";#N/A,#N/A,FALSE,"단축3";#N/A,#N/A,FALSE,"장축";#N/A,#N/A,FALSE,"4WD"}</definedName>
    <definedName name="FOKPEWPOF" hidden="1">{"'Demand Units'!$X$11:$AD$45"}</definedName>
    <definedName name="Folie8" hidden="1">#REF!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rderungenGgKdn" hidden="1">#REF!</definedName>
    <definedName name="ForderungenGgKdn_" hidden="1">#REF!</definedName>
    <definedName name="ForecastPeriod" hidden="1">#REF!</definedName>
    <definedName name="FOREIGN_EXCHANGE" hidden="1">"FOREIGN_EXCHANGE"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atted" hidden="1">{"'Sheet1'!$A$1:$F$101"}</definedName>
    <definedName name="Formula" hidden="1">"'&lt;ContentDefinition name=""SASMain:MKTDL.TBVOLREVENSLANEPROFITABILITY"" rsid=""287721188"" type=""PivotTable"" format=""REPORTXML"" imgfmt=""ACTIVEX"" created=""05/12/2011 19:13:38"" modifed=""05/20/2011 17:07:18"" user=""XPMUser"" apply=""False"" th'"</definedName>
    <definedName name="Fox" hidden="1">{#N/A,#N/A,FALSE,"Aging Summary";#N/A,#N/A,FALSE,"Ratio Analysis";#N/A,#N/A,FALSE,"Test 120 Day Accts";#N/A,#N/A,FALSE,"Tickmarks"}</definedName>
    <definedName name="fpa" hidden="1">{#N/A,#N/A,FALSE,"PCS"}</definedName>
    <definedName name="FPWOFPW" hidden="1">{"'Demand Units'!$X$11:$AD$45"}</definedName>
    <definedName name="fq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rage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Frank" hidden="1">{#N/A,#N/A,TRUE,"Cover sheet";#N/A,#N/A,TRUE,"DCF analysis";#N/A,#N/A,TRUE,"WACC calculation"}</definedName>
    <definedName name="frank2" hidden="1">{"'Boston'!$A$1:$AQ$152","'Summary'!$R$37","'Summary'!$A$1:$P$44"}</definedName>
    <definedName name="fr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re" hidden="1">{"FY98Q1 var",#N/A,FALSE,"FY98 - Q1";"FY98Q2 var",#N/A,FALSE,"FY98 - Q2";"FY98Q3 var",#N/A,FALSE,"FY98 - Q3";"FY98Q4 var",#N/A,FALSE,"FY98 - Q4"}</definedName>
    <definedName name="fred" hidden="1">{"'Boston'!$A$1:$AQ$152","'Summary'!$R$37","'Summary'!$A$1:$P$44"}</definedName>
    <definedName name="FRFERFE" hidden="1">{#N/A,#N/A,FALSE,"Pharm";#N/A,#N/A,FALSE,"WWCM"}</definedName>
    <definedName name="FRFeXToEUR" hidden="1">1/EUReXToFRF</definedName>
    <definedName name="frfrf" hidden="1">#REF!</definedName>
    <definedName name="fro" hidden="1">{#N/A,#N/A,FALSE,"Sheet2"}</definedName>
    <definedName name="front" hidden="1">{#N/A,#N/A,TRUE,"Front Page";#N/A,#N/A,TRUE,"Content";#N/A,#N/A,TRUE,"Changes to forecast";#N/A,#N/A,TRUE,"Forecast Summaries";#N/A,#N/A,TRUE,"Q1 Summary";#N/A,#N/A,TRUE,"Q2 Summary";#N/A,#N/A,TRUE,"Q3 Summary";#N/A,#N/A,TRUE,"Q4 Summary";#N/A,#N/A,TRUE,"FY Summary";#N/A,#N/A,TRUE,"Opportunities";#N/A,#N/A,TRUE,"Risks";#N/A,#N/A,TRUE,"Target Graphs";#N/A,#N/A,TRUE,"Rev Chart";#N/A,#N/A,TRUE,"GM Chart";#N/A,#N/A,TRUE,"Offering Bar Chart";#N/A,#N/A,TRUE,"Issues";#N/A,#N/A,TRUE,"Lost Bids";#N/A,#N/A,TRUE,"Major Sales Campains";#N/A,#N/A,TRUE,"Ongoing Revenue";#N/A,#N/A,TRUE,"Names List"}</definedName>
    <definedName name="frty" hidden="1">{"PRS",#N/A,FALSE,"CM"}</definedName>
    <definedName name="fsa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" hidden="1">{#N/A,#N/A,FALSE,"Staffnos &amp; cost"}</definedName>
    <definedName name="fsdfsadf" hidden="1">{"investments",#N/A,FALSE,"CYTD CF Oct";"invest month",#N/A,FALSE,"CYTD CF Oct";"scf",#N/A,FALSE,"CYTD CF Oct";"direct method",#N/A,FALSE,"CYTD CF Oct";"indirect",#N/A,FALSE,"CYTD CF Oct"}</definedName>
    <definedName name="fsdsfafd" hidden="1">{"CSheet",#N/A,FALSE,"C";"SmCap",#N/A,FALSE,"VAL1";"GulfCoast",#N/A,FALSE,"VAL1";"nav",#N/A,FALSE,"NAV";"Summary",#N/A,FALSE,"NAV"}</definedName>
    <definedName name="fsfs" hidden="1">{#N/A,#N/A,FALSE,"Calc";#N/A,#N/A,FALSE,"Sensitivity";#N/A,#N/A,FALSE,"LT Earn.Dil.";#N/A,#N/A,FALSE,"Dil. AVP"}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oPacific" hidden="1">{"BS",#N/A,FALSE,"USA"}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hfftf" hidden="1">{#N/A,#N/A,TRUE,"Historicals";#N/A,#N/A,TRUE,"Charts";#N/A,#N/A,TRUE,"Forecasts"}</definedName>
    <definedName name="fthfhftft" hidden="1">{#N/A,#N/A,TRUE,"Historicals";#N/A,#N/A,TRUE,"Charts";#N/A,#N/A,TRUE,"Forecasts"}</definedName>
    <definedName name="fthfthrs" hidden="1">{#N/A,#N/A,TRUE,"Historicals";#N/A,#N/A,TRUE,"Charts";#N/A,#N/A,TRUE,"Forecasts"}</definedName>
    <definedName name="fthftthfhf" hidden="1">{#N/A,#N/A,TRUE,"Historicals";#N/A,#N/A,TRUE,"Charts";#N/A,#N/A,TRUE,"Forecasts"}</definedName>
    <definedName name="ftutyu" hidden="1">{0,#N/A,FALSE,0;0,#N/A,FALSE,0}</definedName>
    <definedName name="ftyfyfy" hidden="1">{"SCM_Detail",#N/A,FALSE,"SCM";"SCM_Top",#N/A,FALSE,"SCM"}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ll" hidden="1">#REF!</definedName>
    <definedName name="furu" hidden="1">{#N/A,#N/A,FALSE,"INPUTS";#N/A,#N/A,FALSE,"PROFORMA BSHEET";#N/A,#N/A,FALSE,"COMBINED";#N/A,#N/A,FALSE,"HIGH YIELD";#N/A,#N/A,FALSE,"COMB_GRAPHS"}</definedName>
    <definedName name="FVG" hidden="1">{#N/A,#N/A,FALSE,"Pharm";#N/A,#N/A,FALSE,"WWCM"}</definedName>
    <definedName name="fwef" hidden="1">#N/A</definedName>
    <definedName name="fwer" hidden="1">{#N/A,"PURCHM",FALSE,"Business Analysis";#N/A,"SPADD",FALSE,"Business Analysis"}</definedName>
    <definedName name="fw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X_NONE" hidden="1">#REF!</definedName>
    <definedName name="FY_DATE" hidden="1">"FY_DATE"</definedName>
    <definedName name="fz" hidden="1">{"bkf1",#N/A,FALSE,"A";"bfk2",#N/A,FALSE,"A";"bfk3",#N/A,FALSE,"A";"bfk4",#N/A,FALSE,"A";"bfk5",#N/A,FALSE,"A";"bfk6",#N/A,FALSE,"A";"bfk7",#N/A,FALSE,"A";"bfk8",#N/A,FALSE,"A";"bfk9",#N/A,FALSE,"A"}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{#N/A,#N/A,TRUE,"Cover sheet";#N/A,#N/A,TRUE,"DCF analysis";#N/A,#N/A,TRUE,"WACC calculation"}</definedName>
    <definedName name="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DFG" hidden="1">{#N/A,#N/A,TRUE,"Staffnos &amp; cost"}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c_hint_new_document">#REF!</definedName>
    <definedName name="gd" hidden="1">{#N/A,#N/A,TRUE,"Cover sheet";#N/A,#N/A,TRUE,"INPUTS";#N/A,#N/A,TRUE,"OUTPUTS";#N/A,#N/A,TRUE,"VALUATION"}</definedName>
    <definedName name="gda" hidden="1">{"'下期集計（10.27迄・速報値）'!$Q$16"}</definedName>
    <definedName name="gdf" hidden="1">{#N/A,#N/A,FALSE,"Staffnos &amp; cost"}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dfgdf" hidden="1">{#N/A,#N/A,FALSE,"Pharm";#N/A,#N/A,FALSE,"WWCM"}</definedName>
    <definedName name="GDFHDHGF" hidden="1">{#N/A,#N/A,FALSE,"Staffnos &amp; cost"}</definedName>
    <definedName name="gdg" hidden="1">{#N/A,#N/A,FALSE,"Front Page";#N/A,#N/A,FALSE,"Contents";#N/A,#N/A,FALSE,"Deals in month";#N/A,#N/A,FALSE,"Order Tracking";#N/A,#N/A,FALSE,"Orders Committed";#N/A,#N/A,FALSE,"Orders P1-3";#N/A,#N/A,FALSE,"Major Sales Top 20";#N/A,#N/A,FALSE,"Major Sales";#N/A,#N/A,FALSE,"MJ OS Calculation sheet";#N/A,#N/A,FALSE,"MJ HPS Calculation sheet";#N/A,#N/A,FALSE,"OS Rev Track";#N/A,#N/A,FALSE,"OS Committed";#N/A,#N/A,FALSE,"OS P1-3";#N/A,#N/A,FALSE,"HPS Rev Track";#N/A,#N/A,FALSE,"HPS Committed";#N/A,#N/A,FALSE,"HPS P1-3";#N/A,#N/A,FALSE,"Lost Bids";#N/A,#N/A,FALSE,"OSD Offering Bar Chart";#N/A,#N/A,FALSE,"HPS Offering Bar Chart";#N/A,#N/A,FALSE,"Defence Offering Bar Chart";#N/A,#N/A,FALSE,"Ongoing HPS VME Revenue";#N/A,#N/A,FALSE,"Issues"}</definedName>
    <definedName name="gdgd" hidden="1">{#N/A,#N/A,FALSE,"Calc";#N/A,#N/A,FALSE,"Sensitivity";#N/A,#N/A,FALSE,"LT Earn.Dil.";#N/A,#N/A,FALSE,"Dil. AVP"}</definedName>
    <definedName name="gdgs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gdsa" hidden="1">{"'下期集計（10.27迄・速報値）'!$Q$16"}</definedName>
    <definedName name="gdsdfs" hidden="1">{"SCM_Detail",#N/A,FALSE,"SCM";"SCM_Top",#N/A,FALSE,"SCM"}</definedName>
    <definedName name="ge" hidden="1">{#N/A,#N/A,FALSE,"Profit Status";#N/A,#N/A,FALSE,"Invest";#N/A,#N/A,FALSE,"Revenue";#N/A,#N/A,FALSE,"Variable Cost";#N/A,#N/A,FALSE,"Options &amp; Series"}</definedName>
    <definedName name="geaegdda" hidden="1">{"'Title Transfer Units6,7,&amp;8'!$A$1:$B$4","'Title Transfer Units6,7,&amp;8'!$C$6"}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he" hidden="1">{"Tages_D",#N/A,FALSE,"Tagesbericht";"Tages_PL",#N/A,FALSE,"Tagesbericht"}</definedName>
    <definedName name="Genesys" hidden="1">{"'comite'!$A$9:$G$44","'comite'!$A$1:$G$6"}</definedName>
    <definedName name="GES_LIST" hidden="1">#REF!,#REF!,#REF!,#REF!,#REF!,#REF!,#REF!,#REF!,#REF!,#REF!,#REF!,#REF!,#REF!,#REF!,#REF!,#REF!,#REF!,#REF!,#REF!,#REF!,#REF!,#REF!,#REF!,#REF!,#REF!,#REF!,#REF!,#REF!,#REF!,#REF!,#REF!,#REF!,#REF!,#REF!,#REF!</definedName>
    <definedName name="Gesamtkosten" hidden="1">#REF!</definedName>
    <definedName name="Gesamtkosten_" hidden="1">#REF!</definedName>
    <definedName name="GesamtkostenK" hidden="1">#REF!</definedName>
    <definedName name="GesamtkostenM" hidden="1">#REF!</definedName>
    <definedName name="GesamtkostenN" hidden="1">#REF!</definedName>
    <definedName name="Gesamtleistung" hidden="1">#REF!</definedName>
    <definedName name="Gesamtleistung_" hidden="1">#REF!</definedName>
    <definedName name="GesamtleistungK" hidden="1">#REF!</definedName>
    <definedName name="GesamtleistungM" hidden="1">#REF!</definedName>
    <definedName name="GesamtleistungN" hidden="1">#REF!</definedName>
    <definedName name="GesamtleistungZ" hidden="1">#REF!</definedName>
    <definedName name="GezZinsen" hidden="1">#REF!</definedName>
    <definedName name="GezZinsen_" hidden="1">#REF!</definedName>
    <definedName name="GezZinsenN" hidden="1">#REF!</definedName>
    <definedName name="g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a" hidden="1">{"FY98Q1 nvs",#N/A,FALSE,"FY98 - Q1";"FY98Q2 nvs",#N/A,FALSE,"FY98 - Q2";"FY98Q3 nvs",#N/A,FALSE,"FY98 - Q3";"FY98Q4 nvs",#N/A,FALSE,"FY98 - Q4"}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g" hidden="1">{#N/A,#N/A,FALSE,"Staffnos &amp; cost"}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djhjh" hidden="1">{#N/A,#N/A,FALSE,"Pharm";#N/A,#N/A,FALSE,"WWCM"}</definedName>
    <definedName name="GFDS" hidden="1">{#N/A,#N/A,FALSE,"단축1";#N/A,#N/A,FALSE,"단축2";#N/A,#N/A,FALSE,"단축3";#N/A,#N/A,FALSE,"장축";#N/A,#N/A,FALSE,"4WD"}</definedName>
    <definedName name="gfdsge" hidden="1">{#N/A,#N/A,TRUE,"Historicals";#N/A,#N/A,TRUE,"Charts";#N/A,#N/A,TRUE,"Forecasts"}</definedName>
    <definedName name="gfdsged" hidden="1">{"REVISED",#N/A,FALSE,"Sheet1"}</definedName>
    <definedName name="gfdsgsfdy" hidden="1">{#N/A,#N/A,TRUE,"Historicals";#N/A,#N/A,TRUE,"Charts";#N/A,#N/A,TRUE,"Forecasts"}</definedName>
    <definedName name="gfdsgw" hidden="1">{#N/A,#N/A,TRUE,"Historicals";#N/A,#N/A,TRUE,"Charts";#N/A,#N/A,TRUE,"Forecasts"}</definedName>
    <definedName name="gf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gffgf" hidden="1">{"mgmt forecast",#N/A,FALSE,"Mgmt Forecast";"dcf table",#N/A,FALSE,"Mgmt Forecast";"sensitivity",#N/A,FALSE,"Mgmt Forecast";"table inputs",#N/A,FALSE,"Mgmt Forecast";"calculations",#N/A,FALSE,"Mgmt Forecast"}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{"CSheet",#N/A,FALSE,"C";"SmCap",#N/A,FALSE,"VAL1";"GulfCoast",#N/A,FALSE,"VAL1";"nav",#N/A,FALSE,"NAV";"Summary",#N/A,FALSE,"NAV"}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JG" hidden="1">{#N/A,#N/A,FALSE,"단축1";#N/A,#N/A,FALSE,"단축2";#N/A,#N/A,FALSE,"단축3";#N/A,#N/A,FALSE,"장축";#N/A,#N/A,FALSE,"4WD"}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r" hidden="1">{#N/A,#N/A,FALSE,"Staffnos &amp; cost"}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sdgsdgf" hidden="1">{#N/A,#N/A,TRUE,"Historicals";#N/A,#N/A,TRUE,"Charts";#N/A,#N/A,TRUE,"Forecasts"}</definedName>
    <definedName name="gg" hidden="1">{#N/A,#N/A,FALSE,"Operations";#N/A,#N/A,FALSE,"Financials"}</definedName>
    <definedName name="ggf" hidden="1">{"comps",#N/A,FALSE,"comps";"notes",#N/A,FALSE,"comps"}</definedName>
    <definedName name="ggfgf" hidden="1">{#N/A,#N/A,FALSE,"Tab 5 - Budget Statement";#N/A,#N/A,FALSE,"Tab 4 - Financial Worksheet";#N/A,#N/A,FALSE,"Tab 1 - Resource Worksheet";#N/A,#N/A,FALSE,"Tab 2 - Educ-Travel-Ent";#N/A,#N/A,FALSE,"Tab 3 - Hardware-Software"}</definedName>
    <definedName name="ggg" hidden="1">{#N/A,#N/A,FALSE,"Aging Summary";#N/A,#N/A,FALSE,"Ratio Analysis";#N/A,#N/A,FALSE,"Test 120 Day Accts";#N/A,#N/A,FALSE,"Tickmarks"}</definedName>
    <definedName name="gggg" hidden="1">{#N/A,#N/A,FALSE,"ADNAMES.XLS";#N/A,#N/A,FALSE,"EQNAMES.XLS";#N/A,#N/A,FALSE,"INNAMES.XLS";#N/A,#N/A,FALSE,"HYNAMES.XLS";#N/A,#N/A,FALSE,"FIXNAMES.XLS";#N/A,#N/A,FALSE,"MONNAMES.XLS";#N/A,#N/A,FALSE,"TECNAMES.XLS"}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GGGGGGGGGG" hidden="1">{"London cttee condensed",#N/A,FALSE,"Dev Panel Cut Report";"South East cttee condensed",#N/A,FALSE,"Dev Panel Cut Report"}</definedName>
    <definedName name="gggggggggggggg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gghghg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g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hd" hidden="1">{#N/A,#N/A,FALSE,"Aging Summary";#N/A,#N/A,FALSE,"Ratio Analysis";#N/A,#N/A,FALSE,"Test 120 Day Accts";#N/A,#N/A,FALSE,"Tickmarks"}</definedName>
    <definedName name="ghdf" hidden="1">{"Acq_matrix",#N/A,FALSE,"Acquisition Matrix"}</definedName>
    <definedName name="GHDHGFJFJJGFJF" hidden="1">{#N/A,#N/A,FALSE,"Staffnos &amp; cost"}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s" hidden="1">{#N/A,#N/A,TRUE,"Historicals";#N/A,#N/A,TRUE,"Charts";#N/A,#N/A,TRUE,"Forecasts"}</definedName>
    <definedName name="ghggg" hidden="1">1/EUReXToESP</definedName>
    <definedName name="ghgh" hidden="1">#REF!</definedName>
    <definedName name="ghghdrtd" hidden="1">{#N/A,#N/A,TRUE,"Historicals";#N/A,#N/A,TRUE,"Charts";#N/A,#N/A,TRUE,"Forecasts"}</definedName>
    <definedName name="ghgt" hidden="1">{#N/A,#N/A,TRUE,"FR_HC";#N/A,#N/A,TRUE,"FR_REST";#N/A,#N/A,TRUE,"FR_RETA";#N/A,#N/A,TRUE,"FR_TECSOF";#N/A,#N/A,TRUE,"FR_NETTEC";#N/A,#N/A,TRUE,"FR_CLISER"}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{#N/A,#N/A,FALSE,"ORIX CSC"}</definedName>
    <definedName name="ghi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ghj" hidden="1">{"CSheet",#N/A,FALSE,"C";"SmCap",#N/A,FALSE,"VAL1";"GulfCoast",#N/A,FALSE,"VAL1";"nav",#N/A,FALSE,"NAV";"Summary",#N/A,FALSE,"NAV"}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ghk" hidden="1">{#N/A,#N/A,FALSE,"Mittelherkunft";#N/A,#N/A,FALSE,"Mittelverwendung"}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ifd" hidden="1">{#N/A,"PURCHM",FALSE,"Business Analysis";#N/A,"SPADD",FALSE,"Business Analysis"}</definedName>
    <definedName name="GH일정" hidden="1">{#N/A,#N/A,FALSE,"단축1";#N/A,#N/A,FALSE,"단축2";#N/A,#N/A,FALSE,"단축3";#N/A,#N/A,FALSE,"장축";#N/A,#N/A,FALSE,"4WD"}</definedName>
    <definedName name="GIGI" hidden="1">{"FY98Q1",#N/A,FALSE,"FY98 - Q1";"FY98Q2",#N/A,FALSE,"FY98 - Q2";"FY98Q3",#N/A,FALSE,"FY98 - Q3";"FY98Q4",#N/A,FALSE,"FY98 - Q4"}</definedName>
    <definedName name="GIO" hidden="1">{"'Future Reviews'!$A$1:$D$58"}</definedName>
    <definedName name="GIORGIO" hidden="1">{"FY97Q1 var",#N/A,FALSE,"FY97 - Q1";"FY97Q2 var",#N/A,FALSE,"FY97 - Q2";"FY97Q3 var",#N/A,FALSE,"FY97 - Q3";"FY97Q4 var",#N/A,FALSE,"FY97 - Q4"}</definedName>
    <definedName name="GJ" hidden="1">"2009/2010"</definedName>
    <definedName name="gjh" hidden="1">{#N/A,#N/A,FALSE,"Umsatz 99";#N/A,#N/A,FALSE,"ER 99 "}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sf" hidden="1">{"targetdcf",#N/A,FALSE,"Merger consequences";"TARGETASSU",#N/A,FALSE,"Merger consequences";"TERMINAL VALUE",#N/A,FALSE,"Merger consequences"}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jgi" hidden="1">{"direct labor",#N/A,FALSE,"labor";"direct labor1",#N/A,FALSE,"labor"}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s_ACT_EST_ROW" hidden="1">#N/A</definedName>
    <definedName name="gls_ACT_FORM_OFFSET" hidden="1">#N/A</definedName>
    <definedName name="gls_AnalystEmpNoHeading" hidden="1">#N/A</definedName>
    <definedName name="gls_AnalystNameHeading" hidden="1">#N/A</definedName>
    <definedName name="gls_EST_FORM_OFFSET" hidden="1">#N/A</definedName>
    <definedName name="gls_EXTERNAL_COL_REF" hidden="1">#N/A</definedName>
    <definedName name="gls_FIRST_ITEM" hidden="1">#N/A</definedName>
    <definedName name="gls_FIRST_PK" hidden="1">#N/A</definedName>
    <definedName name="gls_FIRST_ROWMULT" hidden="1">#N/A</definedName>
    <definedName name="gls_FIRST_UNITS" hidden="1">#N/A</definedName>
    <definedName name="gls_FIXED_NAMES" hidden="1">#N/A</definedName>
    <definedName name="gls_FONT_STATUS" hidden="1">#N/A</definedName>
    <definedName name="gls_GenAccountingConvention" hidden="1">#N/A</definedName>
    <definedName name="gls_GenCompany" hidden="1">#N/A</definedName>
    <definedName name="gls_GenCompanyInfo" hidden="1">#N/A</definedName>
    <definedName name="gls_GenCountry" hidden="1">#N/A</definedName>
    <definedName name="gls_GenCurrency" hidden="1">#N/A</definedName>
    <definedName name="gls_GenCurrencyMultiplier" hidden="1">#N/A</definedName>
    <definedName name="gls_GenEnterCompInfo" hidden="1">#N/A</definedName>
    <definedName name="gls_GenLastPriceTargetRevised" hidden="1">#N/A</definedName>
    <definedName name="gls_GenLastPublished" hidden="1">#N/A</definedName>
    <definedName name="gls_GenLastRecRevised" hidden="1">#N/A</definedName>
    <definedName name="gls_GenMainInfo" hidden="1">#N/A</definedName>
    <definedName name="gls_GenProfile" hidden="1">#N/A</definedName>
    <definedName name="gls_GenRecComment" hidden="1">#N/A</definedName>
    <definedName name="gls_GenSheetVersion" hidden="1">#N/A</definedName>
    <definedName name="gls_genStockCore" hidden="1">#N/A</definedName>
    <definedName name="gls_genStockRec" hidden="1">#N/A</definedName>
    <definedName name="gls_GenTargetCurrency" hidden="1">#N/A</definedName>
    <definedName name="gls_IssuedStockClassHeading" hidden="1">#N/A</definedName>
    <definedName name="gls_IssuedStockCodeHeading" hidden="1">#N/A</definedName>
    <definedName name="gls_IssuedStockFreeFloatHeading" hidden="1">#N/A</definedName>
    <definedName name="gls_KEY_DATA" hidden="1">#N/A</definedName>
    <definedName name="gls_KEY_VALUE" hidden="1">#N/A</definedName>
    <definedName name="gls_PERIOD_CODE" hidden="1">#N/A</definedName>
    <definedName name="gls_PERIOD_INDICATOR" hidden="1">#N/A</definedName>
    <definedName name="gls_PERIOD_PARENT_OR_CONSOL" hidden="1">#N/A</definedName>
    <definedName name="gls_PERIOD_TYPE" hidden="1">#N/A</definedName>
    <definedName name="gls_PrincipalStockClass" hidden="1">#N/A</definedName>
    <definedName name="gls_ShareholderClassHeading" hidden="1">#N/A</definedName>
    <definedName name="gls_ShareholderHolding" hidden="1">#N/A</definedName>
    <definedName name="gls_ShareholderHoldingHeading" hidden="1">#N/A</definedName>
    <definedName name="gls_ShareholderName" hidden="1">#N/A</definedName>
    <definedName name="gls_ShareholderNameHeading" hidden="1">#N/A</definedName>
    <definedName name="gls_ShareholdingName" hidden="1">#N/A</definedName>
    <definedName name="gls_SPARE_YEARS" hidden="1">#N/A</definedName>
    <definedName name="gls_START_FORMULA_OVERRIDEABLE" hidden="1">#N/A</definedName>
    <definedName name="gls_START_LOCAL_NAMES" hidden="1">#N/A</definedName>
    <definedName name="gls_START_PERIOD_CURRENCY" hidden="1">#N/A</definedName>
    <definedName name="gls_START_STATUS" hidden="1">#N/A</definedName>
    <definedName name="gls_START_USER_STATUS" hidden="1">#N/A</definedName>
    <definedName name="gls_START_VALIDATION" hidden="1">#N/A</definedName>
    <definedName name="gls_START_WHAT" hidden="1">#N/A</definedName>
    <definedName name="gls_START_YEAR" hidden="1">#N/A</definedName>
    <definedName name="gls_TEMP_PERIOD_CODE" hidden="1">#N/A</definedName>
    <definedName name="gls_YEAR_AE_CONTROL" hidden="1">#N/A</definedName>
    <definedName name="gls_YEAR_END_ROW" hidden="1">#N/A</definedName>
    <definedName name="gma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gmcol" hidden="1">#REF!</definedName>
    <definedName name="gndnd" hidden="1">{#N/A,#N/A,TRUE,"Historicals";#N/A,#N/A,TRUE,"Charts";#N/A,#N/A,TRUE,"Forecasts"}</definedName>
    <definedName name="gnfd" hidden="1">{#N/A,#N/A,TRUE,"Historicals";#N/A,#N/A,TRUE,"Charts";#N/A,#N/A,TRUE,"Forecasts"}</definedName>
    <definedName name="gnhf" hidden="1">{"K GuV o. Kommentar",#N/A,FALSE,"Kaufhof"}</definedName>
    <definedName name="go" hidden="1">{"TOTAL",#N/A,FALSE,"A";"FISCAL94",#N/A,FALSE,"A";"FISCAL95",#N/A,FALSE,"A";"FISCAL96",#N/A,FALSE,"A";"misc page",#N/A,FALSE,"A"}</definedName>
    <definedName name="gods" hidden="1">{"consolidated",#N/A,FALSE,"Sheet1";"cms",#N/A,FALSE,"Sheet1";"fse",#N/A,FALSE,"Sheet1"}</definedName>
    <definedName name="gogo" hidden="1">{#N/A,#N/A,TRUE,"Cover sheet";#N/A,#N/A,TRUE,"INPUTS";#N/A,#N/A,TRUE,"OUTPUTS";#N/A,#N/A,TRUE,"VALUATION"}</definedName>
    <definedName name="GOODWILL_NET" hidden="1">"GOODWILL_NET"</definedName>
    <definedName name="gors" hidden="1">{"var_page",#N/A,FALSE,"template"}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FICA" hidden="1">{"'Data'!$A$1:$D$17"}</definedName>
    <definedName name="Grafik1" hidden="1">{"mgmt forecast",#N/A,FALSE,"Mgmt Forecast";"dcf table",#N/A,FALSE,"Mgmt Forecast";"sensitivity",#N/A,FALSE,"Mgmt Forecast";"table inputs",#N/A,FALSE,"Mgmt Forecast";"calculations",#N/A,FALSE,"Mgmt Forecast"}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erewg" hidden="1">{#N/A,#N/A,TRUE,"Historicals";#N/A,#N/A,TRUE,"Charts";#N/A,#N/A,TRUE,"Forecasts"}</definedName>
    <definedName name="grewgfd" hidden="1">{#N/A,#N/A,TRUE,"Historicals";#N/A,#N/A,TRUE,"Charts";#N/A,#N/A,TRUE,"Forecasts"}</definedName>
    <definedName name="grewghythyt" hidden="1">{#N/A,#N/A,TRUE,"Historicals";#N/A,#N/A,TRUE,"Charts";#N/A,#N/A,TRUE,"Forecasts"}</definedName>
    <definedName name="grewgregs" hidden="1">{#N/A,#N/A,TRUE,"Historicals";#N/A,#N/A,TRUE,"Charts";#N/A,#N/A,TRUE,"Forecasts"}</definedName>
    <definedName name="grewgres" hidden="1">{#N/A,#N/A,TRUE,"Historicals";#N/A,#N/A,TRUE,"Charts";#N/A,#N/A,TRUE,"Forecasts"}</definedName>
    <definedName name="grewgrewg" hidden="1">{#N/A,#N/A,TRUE,"Historicals";#N/A,#N/A,TRUE,"Charts";#N/A,#N/A,TRUE,"Forecasts"}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_DIVID" hidden="1">"GROSS_DIVID"</definedName>
    <definedName name="GROSS_MARGIN" hidden="1">"GROSS_MARGIN"</definedName>
    <definedName name="GROSS_PROFIT" hidden="1">"GROSS_PROFIT"</definedName>
    <definedName name="grossnetdebt" hidden="1">#REF!</definedName>
    <definedName name="grq" hidden="1">{"'WS Sales by Rep'!$A$24:$L$46"}</definedName>
    <definedName name="grr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undstuecksaufwand" hidden="1">#REF!</definedName>
    <definedName name="Grundstuecksaufwand_" hidden="1">#REF!</definedName>
    <definedName name="GrundstuecksaufwandN" hidden="1">#REF!</definedName>
    <definedName name="Grundstuecksertraege" hidden="1">#REF!</definedName>
    <definedName name="Grundstuecksertraege_" hidden="1">#REF!</definedName>
    <definedName name="GrundstuecksertraegeN" hidden="1">#REF!</definedName>
    <definedName name="gsadfgfd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sd" hidden="1">{"SCM_Detail",#N/A,FALSE,"SCM";"SCM_Top",#N/A,FALSE,"SCM"}</definedName>
    <definedName name="gsergf" hidden="1">{#N/A,#N/A,TRUE,"Historicals";#N/A,#N/A,TRUE,"Charts";#N/A,#N/A,TRUE,"Forecasts"}</definedName>
    <definedName name="gsfhdghdgh654q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sgf" hidden="1">{"'Plan_vs_Actual'!$B$3:$U$27"}</definedName>
    <definedName name="gty" hidden="1">{"QTD_PACKAGE",#N/A,FALSE,"QTD"}</definedName>
    <definedName name="gukhjhjhjg" hidden="1">{#N/A,#N/A,TRUE,"Historicals";#N/A,#N/A,TRUE,"Charts";#N/A,#N/A,TRUE,"Forecasts"}</definedName>
    <definedName name="guv" hidden="1">{"K GuV o. Kommentar",#N/A,FALSE,"Kaufhof"}</definedName>
    <definedName name="GuV_200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UV_2004_0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UV015_06" hidden="1">{"BS",#N/A,FALSE,"USA"}</definedName>
    <definedName name="guz" hidden="1">{"fleisch",#N/A,FALSE,"WG HK";"food",#N/A,FALSE,"WG HK";"hartwaren",#N/A,FALSE,"WG HK";"weichwaren",#N/A,FALSE,"WG HK"}</definedName>
    <definedName name="GV" hidden="1">"2008/2009"</definedName>
    <definedName name="gvb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or2" hidden="1">#VALUE!</definedName>
    <definedName name="GVor3" hidden="1">#VALUE!</definedName>
    <definedName name="GVor4" hidden="1">#VALUE!</definedName>
    <definedName name="gwsre4geas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yhui" hidden="1">{"CSheet",#N/A,FALSE,"C";"SmCap",#N/A,FALSE,"VAL1";"GulfCoast",#N/A,FALSE,"VAL1";"nav",#N/A,FALSE,"NAV";"Summary",#N/A,FALSE,"NAV"}</definedName>
    <definedName name="GZSZOnline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h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2H" hidden="1">{#N/A,#N/A,FALSE,"Staffnos &amp; cost"}</definedName>
    <definedName name="h45zh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hallo" hidden="1">{"K Bilanz o. Kommentar",#N/A,FALSE,"Kaufhof"}</definedName>
    <definedName name="Halloo" hidden="1">{"K GuV o. Kommentar",#N/A,FALSE,"Kaufhof"}</definedName>
    <definedName name="Hans" hidden="1">#N/A</definedName>
    <definedName name="harry" hidden="1">#N/A</definedName>
    <definedName name="Haryana" hidden="1">{#N/A,#N/A,FALSE,"Staffnos &amp; cost"}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dghd" hidden="1">{#N/A,#N/A,TRUE,"Historicals";#N/A,#N/A,TRUE,"Charts";#N/A,#N/A,TRUE,"Forecasts"}</definedName>
    <definedName name="HBGFF" hidden="1">{"'Demand Units'!$X$11:$AD$45"}</definedName>
    <definedName name="hbs" hidden="1">{"'TRXAllergyVolume'!$A$1:$I$47"}</definedName>
    <definedName name="hdfg" hidden="1">{#N/A,#N/A,TRUE,"Historicals";#N/A,#N/A,TRUE,"Charts";#N/A,#N/A,TRUE,"Forecasts"}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frthfd" hidden="1">{#N/A,#N/A,TRUE,"Historicals";#N/A,#N/A,TRUE,"Charts";#N/A,#N/A,TRUE,"Forecasts"}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kjhdks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hdsg" hidden="1">{0,0,0,0;0,0,0,FALSE;0,0,0,0}</definedName>
    <definedName name="Headcount2" hidden="1">{"'WS Sales by Rep'!$A$24:$L$46"}</definedName>
    <definedName name="Headcount3" hidden="1">{"'WS Sales by Rep'!$A$24:$L$46"}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Spot" hidden="1">#REF!</definedName>
    <definedName name="hector" hidden="1">{"'Data'!$A$1:$D$17"}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{"Area1",#N/A,FALSE,"OREWACC";"Area2",#N/A,FALSE,"OREWACC"}</definedName>
    <definedName name="hello1" hidden="1">{"Area1",#N/A,FALSE,"OREWACC";"Area2",#N/A,FALSE,"OREWACC"}</definedName>
    <definedName name="hello2" hidden="1">{"Area1",#N/A,FALSE,"OREWACC";"Area2",#N/A,FALSE,"OREWACC"}</definedName>
    <definedName name="helloandgo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help1" hidden="1">{#N/A,#N/A,FALSE,"CONSOLIDATED";#N/A,#N/A,FALSE,"LANCE CO";#N/A,#N/A,FALSE,"VISTA"}</definedName>
    <definedName name="HELP3" hidden="1">{#N/A,#N/A,FALSE,"CONSOLIDATED";#N/A,#N/A,FALSE,"LANCE CO";#N/A,#N/A,FALSE,"VISTA"}</definedName>
    <definedName name="HELP4" hidden="1">{#N/A,#N/A,FALSE,"CONSOLIDATED";#N/A,#N/A,FALSE,"LANCE CO";#N/A,#N/A,FALSE,"VISTA"}</definedName>
    <definedName name="HELP5" hidden="1">{#N/A,#N/A,FALSE,"CONSOLIDATED";#N/A,#N/A,FALSE,"LANCE CO";#N/A,#N/A,FALSE,"VISTA"}</definedName>
    <definedName name="HELP6" hidden="1">{#N/A,#N/A,FALSE,"CONSOLIDATED";#N/A,#N/A,FALSE,"LANCE CO";#N/A,#N/A,FALSE,"VISTA"}</definedName>
    <definedName name="HELP7" hidden="1">{#N/A,#N/A,FALSE,"CONSOLIDATED";#N/A,#N/A,FALSE,"LANCE CO";#N/A,#N/A,FALSE,"VISTA"}</definedName>
    <definedName name="HELP8" hidden="1">{#N/A,#N/A,FALSE,"CONSOLIDATED";#N/A,#N/A,FALSE,"LANCE CO";#N/A,#N/A,FALSE,"VISTA"}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fdshfe" hidden="1">{#N/A,#N/A,TRUE,"Historicals";#N/A,#N/A,TRUE,"Charts";#N/A,#N/A,TRUE,"Forecasts"}</definedName>
    <definedName name="hfg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hfghdh" hidden="1">{#N/A,#N/A,TRUE,"Historicals";#N/A,#N/A,TRUE,"Charts";#N/A,#N/A,TRUE,"Forecasts"}</definedName>
    <definedName name="hfghrthrt" hidden="1">{#N/A,#N/A,TRUE,"Historicals";#N/A,#N/A,TRUE,"Charts";#N/A,#N/A,TRUE,"Forecasts"}</definedName>
    <definedName name="hfh" hidden="1">{#N/A,#N/A,FALSE,"Staffnos &amp; cost"}</definedName>
    <definedName name="HFinGraph" hidden="1">{#N/A,#N/A,FALSE,"Pharm";#N/A,#N/A,FALSE,"WWCM"}</definedName>
    <definedName name="hg" hidden="1">{"fleisch",#N/A,FALSE,"WG HK";"food",#N/A,FALSE,"WG HK";"hartwaren",#N/A,FALSE,"WG HK";"weichwaren",#N/A,FALSE,"WG HK"}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cj" hidden="1">{#N/A,#N/A,FALSE,"5yr.hist."}</definedName>
    <definedName name="hgdhdyu" hidden="1">{#N/A,#N/A,TRUE,"Historicals";#N/A,#N/A,TRUE,"Charts";#N/A,#N/A,TRUE,"Forecasts"}</definedName>
    <definedName name="hgdhr" hidden="1">{#N/A,#N/A,TRUE,"Historicals";#N/A,#N/A,TRUE,"Charts";#N/A,#N/A,TRUE,"Forecasts"}</definedName>
    <definedName name="hgfd" hidden="1">{"BA detail",#N/A,FALSE,"Q3YTD "}</definedName>
    <definedName name="hgfdhty" hidden="1">{#N/A,#N/A,TRUE,"Historicals";#N/A,#N/A,TRUE,"Charts";#N/A,#N/A,TRUE,"Forecasts"}</definedName>
    <definedName name="hgfhd" hidden="1">{#N/A,#N/A,TRUE,"Historicals";#N/A,#N/A,TRUE,"Charts";#N/A,#N/A,TRUE,"Forecasts"}</definedName>
    <definedName name="hgfhs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GFT" hidden="1">{"'Demand Units'!$X$11:$AD$45"}</definedName>
    <definedName name="hgfthfh" hidden="1">{#N/A,#N/A,TRUE,"Historicals";#N/A,#N/A,TRUE,"Charts";#N/A,#N/A,TRUE,"Forecasts"}</definedName>
    <definedName name="hgfy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mfmytut" hidden="1">{#N/A,#N/A,TRUE,"Historicals";#N/A,#N/A,TRUE,"Charts";#N/A,#N/A,TRUE,"Forecasts"}</definedName>
    <definedName name="hgrth" hidden="1">{"orixcsc",#N/A,FALSE,"ORIX CSC";"orixcsc2",#N/A,FALSE,"ORIX CSC"}</definedName>
    <definedName name="hgsdherhrg" hidden="1">{#N/A,#N/A,TRUE,"Historicals";#N/A,#N/A,TRUE,"Charts";#N/A,#N/A,TRUE,"Forecasts"}</definedName>
    <definedName name="h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h.k" hidden="1">{#N/A,#N/A,FALSE,"KA CH  (2)"}</definedName>
    <definedName name="HHADKHCKHLDA" hidden="1">{#N/A,#N/A,FALSE,"단축1";#N/A,#N/A,FALSE,"단축2";#N/A,#N/A,FALSE,"단축3";#N/A,#N/A,FALSE,"장축";#N/A,#N/A,FALSE,"4WD"}</definedName>
    <definedName name="hherereq" hidden="1">1/EUReXToLUF</definedName>
    <definedName name="hhfhfhf" hidden="1">#REF!</definedName>
    <definedName name="hhh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{"weichwaren",#N/A,FALSE,"Liste 1";"hartwaren",#N/A,FALSE,"Liste 1";"food",#N/A,FALSE,"Liste 1";"fleisch",#N/A,FALSE,"Liste 1"}</definedName>
    <definedName name="hhhhhh" hidden="1">1/EUReXToDEM</definedName>
    <definedName name="HHHHHHHHHH" hidden="1">{#N/A,#N/A,FALSE,"단축1";#N/A,#N/A,FALSE,"단축2";#N/A,#N/A,FALSE,"단축3";#N/A,#N/A,FALSE,"장축";#N/A,#N/A,FALSE,"4WD"}</definedName>
    <definedName name="hhhhhhhhhhh" hidden="1">{"Summary",#N/A,FALSE,"Summary";"A&amp;A's",#N/A,FALSE,"Aids &amp; A's";"MajorWorks",#N/A,FALSE,"Major Works";"EstateImps",#N/A,FALSE,"Estate Imps";"CatC",#N/A,FALSE,"Cat C Voids";"CycProg",#N/A,FALSE,"Cyclical Prog inc MR"}</definedName>
    <definedName name="HHHHHHHHHHHHH" hidden="1">{#N/A,#N/A,FALSE,"단축1";#N/A,#N/A,FALSE,"단축2";#N/A,#N/A,FALSE,"단축3";#N/A,#N/A,FALSE,"장축";#N/A,#N/A,FALSE,"4WD"}</definedName>
    <definedName name="HHHHHHHHHHHHHHHHH" hidden="1">{#N/A,#N/A,FALSE,"단축1";#N/A,#N/A,FALSE,"단축2";#N/A,#N/A,FALSE,"단축3";#N/A,#N/A,FALSE,"장축";#N/A,#N/A,FALSE,"4WD"}</definedName>
    <definedName name="hhhsdf" hidden="1">{"up stand alones",#N/A,FALSE,"Acquiror"}</definedName>
    <definedName name="hhhsdf1" hidden="1">{"up stand alones",#N/A,FALSE,"Acquiror"}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hjkhjkjkjkl" hidden="1">{"'WS Sales by Rep'!$A$24:$L$46"}</definedName>
    <definedName name="hi" hidden="1">{#N/A,#N/A,FALSE,"JAN"}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ighPrice" hidden="1">#REF!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storical" hidden="1">{"GTI monthly IS",#N/A,FALSE,"gti";#N/A,#N/A,FALSE,"gti"}</definedName>
    <definedName name="hiulj" hidden="1">{"EVA",#N/A,FALSE,"EVA";"WACC",#N/A,FALSE,"WACC"}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bh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hjfgjghj" hidden="1">{"up stand alones",#N/A,FALSE,"Acquiror"}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glkfg" hidden="1">{"AQUIRORDCF",#N/A,FALSE,"Merger consequences";"Acquirorassns",#N/A,FALSE,"Merger consequences"}</definedName>
    <definedName name="hjhj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hjhjffukfuk" hidden="1">{#N/A,#N/A,FALSE,"Pharm";#N/A,#N/A,FALSE,"WWCM"}</definedName>
    <definedName name="hjhjfkfukywrte" hidden="1">{#N/A,#N/A,FALSE,"Pharm";#N/A,#N/A,FALSE,"WWCM"}</definedName>
    <definedName name="hjhjj" hidden="1">{#N/A,#N/A,FALSE,"ORIX CSC"}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jkl" hidden="1">{"'Sheet1'!$L$16"}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" hidden="1">{#N/A,#N/A,FALSE,"KA CH  (2)"}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{#N/A,#N/A,FALSE,"Calc";#N/A,#N/A,FALSE,"Sensitivity";#N/A,#N/A,FALSE,"LT Earn.Dil.";#N/A,#N/A,FALSE,"Dil. AVP"}</definedName>
    <definedName name="hjkk" hidden="1">{#N/A,#N/A,FALSE,"Pharm";#N/A,#N/A,FALSE,"WWCM"}</definedName>
    <definedName name="hjkl" hidden="1">{"Burden (burden)",#N/A,FALSE,"burden"}</definedName>
    <definedName name="hjl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nh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juy" hidden="1">{#N/A,#N/A,FALSE,"Index";#N/A,#N/A,FALSE,"1.1";#N/A,#N/A,FALSE,"Scenario Summary"}</definedName>
    <definedName name="HKDetail" hidden="1">{"budget95",#N/A,TRUE,"Tabelle1";"Tab1",#N/A,TRUE,"Tabelle2"}</definedName>
    <definedName name="hkhjk" hidden="1">{#N/A,#N/A,FALSE,"Operations";#N/A,#N/A,FALSE,"Financials"}</definedName>
    <definedName name="hkjj" hidden="1">{"Line Efficiency",#N/A,FALSE,"Benchmarking"}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lp" hidden="1">#REF!</definedName>
    <definedName name="hls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u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HMG" hidden="1">{#N/A,#N/A,FALSE,"REPORT"}</definedName>
    <definedName name="hmx" hidden="1">{"budget95",#N/A,TRUE,"Tabelle1";"Tab1",#N/A,TRUE,"Tabelle2"}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ngfgnfgn" hidden="1">{#N/A,#N/A,TRUE,"Historicals";#N/A,#N/A,TRUE,"Charts";#N/A,#N/A,TRUE,"Forecasts"}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" hidden="1">{"RES-2002",#N/A,FALSE,"BL2000";"A1-2002",#N/A,FALSE,"BL2000";"A2-2002",#N/A,FALSE,"BL2000"}</definedName>
    <definedName name="HOLA" hidden="1">{"AR",#N/A,FALSE,"ASMGTSUM";"INV",#N/A,FALSE,"ASMGTSUM";"HCCOMP",#N/A,FALSE,"ASMGTSUM";"cap.depr",#N/A,FALSE,"ASMGTSUM"}</definedName>
    <definedName name="Hola2" hidden="1">{"'B1'!$B$3:$E$3"}</definedName>
    <definedName name="HOLA3" hidden="1">{"'B1'!$B$3:$E$3"}</definedName>
    <definedName name="HOLA4" hidden="1">{"'B1'!$B$3:$E$3"}</definedName>
    <definedName name="holdpers" hidden="1">{"budget95",#N/A,TRUE,"Tabelle1";"Tab1",#N/A,TRUE,"Tabelle2"}</definedName>
    <definedName name="HOMFE" hidden="1">{#N/A,#N/A,FALSE,"Assessment";#N/A,#N/A,FALSE,"Staffing";#N/A,#N/A,FALSE,"Hires";#N/A,#N/A,FALSE,"Assumptions"}</definedName>
    <definedName name="Horst" hidden="1">#N/A</definedName>
    <definedName name="houy" hidden="1">{#N/A,#N/A,FALSE,"AD_Purchase";#N/A,#N/A,FALSE,"Credit";#N/A,#N/A,FALSE,"PF Acquisition";#N/A,#N/A,FALSE,"PF Offering"}</definedName>
    <definedName name="hppackage.xls" hidden="1">{"LCCOST",#N/A,FALSE,"FC-3 "}</definedName>
    <definedName name="HP문제점현황" hidden="1">{#N/A,#N/A,FALSE,"단축1";#N/A,#N/A,FALSE,"단축2";#N/A,#N/A,FALSE,"단축3";#N/A,#N/A,FALSE,"장축";#N/A,#N/A,FALSE,"4WD"}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" hidden="1">#N/A</definedName>
    <definedName name="hrbs" hidden="1">{#VALUE!,#N/A,FALSE,0;#N/A,#N/A,FALSE,0;#N/A,#N/A,FALSE,0;#N/A,#N/A,FALSE,0;#N/A,#N/A,FALSE,0;#N/A,#N/A,FALSE,0;#N/A,#N/A,FALSE,0}</definedName>
    <definedName name="hrewtwhdg" hidden="1">{#N/A,#N/A,TRUE,"Historicals";#N/A,#N/A,TRUE,"Charts";#N/A,#N/A,TRUE,"Forecasts"}</definedName>
    <definedName name="HR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rtgf" hidden="1">{#N/A,#N/A,TRUE,"Historicals";#N/A,#N/A,TRUE,"Charts";#N/A,#N/A,TRUE,"Forecasts"}</definedName>
    <definedName name="hrthfdghfr" hidden="1">{#N/A,#N/A,TRUE,"Historicals";#N/A,#N/A,TRUE,"Charts";#N/A,#N/A,TRUE,"Forecasts"}</definedName>
    <definedName name="hsdfhe" hidden="1">{#N/A,#N/A,TRUE,"Historicals";#N/A,#N/A,TRUE,"Charts";#N/A,#N/A,TRUE,"Forecasts"}</definedName>
    <definedName name="hshhr" hidden="1">{#N/A,#N/A,TRUE,"Staffnos &amp; cost"}</definedName>
    <definedName name="hsk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htdf" hidden="1">{#N/A,#N/A,TRUE,"Historicals";#N/A,#N/A,TRUE,"Charts";#N/A,#N/A,TRUE,"Forecasts"}</definedName>
    <definedName name="htehdfgd" hidden="1">{#N/A,#N/A,TRUE,"Historicals";#N/A,#N/A,TRUE,"Charts";#N/A,#N/A,TRUE,"Forecasts"}</definedName>
    <definedName name="htehdr" hidden="1">{#N/A,#N/A,TRUE,"Historicals";#N/A,#N/A,TRUE,"Charts";#N/A,#N/A,TRUE,"Forecasts"}</definedName>
    <definedName name="htehythfg" hidden="1">{#N/A,#N/A,TRUE,"Historicals";#N/A,#N/A,TRUE,"Charts";#N/A,#N/A,TRUE,"Forecasts"}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hbgd" hidden="1">{#N/A,#N/A,TRUE,"Historicals";#N/A,#N/A,TRUE,"Charts";#N/A,#N/A,TRUE,"Forecasts"}</definedName>
    <definedName name="hthty" hidden="1">{#N/A,#N/A,TRUE,"Historicals";#N/A,#N/A,TRUE,"Charts";#N/A,#N/A,TRUE,"Forecasts"}</definedName>
    <definedName name="HTLD2" hidden="1">{"'Title Transfer Units6,7,&amp;8'!$A$1:$B$4","'Title Transfer Units6,7,&amp;8'!$C$6"}</definedName>
    <definedName name="HTLKJNG5" hidden="1">{"'Title Transfer Units6,7,&amp;8'!$A$1:$B$4","'Title Transfer Units6,7,&amp;8'!$C$6"}</definedName>
    <definedName name="htlm" hidden="1">{"'LU_GMP'!$A$10:$U$254"}</definedName>
    <definedName name="htm" hidden="1">{"'SIVA Pricing Model'!$A$1:$F$39"}</definedName>
    <definedName name="htm_cc" hidden="1">{"'WS Sales by Rep'!$A$24:$L$46"}</definedName>
    <definedName name="htm_cc_ws" hidden="1">{"'WS Sales by Rep'!$A$24:$L$46"}</definedName>
    <definedName name="htm_cc_ws4" hidden="1">{"'WS Sales by Rep'!$A$24:$L$46"}</definedName>
    <definedName name="htm_cc2" hidden="1">{"'WS Sales by Rep'!$A$24:$L$46"}</definedName>
    <definedName name="htm_cc2_ws" hidden="1">{"'WS Sales by Rep'!$A$24:$L$46"}</definedName>
    <definedName name="htm_cc3" hidden="1">{"'WS Sales by Rep'!$A$24:$L$46"}</definedName>
    <definedName name="htm_cc3_ws" hidden="1">{"'WS Sales by Rep'!$A$24:$L$46"}</definedName>
    <definedName name="htm_cc4" hidden="1">{"'WS Sales by Rep'!$A$24:$L$46"}</definedName>
    <definedName name="HTM_Control" hidden="1">{"'下期集計（10.27迄・速報値）'!$Q$16"}</definedName>
    <definedName name="HTM_control42" hidden="1">{"'Analysis'!$A$1:$B$4,$A$6:$N$129"}</definedName>
    <definedName name="htm_fac" hidden="1">{"'WS Sales by Rep'!$A$24:$L$46"}</definedName>
    <definedName name="htm_fac2" hidden="1">{"'WS Sales by Rep'!$A$24:$L$46"}</definedName>
    <definedName name="htm_fin" hidden="1">{"'WS Sales by Rep'!$A$24:$L$46"}</definedName>
    <definedName name="htm_fin2" hidden="1">{"'WS Sales by Rep'!$A$24:$L$46"}</definedName>
    <definedName name="htm_fin3" hidden="1">{"'WS Sales by Rep'!$A$24:$L$46"}</definedName>
    <definedName name="htm_fin4" hidden="1">{"'WS Sales by Rep'!$A$24:$L$46"}</definedName>
    <definedName name="htm_fin5" hidden="1">{"'WS Sales by Rep'!$A$24:$L$46"}</definedName>
    <definedName name="htm_ga" hidden="1">{"'WS Sales by Rep'!$A$24:$L$46"}</definedName>
    <definedName name="htm_ga_fin" hidden="1">{"'WS Sales by Rep'!$A$24:$L$46"}</definedName>
    <definedName name="htm_hr" hidden="1">{"'WS Sales by Rep'!$A$24:$L$46"}</definedName>
    <definedName name="htm_hr2" hidden="1">{"'WS Sales by Rep'!$A$24:$L$46"}</definedName>
    <definedName name="htm_plan_cc" hidden="1">{"'WS Sales by Rep'!$A$24:$L$46"}</definedName>
    <definedName name="htm_plan_cc2" hidden="1">{"'WS Sales by Rep'!$A$24:$L$46"}</definedName>
    <definedName name="htm_plan_fin5" hidden="1">{"'WS Sales by Rep'!$A$24:$L$46"}</definedName>
    <definedName name="htm_plana" hidden="1">{"'WS Sales by Rep'!$A$24:$L$46"}</definedName>
    <definedName name="htm_plana_fin" hidden="1">{"'WS Sales by Rep'!$A$24:$L$46"}</definedName>
    <definedName name="htm_planfac" hidden="1">{"'WS Sales by Rep'!$A$24:$L$46"}</definedName>
    <definedName name="htm_planfin" hidden="1">{"'WS Sales by Rep'!$A$24:$L$46"}</definedName>
    <definedName name="htm_planhr" hidden="1">{"'WS Sales by Rep'!$A$24:$L$46"}</definedName>
    <definedName name="htm_ws" hidden="1">{"'WS Sales by Rep'!$A$24:$L$46"}</definedName>
    <definedName name="HTML" hidden="1">{"'Data'!$A$1:$D$17"}</definedName>
    <definedName name="HTML_24" hidden="1">{"'Data'!$A$1:$D$17"}</definedName>
    <definedName name="HTML_CodePage" hidden="1">1250</definedName>
    <definedName name="HTML_contol2" hidden="1">{"'ALUMINIO'!$A$26:$K$53"}</definedName>
    <definedName name="HTML_Control" hidden="1">{"'Munka1'!$B$1:$G$101"}</definedName>
    <definedName name="HTML_Control_bis" hidden="1">{"'Sheet1'!$A$1:$O$22"}</definedName>
    <definedName name="html_control_cc" hidden="1">{"'WS Sales by Rep'!$A$24:$L$46"}</definedName>
    <definedName name="html_control_cc2" hidden="1">{"'WS Sales by Rep'!$A$24:$L$46"}</definedName>
    <definedName name="html_control_cc3" hidden="1">{"'WS Sales by Rep'!$A$24:$L$46"}</definedName>
    <definedName name="html_control_cc4" hidden="1">{"'WS Sales by Rep'!$A$24:$L$46"}</definedName>
    <definedName name="html_control_fac" hidden="1">{"'WS Sales by Rep'!$A$24:$L$46"}</definedName>
    <definedName name="html_control_fac2" hidden="1">{"'WS Sales by Rep'!$A$24:$L$46"}</definedName>
    <definedName name="HTML_Control_fin" hidden="1">{"'WS Sales by Rep'!$A$24:$L$46"}</definedName>
    <definedName name="html_control_fin2" hidden="1">{"'WS Sales by Rep'!$A$24:$L$46"}</definedName>
    <definedName name="html_control_fin3" hidden="1">{"'WS Sales by Rep'!$A$24:$L$46"}</definedName>
    <definedName name="html_control_fin4" hidden="1">{"'WS Sales by Rep'!$A$24:$L$46"}</definedName>
    <definedName name="html_control_fin5" hidden="1">{"'WS Sales by Rep'!$A$24:$L$46"}</definedName>
    <definedName name="html_control_fin6" hidden="1">{"'WS Sales by Rep'!$A$24:$L$46"}</definedName>
    <definedName name="html_control_finance" hidden="1">{"'WS Sales by Rep'!$A$24:$L$46"}</definedName>
    <definedName name="html_control_ga" hidden="1">{"'WS Sales by Rep'!$A$24:$L$46"}</definedName>
    <definedName name="html_control_hr" hidden="1">{"'WS Sales by Rep'!$A$24:$L$46"}</definedName>
    <definedName name="html_control_hr2" hidden="1">{"'WS Sales by Rep'!$A$24:$L$46"}</definedName>
    <definedName name="html_control_plan_cc" hidden="1">{"'WS Sales by Rep'!$A$24:$L$46"}</definedName>
    <definedName name="html_control_plan_cc3" hidden="1">{"'WS Sales by Rep'!$A$24:$L$46"}</definedName>
    <definedName name="html_control_plana" hidden="1">{"'WS Sales by Rep'!$A$24:$L$46"}</definedName>
    <definedName name="html_control_planfac" hidden="1">{"'WS Sales by Rep'!$A$24:$L$46"}</definedName>
    <definedName name="html_control_planfin" hidden="1">{"'WS Sales by Rep'!$A$24:$L$46"}</definedName>
    <definedName name="html_control_planfin2" hidden="1">{"'WS Sales by Rep'!$A$24:$L$46"}</definedName>
    <definedName name="html_control_planhr" hidden="1">{"'WS Sales by Rep'!$A$24:$L$46"}</definedName>
    <definedName name="Html_control1" hidden="1">{"'Perf 96'!$A$1:$P$98"}</definedName>
    <definedName name="HTML_Control10" hidden="1">{"'Data'!$A$1:$D$17"}</definedName>
    <definedName name="HTML_Control11" hidden="1">{"'Data'!$A$1:$D$17"}</definedName>
    <definedName name="HTML_Control12" hidden="1">{"'Data'!$A$1:$D$17"}</definedName>
    <definedName name="HTML_Control13" hidden="1">{"'Data'!$A$1:$D$17"}</definedName>
    <definedName name="HTML_Control14" hidden="1">{"'Data'!$A$1:$D$17"}</definedName>
    <definedName name="HTML_Control15" hidden="1">{"'Data'!$A$1:$D$17"}</definedName>
    <definedName name="HTML_Control16" hidden="1">{"'Data'!$A$1:$D$17"}</definedName>
    <definedName name="HTML_Control17" hidden="1">{"'Data'!$A$1:$D$17"}</definedName>
    <definedName name="HTML_Control18" hidden="1">{"'Data'!$A$1:$D$17"}</definedName>
    <definedName name="HTML_Control19" hidden="1">{"'Data'!$A$1:$D$17"}</definedName>
    <definedName name="HTML_Control2" hidden="1">{"'SIVA Pricing Model'!$A$1:$F$39"}</definedName>
    <definedName name="HTML_Control20" hidden="1">{"'Data'!$A$1:$D$17"}</definedName>
    <definedName name="HTML_Control21" hidden="1">{"'Data'!$A$1:$D$17"}</definedName>
    <definedName name="HTML_Control23" hidden="1">{"'Data'!$A$1:$D$17"}</definedName>
    <definedName name="HTML_Control24" hidden="1">{"'Data'!$A$1:$D$17"}</definedName>
    <definedName name="HTML_Control25" hidden="1">{"'Data'!$A$1:$D$17"}</definedName>
    <definedName name="HTML_Control26" hidden="1">{"'Data'!$A$1:$D$17"}</definedName>
    <definedName name="HTML_Control27" hidden="1">{"'Data'!$A$1:$D$17"}</definedName>
    <definedName name="HTML_Control28" hidden="1">{"'Data'!$A$1:$D$17"}</definedName>
    <definedName name="HTML_Control29" hidden="1">{"'Data'!$A$1:$D$17"}</definedName>
    <definedName name="HTML_Control3" hidden="1">{"'SIVA Pricing Model'!$A$1:$F$39"}</definedName>
    <definedName name="HTML_Control30" hidden="1">{"'Data'!$A$1:$D$17"}</definedName>
    <definedName name="HTML_Control31" hidden="1">{"'Data'!$A$1:$D$17"}</definedName>
    <definedName name="HTML_Control32" hidden="1">{"'Data'!$A$1:$D$17"}</definedName>
    <definedName name="HTML_Control33" hidden="1">{"'Data'!$A$1:$D$17"}</definedName>
    <definedName name="HTML_Control34" hidden="1">{"'Data'!$A$1:$D$17"}</definedName>
    <definedName name="html_Control38" hidden="1">{"'Data'!$A$1:$D$17"}</definedName>
    <definedName name="HTML_Control4" hidden="1">{"'Data'!$A$1:$D$17"}</definedName>
    <definedName name="HTML_Control5" hidden="1">{"'SIVA Pricing Model'!$A$1:$F$39"}</definedName>
    <definedName name="HTML_Control6" hidden="1">{"'Data'!$A$1:$D$17"}</definedName>
    <definedName name="HTML_Control7" hidden="1">{"'Data'!$A$1:$D$17"}</definedName>
    <definedName name="HTML_Control8" hidden="1">{"'Data'!$A$1:$D$17"}</definedName>
    <definedName name="HTML_Control9" hidden="1">{"'Data'!$A$1:$D$17"}</definedName>
    <definedName name="HTML_Controla" hidden="1">{"'FXRates AUD'!$AH$586"}</definedName>
    <definedName name="HTML_contuol234" hidden="1">{"'Data'!$A$1:$D$17"}</definedName>
    <definedName name="HTML_Ctrol" hidden="1">{"'Title Transfer Units6,7,&amp;8'!$A$1:$B$4","'Title Transfer Units6,7,&amp;8'!$C$6"}</definedName>
    <definedName name="HTML_Ctrol2" hidden="1">{"'Title Transfer Units6,7,&amp;8'!$A$1:$B$4","'Title Transfer Units6,7,&amp;8'!$C$6"}</definedName>
    <definedName name="HTML_Description" hidden="1">"Umsatz in dem aktuellen Monat und aufgelaufen für das Jahr 1999"</definedName>
    <definedName name="HTML_Email" hidden="1">"arpkffin@mail.matav.hu"</definedName>
    <definedName name="HTML_Header" hidden="1">"Umsatz, Ist/Plan CabTec Kft 1999"</definedName>
    <definedName name="HTML_LastUpdate" hidden="1">"1999.11.23."</definedName>
    <definedName name="HTML_LineAfter" hidden="1">FALSE</definedName>
    <definedName name="HTML_LineBefore" hidden="1">FALSE</definedName>
    <definedName name="HTML_Name" hidden="1">"Szabó István"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"C:\a\Excel\HTML\Umsatzak.htm"</definedName>
    <definedName name="HTML_PathFileMac" hidden="1">"Macintosh HD:HomePageStuff:New_Home_Page:datafile:ctryprem.html"</definedName>
    <definedName name="HTML_PathTemplate" hidden="1">"G:\ST_Forecast\html\master_w.htm"</definedName>
    <definedName name="HTML_Title" hidden="1">"Umsatz, aktuell"</definedName>
    <definedName name="HTML1" hidden="1">{"'Title Transfer Units6,7,&amp;8'!$A$1:$B$4","'Title Transfer Units6,7,&amp;8'!$C$6"}</definedName>
    <definedName name="HTML1_1" hidden="1">"'[internet 98q4.xls]xcontact'!$A$1:$F$114"</definedName>
    <definedName name="HTML1_10" hidden="1">""</definedName>
    <definedName name="HTML1_11" hidden="1">1</definedName>
    <definedName name="HTML1_12" hidden="1">"D:\data\xl\MyHTML.htm"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"internet 98q4.xls"</definedName>
    <definedName name="HTML1_4" hidden="1">"xcontact"</definedName>
    <definedName name="HTML1_5" hidden="1">""</definedName>
    <definedName name="HTML1_6" hidden="1">-4146</definedName>
    <definedName name="HTML1_7" hidden="1">-4146</definedName>
    <definedName name="HTML1_8" hidden="1">"15/10/1998"</definedName>
    <definedName name="HTML1_9" hidden="1">"GEORGIADES"</definedName>
    <definedName name="HTML10_10" hidden="1">""</definedName>
    <definedName name="HTML10_11" hidden="1">1</definedName>
    <definedName name="HTML10_2" hidden="1">1</definedName>
    <definedName name="HTML10_3" hidden="1">"Weekly Antihistamine Volume Report"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"7/13/98"</definedName>
    <definedName name="HTML10_9" hidden="1">"James Grote"</definedName>
    <definedName name="HTML11_10" hidden="1">""</definedName>
    <definedName name="HTML11_11" hidden="1">1</definedName>
    <definedName name="HTML11_2" hidden="1">1</definedName>
    <definedName name="HTML11_3" hidden="1">"Weekly New Prescription Report"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"6/5/98"</definedName>
    <definedName name="HTML11_9" hidden="1">"James Grote"</definedName>
    <definedName name="HTML12_10" hidden="1">""</definedName>
    <definedName name="HTML12_11" hidden="1">1</definedName>
    <definedName name="HTML12_2" hidden="1">1</definedName>
    <definedName name="HTML12_3" hidden="1">"Weekly Total Prescription Report"</definedName>
    <definedName name="HTML12_4" hidden="1">" "</definedName>
    <definedName name="HTML12_5" hidden="1">""</definedName>
    <definedName name="HTML12_6" hidden="1">-4146</definedName>
    <definedName name="HTML12_7" hidden="1">-4146</definedName>
    <definedName name="HTML12_8" hidden="1">"7/6/98"</definedName>
    <definedName name="HTML12_9" hidden="1">"James Grote"</definedName>
    <definedName name="HTML13_10" hidden="1">""</definedName>
    <definedName name="HTML13_11" hidden="1">1</definedName>
    <definedName name="HTML13_2" hidden="1">1</definedName>
    <definedName name="HTML13_3" hidden="1">"Weekly New Prescription Report"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"7/6/98"</definedName>
    <definedName name="HTML13_9" hidden="1">"James Grote"</definedName>
    <definedName name="HTML14_10" hidden="1">""</definedName>
    <definedName name="HTML14_11" hidden="1">1</definedName>
    <definedName name="HTML14_2" hidden="1">1</definedName>
    <definedName name="HTML14_3" hidden="1">"Weekly TRx Volume"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"6/19/98"</definedName>
    <definedName name="HTML14_9" hidden="1">"James Grote"</definedName>
    <definedName name="HTML15_10" hidden="1">""</definedName>
    <definedName name="HTML15_11" hidden="1">1</definedName>
    <definedName name="HTML15_2" hidden="1">1</definedName>
    <definedName name="HTML15_3" hidden="1">"Weekly TRx Volume"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"7/13/98"</definedName>
    <definedName name="HTML15_9" hidden="1">"James Grote"</definedName>
    <definedName name="HTML16_10" hidden="1">""</definedName>
    <definedName name="HTML16_11" hidden="1">1</definedName>
    <definedName name="HTML16_2" hidden="1">1</definedName>
    <definedName name="HTML16_3" hidden="1">"Weekly Antihistamine NRx Volume"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"7/6/98"</definedName>
    <definedName name="HTML16_9" hidden="1">"James Grote"</definedName>
    <definedName name="HTML17_10" hidden="1">""</definedName>
    <definedName name="HTML17_11" hidden="1">1</definedName>
    <definedName name="HTML17_2" hidden="1">1</definedName>
    <definedName name="HTML17_3" hidden="1">"Weekly NRx Page"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"7/13/98"</definedName>
    <definedName name="HTML17_9" hidden="1">"James Grote"</definedName>
    <definedName name="HTML18_10" hidden="1">""</definedName>
    <definedName name="HTML18_11" hidden="1">1</definedName>
    <definedName name="HTML18_2" hidden="1">1</definedName>
    <definedName name="HTML18_3" hidden="1">"Weekly TRx Page"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"7/13/98"</definedName>
    <definedName name="HTML18_9" hidden="1">"James Grote"</definedName>
    <definedName name="HTML19_10" hidden="1">""</definedName>
    <definedName name="HTML19_11" hidden="1">1</definedName>
    <definedName name="HTML19_2" hidden="1">1</definedName>
    <definedName name="HTML19_3" hidden="1">"Weekly Total Prescription Summary"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"7/17/98"</definedName>
    <definedName name="HTML19_9" hidden="1">"James Grote"</definedName>
    <definedName name="HTML2" hidden="1">{"'B1'!$B$3:$E$3"}</definedName>
    <definedName name="HTML2_1" hidden="1">"'[internet 98q4.xls]xcontact'!$A$2:$F$114"</definedName>
    <definedName name="HTML2_10" hidden="1">""</definedName>
    <definedName name="HTML2_11" hidden="1">1</definedName>
    <definedName name="HTML2_12" hidden="1">"D:\data\xl\MyHTML.htm"</definedName>
    <definedName name="HTML2_13" hidden="1">#N/A</definedName>
    <definedName name="HTML2_14" hidden="1">#N/A</definedName>
    <definedName name="HTML2_15" hidden="1">#N/A</definedName>
    <definedName name="HTML2_2" hidden="1">1</definedName>
    <definedName name="HTML2_3" hidden="1">"internet 98q4.xls"</definedName>
    <definedName name="HTML2_4" hidden="1">"xcontact"</definedName>
    <definedName name="HTML2_5" hidden="1">""</definedName>
    <definedName name="HTML2_6" hidden="1">-4146</definedName>
    <definedName name="HTML2_7" hidden="1">-4146</definedName>
    <definedName name="HTML2_8" hidden="1">"15/10/1998"</definedName>
    <definedName name="HTML2_9" hidden="1">"GEORGIADES"</definedName>
    <definedName name="HTML20_10" hidden="1">""</definedName>
    <definedName name="HTML20_11" hidden="1">1</definedName>
    <definedName name="HTML20_2" hidden="1">1</definedName>
    <definedName name="HTML20_3" hidden="1">"Weekly New Prescription Page"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"8/3/98"</definedName>
    <definedName name="HTML20_9" hidden="1">"James Grote"</definedName>
    <definedName name="HTML21_10" hidden="1">""</definedName>
    <definedName name="HTML21_11" hidden="1">1</definedName>
    <definedName name="HTML21_2" hidden="1">1</definedName>
    <definedName name="HTML21_3" hidden="1">"Weekly Total Prescription Page"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"8/3/98"</definedName>
    <definedName name="HTML21_9" hidden="1">"James Grote"</definedName>
    <definedName name="HTML22_10" hidden="1">""</definedName>
    <definedName name="HTML22_11" hidden="1">1</definedName>
    <definedName name="HTML22_2" hidden="1">1</definedName>
    <definedName name="HTML22_3" hidden="1">"Weekly Antihistamine NRx Volume"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"8/3/98"</definedName>
    <definedName name="HTML22_9" hidden="1">"James Grote"</definedName>
    <definedName name="HTML23_10" hidden="1">""</definedName>
    <definedName name="HTML23_11" hidden="1">1</definedName>
    <definedName name="HTML23_2" hidden="1">1</definedName>
    <definedName name="HTML23_3" hidden="1">"Weekly Antihistamine TRx Volume"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"8/3/98"</definedName>
    <definedName name="HTML23_9" hidden="1">"James Grote"</definedName>
    <definedName name="HTML24_10" hidden="1">""</definedName>
    <definedName name="HTML24_11" hidden="1">1</definedName>
    <definedName name="HTML24_2" hidden="1">1</definedName>
    <definedName name="HTML24_3" hidden="1">"Weekly NRx Report"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"8/10/98"</definedName>
    <definedName name="HTML24_9" hidden="1">"James Grote"</definedName>
    <definedName name="HTML25_10" hidden="1">""</definedName>
    <definedName name="HTML25_11" hidden="1">1</definedName>
    <definedName name="HTML25_2" hidden="1">1</definedName>
    <definedName name="HTML25_3" hidden="1">"Weekly TRx Report"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"8/10/98"</definedName>
    <definedName name="HTML25_9" hidden="1">"James Grote"</definedName>
    <definedName name="HTML26_10" hidden="1">""</definedName>
    <definedName name="HTML26_11" hidden="1">1</definedName>
    <definedName name="HTML26_2" hidden="1">1</definedName>
    <definedName name="HTML26_3" hidden="1">"Weekly New Antihistamine Volume"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"9/7/98"</definedName>
    <definedName name="HTML26_9" hidden="1">"James Grote"</definedName>
    <definedName name="HTML27_10" hidden="1">""</definedName>
    <definedName name="HTML27_11" hidden="1">1</definedName>
    <definedName name="HTML27_2" hidden="1">1</definedName>
    <definedName name="HTML27_3" hidden="1">"Weekly Total Antihistamine Volume"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"9/7/98"</definedName>
    <definedName name="HTML27_9" hidden="1">"James Grote"</definedName>
    <definedName name="HTML28_10" hidden="1">""</definedName>
    <definedName name="HTML28_11" hidden="1">1</definedName>
    <definedName name="HTML28_2" hidden="1">1</definedName>
    <definedName name="HTML28_3" hidden="1">"Weekly TRx Report"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"8/10/98"</definedName>
    <definedName name="HTML28_9" hidden="1">"James Grote"</definedName>
    <definedName name="HTML29_10" hidden="1">""</definedName>
    <definedName name="HTML29_11" hidden="1">1</definedName>
    <definedName name="HTML29_2" hidden="1">1</definedName>
    <definedName name="HTML29_3" hidden="1">"Weekly NRx Report"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"8/10/98"</definedName>
    <definedName name="HTML29_9" hidden="1">"James Grote"</definedName>
    <definedName name="HTML3_1" hidden="1">"'[internet 98q4.xls]xlist3'!$A$3:$E$175"</definedName>
    <definedName name="HTML3_10" hidden="1">""</definedName>
    <definedName name="HTML3_11" hidden="1">-4146</definedName>
    <definedName name="HTML3_12" hidden="1">"D:\data\aaa html\national2.htm"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"internet 98q4.xls"</definedName>
    <definedName name="HTML3_4" hidden="1">"xlist3"</definedName>
    <definedName name="HTML3_5" hidden="1">""</definedName>
    <definedName name="HTML3_6" hidden="1">-4146</definedName>
    <definedName name="HTML3_7" hidden="1">-4146</definedName>
    <definedName name="HTML3_8" hidden="1">"15/10/1998"</definedName>
    <definedName name="HTML3_9" hidden="1">"GEORGIADES"</definedName>
    <definedName name="HTML30_10" hidden="1">""</definedName>
    <definedName name="HTML30_11" hidden="1">1</definedName>
    <definedName name="HTML30_2" hidden="1">1</definedName>
    <definedName name="HTML30_3" hidden="1">"Weekly TRx Report"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"8/10/98"</definedName>
    <definedName name="HTML30_9" hidden="1">"James Grote"</definedName>
    <definedName name="HTML31_10" hidden="1">""</definedName>
    <definedName name="HTML31_11" hidden="1">1</definedName>
    <definedName name="HTML31_2" hidden="1">1</definedName>
    <definedName name="HTML31_3" hidden="1">"Weekly NRx Page"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0" hidden="1">""</definedName>
    <definedName name="HTML32_11" hidden="1">1</definedName>
    <definedName name="HTML32_2" hidden="1">1</definedName>
    <definedName name="HTML32_3" hidden="1">"Weekly TRx Page"</definedName>
    <definedName name="HTML32_4" hidden="1">""</definedName>
    <definedName name="HTML32_5" hidden="1">""</definedName>
    <definedName name="HTML32_6" hidden="1">-4146</definedName>
    <definedName name="HTML32_7" hidden="1">-4146</definedName>
    <definedName name="HTML32_8" hidden="1">"9/7/98"</definedName>
    <definedName name="HTML32_9" hidden="1">"James Grote"</definedName>
    <definedName name="HTML4_1" hidden="1">"'[internet 98q4.xls]x1.2'!$B$5:$C$25"</definedName>
    <definedName name="HTML4_10" hidden="1">""</definedName>
    <definedName name="HTML4_11" hidden="1">1</definedName>
    <definedName name="HTML4_12" hidden="1">"D:\data\aaa html\test1.htm"</definedName>
    <definedName name="HTML4_13" hidden="1">#N/A</definedName>
    <definedName name="HTML4_14" hidden="1">#N/A</definedName>
    <definedName name="HTML4_15" hidden="1">#N/A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0" hidden="1">""</definedName>
    <definedName name="HTML5_11" hidden="1">-4146</definedName>
    <definedName name="HTML5_12" hidden="1">"C:\current\12.htm"</definedName>
    <definedName name="HTML5_2" hidden="1">1</definedName>
    <definedName name="HTML5_3" hidden="1">"1Q99 10Q"</definedName>
    <definedName name="HTML5_4" hidden="1">"Exhibit 12"</definedName>
    <definedName name="HTML5_5" hidden="1">""</definedName>
    <definedName name="HTML5_6" hidden="1">-4146</definedName>
    <definedName name="HTML5_7" hidden="1">-4146</definedName>
    <definedName name="HTML5_8" hidden="1">"05/24/1999"</definedName>
    <definedName name="HTML5_9" hidden="1">"General Electric"</definedName>
    <definedName name="HTML6_10" hidden="1">""</definedName>
    <definedName name="HTML6_11" hidden="1">1</definedName>
    <definedName name="HTML6_2" hidden="1">1</definedName>
    <definedName name="HTML6_3" hidden="1">"Weekly Allergy Volume Page"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0" hidden="1">""</definedName>
    <definedName name="HTML7_11" hidden="1">1</definedName>
    <definedName name="HTML7_2" hidden="1">1</definedName>
    <definedName name="HTML7_3" hidden="1">"Weekly Allergy Volume Report"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 "</definedName>
    <definedName name="HTML8_10" hidden="1">""</definedName>
    <definedName name="HTML8_11" hidden="1">1</definedName>
    <definedName name="HTML8_2" hidden="1">1</definedName>
    <definedName name="HTML8_3" hidden="1">"Weekly Antihistamine Volume Data"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"6/5/98"</definedName>
    <definedName name="HTML8_9" hidden="1">"James Grote"</definedName>
    <definedName name="HTML9_10" hidden="1">""</definedName>
    <definedName name="HTML9_11" hidden="1">1</definedName>
    <definedName name="HTML9_2" hidden="1">1</definedName>
    <definedName name="HTML9_3" hidden="1">"Weekly Antihistamine Volme Report"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"6/8/98"</definedName>
    <definedName name="HTML9_9" hidden="1">"James Grote"</definedName>
    <definedName name="HTMLCount" hidden="1">4</definedName>
    <definedName name="htmll2" hidden="1">{"'Sample Status'!$A$1:$J$21"}</definedName>
    <definedName name="HTNL3" hidden="1">{"'Title Transfer Units6,7,&amp;8'!$A$1:$B$4","'Title Transfer Units6,7,&amp;8'!$C$6"}</definedName>
    <definedName name="htre" hidden="1">{#N/A,#N/A,TRUE,"Historicals";#N/A,#N/A,TRUE,"Charts";#N/A,#N/A,TRUE,"Forecasts"}</definedName>
    <definedName name="htrehd" hidden="1">{#N/A,#N/A,TRUE,"Historicals";#N/A,#N/A,TRUE,"Charts";#N/A,#N/A,TRUE,"Forecasts"}</definedName>
    <definedName name="htrhehdf" hidden="1">{#N/A,#N/A,TRUE,"Historicals";#N/A,#N/A,TRUE,"Charts";#N/A,#N/A,TRUE,"Forecasts"}</definedName>
    <definedName name="htrhfg" hidden="1">{#N/A,#N/A,TRUE,"Historicals";#N/A,#N/A,TRUE,"Charts";#N/A,#N/A,TRUE,"Forecasts"}</definedName>
    <definedName name="htrhtrh" hidden="1">{#N/A,#N/A,TRUE,"Historicals";#N/A,#N/A,TRUE,"Charts";#N/A,#N/A,TRUE,"Forecasts"}</definedName>
    <definedName name="htyrht" hidden="1">{#N/A,#N/A,TRUE,"Historicals";#N/A,#N/A,TRUE,"Charts";#N/A,#N/A,TRUE,"Forecasts"}</definedName>
    <definedName name="htyuityuiotio" hidden="1">{#N/A,#N/A,FALSE,"REPORT"}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go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Uh" hidden="1">{"'Standalone List Price Trends'!$A$1:$X$56"}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i" hidden="1">{"Sum1",#N/A,FALSE,"Reserve Report";"Sum2",#N/A,FALSE,"Reserve Report";"Sum3",#N/A,FALSE,"Reserve Report";"Sum4",#N/A,FALSE,"Reserve Report"}</definedName>
    <definedName name="huj" hidden="1">{"SCM_Detail",#N/A,FALSE,"SCM";"SCM_Top",#N/A,FALSE,"SCM"}</definedName>
    <definedName name="hurz" hidden="1">{#N/A,#N/A,FALSE,"WOB_1.XLS";#N/A,#N/A,FALSE,"WOB_2.XLS";#N/A,#N/A,FALSE,"WOB_3.XLS";#N/A,#N/A,FALSE,"WOB_4.XLS";#N/A,#N/A,FALSE,"WOB_5.XLS"}</definedName>
    <definedName name="hurz2" hidden="1">{#N/A,#N/A,FALSE,"WOBE_DE.XLS";#N/A,#N/A,FALSE,"WOB_1.XLS";#N/A,#N/A,FALSE,"WOB_2.XLS";#N/A,#N/A,FALSE,"WOB_3.XLS";#N/A,#N/A,FALSE,"WOB_4.XLS";#N/A,#N/A,FALSE,"WOB_5.XLS"}</definedName>
    <definedName name="hurz3" hidden="1">{#N/A,#N/A,FALSE,"WOB_1.XLS";#N/A,#N/A,FALSE,"WOB_2.XLS";#N/A,#N/A,FALSE,"WOB_3.XLS";#N/A,#N/A,FALSE,"WOB_4.XLS";#N/A,#N/A,FALSE,"WOB_5.XLS"}</definedName>
    <definedName name="hurz4" hidden="1">{#N/A,#N/A,FALSE,"WOBE_DE.XLS";#N/A,#N/A,FALSE,"WOB_1.XLS";#N/A,#N/A,FALSE,"WOB_2.XLS";#N/A,#N/A,FALSE,"WOB_3.XLS";#N/A,#N/A,FALSE,"WOB_4.XLS";#N/A,#N/A,FALSE,"WOB_5.XLS"}</definedName>
    <definedName name="hurz5" hidden="1">{#N/A,#N/A,FALSE,"WOB_1.XLS";#N/A,#N/A,FALSE,"WOB_2.XLS";#N/A,#N/A,FALSE,"WOB_3.XLS";#N/A,#N/A,FALSE,"WOB_4.XLS";#N/A,#N/A,FALSE,"WOB_5.XLS"}</definedName>
    <definedName name="huy" hidden="1">{"'Sheet1'!$L$16"}</definedName>
    <definedName name="HvSAutomaticLabelingDisabled" hidden="1">"True"</definedName>
    <definedName name="HvSClassificationId" hidden="1">"d4c75f49-f1ee-485c-aa75-2c54e2ab5223"</definedName>
    <definedName name="HvSOldClassificationId" hidden="1">"d4c75f49-f1ee-485c-aa75-2c54e2ab5223"</definedName>
    <definedName name="HvSPrefix" hidden="1">"Lorange"</definedName>
    <definedName name="HvSPreviousClassificationId" hidden="1">"d4c75f49-f1ee-485c-aa75-2c54e2ab5223"</definedName>
    <definedName name="HvSShowClassificationRequestWindow" hidden="1">"False"</definedName>
    <definedName name="HvSWorkbookInitialized" hidden="1">"False"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o" hidden="1">{#N/A,#N/A,FALSE,"Pharm";#N/A,#N/A,FALSE,"WWCM"}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rf" hidden="1">{#N/A,#N/A,TRUE,"Historicals";#N/A,#N/A,TRUE,"Charts";#N/A,#N/A,TRUE,"Forecasts"}</definedName>
    <definedName name="hzihz" hidden="1">{#N/A,#N/A,FALSE,"M1";#N/A,#N/A,FALSE,"K7";#N/A,#N/A,FALSE,"K6";#N/A,#N/A,FALSE,"K5";#N/A,#N/A,FALSE,"K4";#N/A,#N/A,FALSE,"K3";#N/A,#N/A,FALSE,"K2";#N/A,#N/A,FALSE,"K1"}</definedName>
    <definedName name="I68Y" hidden="1">{"'Demand Units'!$X$11:$AD$45"}</definedName>
    <definedName name="i8uitiu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IA" hidden="1">{"SCM_Detail",#N/A,FALSE,"SCM";"SCM_Top",#N/A,FALSE,"SCM"}</definedName>
    <definedName name="ibnjks" hidden="1">{"detail",#N/A,FALSE,"mfg";"summary",#N/A,FALSE,"mfg"}</definedName>
    <definedName name="idid" hidden="1">{#N/A,#N/A,FALSE,"단축1";#N/A,#N/A,FALSE,"단축2";#N/A,#N/A,FALSE,"단축3";#N/A,#N/A,FALSE,"장축";#N/A,#N/A,FALSE,"4WD"}</definedName>
    <definedName name="IDL.Connector.UDF" hidden="1">0</definedName>
    <definedName name="IDL.Connector.Version" hidden="1">"16.1.0.0"</definedName>
    <definedName name="IDL.Connector.Version2011" hidden="1">"10.0.0.4"</definedName>
    <definedName name="IDL.Connector.Version2012" hidden="1">"10.0.0.4"</definedName>
    <definedName name="IEPeXToEUR" hidden="1">1/EUReXToIEP</definedName>
    <definedName name="ierj" hidden="1">{"weichwaren",#N/A,FALSE,"Liste 1";"hartwaren",#N/A,FALSE,"Liste 1";"food",#N/A,FALSE,"Liste 1";"fleisch",#N/A,FALSE,"Liste 1"}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IENE" hidden="1">{"FY97Total var",#N/A,FALSE,"FY97 - Total";"FY98Total var",#N/A,FALSE,"FY98 - Total"}</definedName>
    <definedName name="IHE" hidden="1">#REF!</definedName>
    <definedName name="ihuygvd" hidden="1">{#N/A,#N/A,FALSE,"초도품";#N/A,#N/A,FALSE,"초도품 (2)";#N/A,#N/A,FALSE,"초도품 (3)";#N/A,#N/A,FALSE,"초도품 (4)";#N/A,#N/A,FALSE,"초도품 (5)";#N/A,#N/A,FALSE,"초도품 (6)"}</definedName>
    <definedName name="ii" hidden="1">{"Tariff Comparison",#N/A,FALSE,"Benchmarking";"Tariff Comparison 2",#N/A,FALSE,"Benchmarking";"Tariff Comparison 3",#N/A,FALSE,"Benchmarking"}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{"detail",#N/A,FALSE,"mfg";"summary",#N/A,FALSE,"mfg"}</definedName>
    <definedName name="IIII" hidden="1">{#N/A,#N/A,FALSE,"단축1";#N/A,#N/A,FALSE,"단축2";#N/A,#N/A,FALSE,"단축3";#N/A,#N/A,FALSE,"장축";#N/A,#N/A,FALSE,"4WD"}</definedName>
    <definedName name="iiiii" hidden="1">{#N/A,#N/A,FALSE,"Calc";#N/A,#N/A,FALSE,"Sensitivity";#N/A,#N/A,FALSE,"LT Earn.Dil.";#N/A,#N/A,FALSE,"Dil. AVP"}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{"casespecific",#N/A,FALSE,"Assumptions"}</definedName>
    <definedName name="iki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ikiooo" hidden="1">{"'Other IPS'!$A$5","'Other IPS'!$A$4:$K$38"}</definedName>
    <definedName name="ilöul" hidden="1">{#N/A,#N/A,FALSE,"Layout GuV"}</definedName>
    <definedName name="imeclosedthreads" hidden="1">41918.5692013889</definedName>
    <definedName name="Img_ML_3c7g1a7g" hidden="1">"IMG_3"</definedName>
    <definedName name="Img_ML_7g5e5e2b" hidden="1">"IMG_3"</definedName>
    <definedName name="Img_ML_8h7g4d4d" hidden="1">"IMG_3"</definedName>
    <definedName name="Img_Production_Breakdown" hidden="1">"IMG_3"</definedName>
    <definedName name="imj" hidden="1">{#N/A,#N/A,FALSE,"Aging Summary";#N/A,#N/A,FALSE,"Ratio Analysis";#N/A,#N/A,FALSE,"Test 120 Day Accts";#N/A,#N/A,FALSE,"Tickmarks"}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entive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flList" hidden="1">"11011000000000000000000000000000000000000000000000000000000000000000000000000000000000000000000000000000000000000000000000000000000000000000000000000000000000000000000000000000000000000000000000000000"</definedName>
    <definedName name="INFO_BI_EXE_NAME" hidden="1">"BICEVOLUTION.EXE"</definedName>
    <definedName name="INFO_EXE_SERVER_PATH" hidden="1">"C:\Program Files (x86)\Pastel Evolution\BICEVOLUTION.EXE"</definedName>
    <definedName name="INFO_INSTANCE_ID" hidden="1">"0"</definedName>
    <definedName name="INFO_INSTANCE_NAME" hidden="1">"Copy of Attix5 Consolidated Management March_Jay_20141030_15_21_40_2121.xls"</definedName>
    <definedName name="INFO_REPORT_CODE" hidden="1">"E4-GL01-3-5"</definedName>
    <definedName name="INFO_REPORT_ID" hidden="1">"2"</definedName>
    <definedName name="INFO_REPORT_NAME" hidden="1">"A5 Consolidated Management Pack D-3-5"</definedName>
    <definedName name="INFO_RUN_USER" hidden="1">""</definedName>
    <definedName name="INFO_RUN_WORKSTATION" hidden="1">"A5-EVO-GATEWAY"</definedName>
    <definedName name="ingjks" hidden="1">{"detail",#N/A,FALSE,"mfg";"summary",#N/A,FALSE,"mfg"}</definedName>
    <definedName name="ingo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haltsverzeichnis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iniske" hidden="1">{"detail",#N/A,FALSE,"mfg";"summary",#N/A,FALSE,"mfg"}</definedName>
    <definedName name="inksl" hidden="1">{"detail",#N/A,FALSE,"mfg";"summary",#N/A,FALSE,"mfg"}</definedName>
    <definedName name="INL.Connector.Version2014" hidden="1">"10.0.0.4"</definedName>
    <definedName name="INL.Connector.VersionQ3" hidden="1">"10.0.0.4"</definedName>
    <definedName name="Input_Prognos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int_ext_sel" hidden="1">1</definedName>
    <definedName name="INTANGIBLES_NET" hidden="1">"INTANGIBLES_NET"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imHeading" hidden="1">16777215</definedName>
    <definedName name="IntroPrintArea" hidden="1">#REF!</definedName>
    <definedName name="invcap" hidden="1">#REF!</definedName>
    <definedName name="invcap2" hidden="1">#REF!</definedName>
    <definedName name="INVENTORY_TURNS" hidden="1">"INVENTORY_TURNS"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öioö" hidden="1">{#N/A,#N/A,FALSE,"Layout Cash Flow"}</definedName>
    <definedName name="iop" hidden="1">{#N/A,"PURCHM",FALSE,"Business Analysis";#N/A,"SPADD",FALSE,"Business Analysis"}</definedName>
    <definedName name="iophipohgipp" hidden="1">{#N/A,#N/A,FALSE,"summary"}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y" hidden="1">{"targetdcf",#N/A,FALSE,"Merger consequences";"TARGETASSU",#N/A,FALSE,"Merger consequences";"TERMINAL VALUE",#N/A,FALSE,"Merger consequences"}</definedName>
    <definedName name="iopzpuio" hidden="1">{#N/A,#N/A,FALSE,"Layout Cash Flow"}</definedName>
    <definedName name="iouöiioö" hidden="1">{#N/A,#N/A,FALSE,"Finanzbedarfsrechnung"}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p" hidden="1">{"sbhko",#N/A,FALSE,"A";"sbhko2",#N/A,FALSE,"A";"sbhko3",#N/A,FALSE,"A"}</definedName>
    <definedName name="ipöoi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IPRD_mites" hidden="1">{"bs",#N/A,FALSE,"SCF"}</definedName>
    <definedName name="IPRD_Pollen" hidden="1">{"bs",#N/A,FALSE,"SCF"}</definedName>
    <definedName name="IQ" hidden="1">"c3460"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HANGE2" hidden="1">"c413"</definedName>
    <definedName name="IQ_ACCOUNTS_PAY" hidden="1">"c32"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EXP2" hidden="1">"c8"</definedName>
    <definedName name="IQ_ACCUM_DEP" hidden="1">"c7"</definedName>
    <definedName name="IQ_ACCUM_DEP2" hidden="1">"c7"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"c16"</definedName>
    <definedName name="IQ_ALLOW_CONST2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ATION2" hidden="1">"c1471"</definedName>
    <definedName name="IQ_AMORTIZED_COST_FDIC" hidden="1">"c6426"</definedName>
    <definedName name="IQ_ANALYST_DET_EST_REUT" hidden="1">"c12135"</definedName>
    <definedName name="IQ_ANALYST_NON_PER_DET_EST_REUT" hidden="1">"c12758"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ETA2" hidden="1">"c88"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"c100"</definedName>
    <definedName name="IQ_BV_OVER_SHARES2" hidden="1">"c100"</definedName>
    <definedName name="IQ_BV_SHARE" hidden="1">"c100"</definedName>
    <definedName name="IQ_BV_SHARE_ACT_OR_EST_REUT" hidden="1">"c5477"</definedName>
    <definedName name="IQ_BV_SHARE_DET_EST_CURRENCY_REUT" hidden="1">"c12524"</definedName>
    <definedName name="IQ_BV_SHARE_DET_EST_DATE_REUT" hidden="1">"c12281"</definedName>
    <definedName name="IQ_BV_SHARE_DET_EST_INCL_REUT" hidden="1">"c12407"</definedName>
    <definedName name="IQ_BV_SHARE_DET_EST_ORIGIN_REUT" hidden="1">"c12649"</definedName>
    <definedName name="IQ_BV_SHARE_DET_EST_REUT" hidden="1">"c12139"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DET_EST_CURRENCY_REUT" hidden="1">"c12525"</definedName>
    <definedName name="IQ_CAPEX_DET_EST_DATE_REUT" hidden="1">"c12282"</definedName>
    <definedName name="IQ_CAPEX_DET_EST_INCL_REUT" hidden="1">"c12408"</definedName>
    <definedName name="IQ_CAPEX_DET_EST_ORIGIN_REUT" hidden="1">"c12768"</definedName>
    <definedName name="IQ_CAPEX_DET_EST_REUT" hidden="1">"c12140"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2" hidden="1">"c115"</definedName>
    <definedName name="IQ_CAPITAL_LEASES" hidden="1">"c115"</definedName>
    <definedName name="IQ_CAPITALIZED_INTEREST2" hidden="1">"c2076"</definedName>
    <definedName name="IQ_CASH" hidden="1">"c118"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T" hidden="1">"c124"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_REUT" hidden="1">"c5463"</definedName>
    <definedName name="IQ_CFPS_DET_EST_DATE_REUT" hidden="1">"c12283"</definedName>
    <definedName name="IQ_CFPS_DET_EST_INCL_REUT" hidden="1">"c12409"</definedName>
    <definedName name="IQ_CFPS_DET_EST_ORIGIN_REUT" hidden="1">"c12651"</definedName>
    <definedName name="IQ_CFPS_DET_EST_REUT" hidden="1">"c12141"</definedName>
    <definedName name="IQ_CFPS_DET_EST_REUT_CURRENCY_CURRENCY_REUT" hidden="1">"c12526"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DET_EST_REUT" hidden="1">"c12137"</definedName>
    <definedName name="IQ_CONTRIB_ID_NON_PER_DET_EST_REUT" hidden="1">"c13827"</definedName>
    <definedName name="IQ_CONTRIB_NAME_DET_EST_REUT" hidden="1">"c12138"</definedName>
    <definedName name="IQ_CONTRIB_NAME_NON_PER_DET_EST_REUT" hidden="1">"c12763"</definedName>
    <definedName name="IQ_CONTRIB_REC_DET_EST_DATE_REUT" hidden="1">"c12285"</definedName>
    <definedName name="IQ_CONTRIB_REC_DET_EST_ORIGIN_REUT" hidden="1">"c12653"</definedName>
    <definedName name="IQ_CONTRIB_REC_DET_EST_REUT" hidden="1">"c12143"</definedName>
    <definedName name="IQ_CONV_RATE" hidden="1">"c2192"</definedName>
    <definedName name="IQ_CONVERT_DEBT" hidden="1">"c224"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DET_EST_CURRENCY_REUT" hidden="1">"c12527"</definedName>
    <definedName name="IQ_DPS_DET_EST_DATE_REUT" hidden="1">"c12286"</definedName>
    <definedName name="IQ_DPS_DET_EST_INCL_REUT" hidden="1">"c12410"</definedName>
    <definedName name="IQ_DPS_DET_EST_ORIGIN_REUT" hidden="1">"c12654"</definedName>
    <definedName name="IQ_DPS_DET_EST_REUT" hidden="1">"c12144"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DET_EST_CURRENCY_REUT" hidden="1">"c12528"</definedName>
    <definedName name="IQ_EBIT_DET_EST_DATE_REUT" hidden="1">"c12287"</definedName>
    <definedName name="IQ_EBIT_DET_EST_INCL_REUT" hidden="1">"c12411"</definedName>
    <definedName name="IQ_EBIT_DET_EST_ORIGIN_REUT" hidden="1">"c12655"</definedName>
    <definedName name="IQ_EBIT_DET_EST_REUT" hidden="1">"c12145"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DET_EST_DATE_REUT" hidden="1">"c12288"</definedName>
    <definedName name="IQ_EBITDA_DET_EST_INCL_REUT" hidden="1">"c12412"</definedName>
    <definedName name="IQ_EBITDA_DET_EST_ORIGIN_REUT" hidden="1">"c12656"</definedName>
    <definedName name="IQ_EBITDA_DET_EST_REUT" hidden="1">"c12146"</definedName>
    <definedName name="IQ_EBITDA_DET_EST_REUT_CURRENCY_CURRENCY_REUT" hidden="1">"c12529"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"c84"</definedName>
    <definedName name="IQ_ENTITLEMENT_DET_EST_REUT" hidden="1">"c12136"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DET_EST_CURRENCY_REUT" hidden="1">"c13584"</definedName>
    <definedName name="IQ_EPS_DET_EST_DATE_REUT" hidden="1">"c13576"</definedName>
    <definedName name="IQ_EPS_DET_EST_INCL_REUT" hidden="1">"c13588"</definedName>
    <definedName name="IQ_EPS_DET_EST_ORIGIN_REUT" hidden="1">"c13580"</definedName>
    <definedName name="IQ_EPS_DET_EST_REUT" hidden="1">"c13572"</definedName>
    <definedName name="IQ_EPS_EST" hidden="1">"c399"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DET_EST_DATE_REUT" hidden="1">"c12292"</definedName>
    <definedName name="IQ_EPS_GW_DET_EST_INCL_REUT" hidden="1">"c12416"</definedName>
    <definedName name="IQ_EPS_GW_DET_EST_ORIGIN_REUT" hidden="1">"c12660"</definedName>
    <definedName name="IQ_EPS_GW_DET_EST_REUT" hidden="1">"c12150"</definedName>
    <definedName name="IQ_EPS_GW_DET_EST_REUT_CURRENCY_CURRENCY_REUT" hidden="1">"c12533"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_EST" hidden="1">"c271"</definedName>
    <definedName name="IQ_EPS_NORM_DET_EST_CURRENCY_REUT" hidden="1">"c12535"</definedName>
    <definedName name="IQ_EPS_NORM_DET_EST_DATE_REUT" hidden="1">"c12294"</definedName>
    <definedName name="IQ_EPS_NORM_DET_EST_INCL_REUT" hidden="1">"c12418"</definedName>
    <definedName name="IQ_EPS_NORM_DET_EST_ORIGIN_REUT" hidden="1">"c12662"</definedName>
    <definedName name="IQ_EPS_NORM_DET_EST_REUT" hidden="1">"c12152"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DET_EST_CURRENCY_REUT" hidden="1">"c12534"</definedName>
    <definedName name="IQ_EPS_REPORTED_DET_EST_DATE_REUT" hidden="1">"c12293"</definedName>
    <definedName name="IQ_EPS_REPORTED_DET_EST_INCL_REUT" hidden="1">"c12417"</definedName>
    <definedName name="IQ_EPS_REPORTED_DET_EST_ORIGIN_REUT" hidden="1">"c12661"</definedName>
    <definedName name="IQ_EPS_REPORTED_DET_EST_REUT" hidden="1">"c12151"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ES_OTHER_INCOME" hidden="1">"c15257"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EST_DET_EST_CURRENCY_REUT" hidden="1">"c12536"</definedName>
    <definedName name="IQ_FFO_SHARE_EST_DET_EST_DATE_REUT" hidden="1">"c12295"</definedName>
    <definedName name="IQ_FFO_SHARE_EST_DET_EST_INCL_REUT" hidden="1">"c12419"</definedName>
    <definedName name="IQ_FFO_SHARE_EST_DET_EST_ORIGIN_REUT" hidden="1">"c12724"</definedName>
    <definedName name="IQ_FFO_SHARE_EST_DET_EST_REUT" hidden="1">"c12153"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_REUT" hidden="1">"c3842"</definedName>
    <definedName name="IQ_FFO_STDDEV_EST" hidden="1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REE_OPERATING_CASH_FLOW_DEBT_CSD" hidden="1">"c27718"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00_INVEST_INS" hidden="1">"c1466"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AMORT_BR" hidden="1">"c532"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"c907"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"c646"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_DATE_REUT" hidden="1">"c12296"</definedName>
    <definedName name="IQ_LT_GROWTH_DET_EST_INCL_REUT" hidden="1">"c12420"</definedName>
    <definedName name="IQ_LT_GROWTH_DET_EST_ORIGIN_REUT" hidden="1">"c12728"</definedName>
    <definedName name="IQ_LT_GROWTH_DET_EST_REUT" hidden="1">"c12154"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RKETCAP" hidden="1">"c712"</definedName>
    <definedName name="IQ_MARKTCAP" hidden="1">"c258"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_REVISION_DATE_" hidden="1">"06/27/2026 07:15:28"</definedName>
    <definedName name="IQ_NAMES_REVISION_DATE__1" hidden="1">41379.6758680556</definedName>
    <definedName name="IQ_NAMES_REVISION_DATE__1_1" hidden="1">41449.4017592593</definedName>
    <definedName name="IQ_NAMES_REVISION_DATE__2" hidden="1">41449.4017592593</definedName>
    <definedName name="IQ_NAV_ACT_OR_EST" hidden="1">"c2225"</definedName>
    <definedName name="IQ_NAV_SHARE_ACT_OR_EST_REUT" hidden="1">"c5623"</definedName>
    <definedName name="IQ_NAV_SHARE_DET_EST_CURRENCY_REUT" hidden="1">"c12538"</definedName>
    <definedName name="IQ_NAV_SHARE_DET_EST_DATE_REUT" hidden="1">"c12297"</definedName>
    <definedName name="IQ_NAV_SHARE_DET_EST_INCL_REUT" hidden="1">"c12421"</definedName>
    <definedName name="IQ_NAV_SHARE_DET_EST_ORIGIN_REUT" hidden="1">"c12665"</definedName>
    <definedName name="IQ_NAV_SHARE_DET_EST_REUT" hidden="1">"c12155"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DET_EST_CURRENCY_REUT" hidden="1">"c12539"</definedName>
    <definedName name="IQ_NET_DEBT_DET_EST_DATE_REUT" hidden="1">"c12298"</definedName>
    <definedName name="IQ_NET_DEBT_DET_EST_INCL_REUT" hidden="1">"c12422"</definedName>
    <definedName name="IQ_NET_DEBT_DET_EST_ORIGIN_REUT" hidden="1">"c12666"</definedName>
    <definedName name="IQ_NET_DEBT_DET_EST_REUT" hidden="1">"c12156"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DET_EST_CURRENCY_REUT" hidden="1">"c12540"</definedName>
    <definedName name="IQ_NI_DET_EST_DATE_REUT" hidden="1">"c12299"</definedName>
    <definedName name="IQ_NI_DET_EST_INCL_REUT" hidden="1">"c12423"</definedName>
    <definedName name="IQ_NI_DET_EST_ORIGIN_REUT" hidden="1">"c12667"</definedName>
    <definedName name="IQ_NI_DET_EST_REUT" hidden="1">"c12157"</definedName>
    <definedName name="IQ_NI_EST_REUT" hidden="1">"c5368"</definedName>
    <definedName name="IQ_NI_GW_DET_EST_CURRENCY_REUT" hidden="1">"c12541"</definedName>
    <definedName name="IQ_NI_GW_DET_EST_DATE_REUT" hidden="1">"c12300"</definedName>
    <definedName name="IQ_NI_GW_DET_EST_INCL_REUT" hidden="1">"c12424"</definedName>
    <definedName name="IQ_NI_GW_DET_EST_ORIGIN_REUT" hidden="1">"c12668"</definedName>
    <definedName name="IQ_NI_GW_DET_EST_REUT" hidden="1">"c12158"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N_CONTROLLING_INTERESTS_FFIEC" hidden="1">"c15366"</definedName>
    <definedName name="IQ_NI_NUM_EST_REUT" hidden="1">"c5372"</definedName>
    <definedName name="IQ_NI_REPORTED_DET_EST_CURRENCY_REUT" hidden="1">"c12542"</definedName>
    <definedName name="IQ_NI_REPORTED_DET_EST_DATE_REUT" hidden="1">"c12301"</definedName>
    <definedName name="IQ_NI_REPORTED_DET_EST_INCL_REUT" hidden="1">"c12425"</definedName>
    <definedName name="IQ_NI_REPORTED_DET_EST_ORIGIN_REUT" hidden="1">"c12669"</definedName>
    <definedName name="IQ_NI_REPORTED_DET_EST_REUT" hidden="1">"c12159"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OFFICES" hidden="1">"c2088"</definedName>
    <definedName name="IQ_NUMBER_DEPOSITS_LESS_THAN_100K_FDIC" hidden="1">"c6495"</definedName>
    <definedName name="IQ_NUMBER_DEPOSITS_MORE_THAN_100K_FDIC" hidden="1">"c6493"</definedName>
    <definedName name="IQ_NUMBER_SHAREHOLDERS_CLASSB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OTHER_ADJ" hidden="1">"c1999"</definedName>
    <definedName name="IQ_OG_TOTAL_OIL_PRODUCTON" hidden="1">"c2059"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DET_EST_CURRENCY_REUT" hidden="1">"c12543"</definedName>
    <definedName name="IQ_OPER_INC_DET_EST_DATE_REUT" hidden="1">"c12302"</definedName>
    <definedName name="IQ_OPER_INC_DET_EST_INCL_REUT" hidden="1">"c12426"</definedName>
    <definedName name="IQ_OPER_INC_DET_EST_ORIGIN_REUT" hidden="1">"c12670"</definedName>
    <definedName name="IQ_OPER_INC_DET_EST_REUT" hidden="1">"c12160"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ISSUED" hidden="1">"c857"</definedName>
    <definedName name="IQ_OPTIONS_OS" hidden="1">"c858"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EXP" hidden="1">"c1068"</definedName>
    <definedName name="IQ_PREPAID_EXPEN" hidden="1">"c1068"</definedName>
    <definedName name="IQ_PRESIDENT_ID" hidden="1">"c15216"</definedName>
    <definedName name="IQ_PRESIDENT_NAME" hidden="1">"c15215"</definedName>
    <definedName name="IQ_PRETAX_GW_INC_DET_EST_CURRENCY_REUT" hidden="1">"c12531"</definedName>
    <definedName name="IQ_PRETAX_GW_INC_DET_EST_DATE_REUT" hidden="1">"c12290"</definedName>
    <definedName name="IQ_PRETAX_GW_INC_DET_EST_INCL_REUT" hidden="1">"c12414"</definedName>
    <definedName name="IQ_PRETAX_GW_INC_DET_EST_ORIGIN_REUT" hidden="1">"c12658"</definedName>
    <definedName name="IQ_PRETAX_GW_INC_DET_EST_REUT" hidden="1">"c12148"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_CURRENCY_REUT" hidden="1">"c12530"</definedName>
    <definedName name="IQ_PRETAX_INC_DET_EST_DATE_REUT" hidden="1">"c12289"</definedName>
    <definedName name="IQ_PRETAX_INC_DET_EST_INCL_REUT" hidden="1">"c12413"</definedName>
    <definedName name="IQ_PRETAX_INC_DET_EST_ORIGIN_REUT" hidden="1">"c12657"</definedName>
    <definedName name="IQ_PRETAX_INC_DET_EST_REUT" hidden="1">"c12147"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DET_EST_CURRENCY_REUT" hidden="1">"c12532"</definedName>
    <definedName name="IQ_PRETAX_REPORT_INC_DET_EST_DATE_REUT" hidden="1">"c12291"</definedName>
    <definedName name="IQ_PRETAX_REPORT_INC_DET_EST_INCL_REUT" hidden="1">"c12415"</definedName>
    <definedName name="IQ_PRETAX_REPORT_INC_DET_EST_ORIGIN_REUT" hidden="1">"c12769"</definedName>
    <definedName name="IQ_PRETAX_REPORT_INC_DET_EST_REUT" hidden="1">"c12149"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DET_EST_DATE_REUT" hidden="1">"c12304"</definedName>
    <definedName name="IQ_RETURN_ASSETS_DET_EST_INCL_REUT" hidden="1">"c12428"</definedName>
    <definedName name="IQ_RETURN_ASSETS_DET_EST_ORIGIN_REUT" hidden="1">"c12672"</definedName>
    <definedName name="IQ_RETURN_ASSETS_DET_EST_REUT" hidden="1">"c12162"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DET_EST_DATE_REUT" hidden="1">"c12305"</definedName>
    <definedName name="IQ_RETURN_EQUITY_DET_EST_INCL_REUT" hidden="1">"c12429"</definedName>
    <definedName name="IQ_RETURN_EQUITY_DET_EST_ORIGIN_REUT" hidden="1">"c12673"</definedName>
    <definedName name="IQ_RETURN_EQUITY_DET_EST_REUT" hidden="1">"c12163"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DATE_" hidden="1">39482.3981597222</definedName>
    <definedName name="IQ_REV_DET_EST_CURRENCY_REUT" hidden="1">"c12544"</definedName>
    <definedName name="IQ_REV_DET_EST_DATE_REUT" hidden="1">"c12303"</definedName>
    <definedName name="IQ_REV_DET_EST_INCL_REUT" hidden="1">"c12427"</definedName>
    <definedName name="IQ_REV_DET_EST_ORIGIN_REUT" hidden="1">"c12671"</definedName>
    <definedName name="IQ_REV_DET_EST_REUT" hidden="1">"c12161"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_" hidden="1">40139.9083217593</definedName>
    <definedName name="IQ_REVISION_DATE_2" hidden="1">39624.5825925926</definedName>
    <definedName name="IQ_REVISION_DATE_3" hidden="1">39624.5825925926</definedName>
    <definedName name="IQ_REVISION_DATE_4" hidden="1">39624.5825925926</definedName>
    <definedName name="IQ_REVISION_DATE_FM" hidden="1">39492.863587963</definedName>
    <definedName name="IQ_REVISION_DATE_v2" hidden="1">"17/02/2006 15:13:32"</definedName>
    <definedName name="IQ_REVOLVING_SECURED_1_4_NON_ACCRUAL_FFIEC" hidden="1">"c13314"</definedName>
    <definedName name="IQ_REVOLVING_SECURED_1_–4_NON_ACCRUAL_FFIEC" hidden="1">"c13314"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NAME" hidden="1">"c15159"</definedName>
    <definedName name="IQ_SECURITY_OWN" hidden="1">"c1153"</definedName>
    <definedName name="IQ_SECURITY_RESELL" hidden="1">"c1154"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_REC_DET_EST_DATE_REUT" hidden="1">"c12307"</definedName>
    <definedName name="IQ_STAND_REC_DET_EST_ORIGIN_REUT" hidden="1">"c12675"</definedName>
    <definedName name="IQ_STAND_REC_DET_EST_REUT" hidden="1">"c12165"</definedName>
    <definedName name="IQ_STAND_REC_NUM_DET_EST_DATE_REUT" hidden="1">"c12306"</definedName>
    <definedName name="IQ_STAND_REC_NUM_DET_EST_ORIGIN_REUT" hidden="1">"c12674"</definedName>
    <definedName name="IQ_STAND_REC_NUM_DET_EST_REUT" hidden="1">"c12164"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DET_EST_CURRENCY_REUT" hidden="1">"c12547"</definedName>
    <definedName name="IQ_TARGET_PRICE_DET_EST_DATE_REUT" hidden="1">"c12308"</definedName>
    <definedName name="IQ_TARGET_PRICE_DET_EST_INCL_REUT" hidden="1">"c12430"</definedName>
    <definedName name="IQ_TARGET_PRICE_DET_EST_ORIGIN_REUT" hidden="1">"c12731"</definedName>
    <definedName name="IQ_TARGET_PRICE_DET_EST_REUT" hidden="1">"c12166"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1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R2019CZ38" hidden="1">#REF!</definedName>
    <definedName name="IQR2021M39" hidden="1">#REF!</definedName>
    <definedName name="IQR2021M4" hidden="1">#REF!</definedName>
    <definedName name="IQRA1" hidden="1">"$A$2:$A$211"</definedName>
    <definedName name="IQRA10" hidden="1">"$A$11:$A$263"</definedName>
    <definedName name="IQRA108" hidden="1">"$A$109:$A$129"</definedName>
    <definedName name="IQRA109" hidden="1">"$A$110:$A$130"</definedName>
    <definedName name="IQRA110" hidden="1">"$A$111:$A$131"</definedName>
    <definedName name="IQRA112" hidden="1">"$A$113:$A$130"</definedName>
    <definedName name="IQRA12" hidden="1">"$A$13:$A$265"</definedName>
    <definedName name="IQRA134" hidden="1">"$A$135:$A$385"</definedName>
    <definedName name="IQRA2" hidden="1">"$A$3:$A$217"</definedName>
    <definedName name="IQRA22" hidden="1">"$A$23:$A$777"</definedName>
    <definedName name="IQRA3" hidden="1">"$A$4:$A$1179"</definedName>
    <definedName name="IQRA38" hidden="1">"$A$39:$A$48"</definedName>
    <definedName name="IQRA39" hidden="1">"$A$40:$A$75"</definedName>
    <definedName name="IQRA4" hidden="1">"$A$5:$A$15"</definedName>
    <definedName name="IQRA5" hidden="1">"$A$6:$A$20"</definedName>
    <definedName name="IQRA6" hidden="1">"$A$7:$A$21"</definedName>
    <definedName name="IQRA60" hidden="1">"$A$61:$A$75"</definedName>
    <definedName name="IQRA7" hidden="1">"$A$8:$A$1281"</definedName>
    <definedName name="IQRA8" hidden="1">"$A$9:$A$132"</definedName>
    <definedName name="IQRA9" hidden="1">"$A$10:$A$19"</definedName>
    <definedName name="IQRA97" hidden="1">"$A$98:$A$118"</definedName>
    <definedName name="IQRA98" hidden="1">"$A$99:$A$116"</definedName>
    <definedName name="IQRAA24" hidden="1">"$AA$25"</definedName>
    <definedName name="IQRAA28" hidden="1">"$AA$29:$AA$48"</definedName>
    <definedName name="IQRAA3" hidden="1">"$AA$4:$AA$253"</definedName>
    <definedName name="IQRAA4" hidden="1">"$AA$5:$AA$254"</definedName>
    <definedName name="IQRAA5" hidden="1">"$AA$6:$AA$255"</definedName>
    <definedName name="IQRAA6" hidden="1">"$AA$7:$AA$256"</definedName>
    <definedName name="IQRAA7" hidden="1">"$AA$8"</definedName>
    <definedName name="IQRAA81" hidden="1">"$AA$82"</definedName>
    <definedName name="IQRAB24" hidden="1">"$AB$25:$AB$27"</definedName>
    <definedName name="IQRAB28" hidden="1">"$AB$29:$AB$48"</definedName>
    <definedName name="IQRAB3" hidden="1">"$AB$4:$AB$253"</definedName>
    <definedName name="IQRAB7" hidden="1">"$AB$8:$AB$10"</definedName>
    <definedName name="IQRAB8" hidden="1">#REF!</definedName>
    <definedName name="IQRAB81" hidden="1">"$AB$82"</definedName>
    <definedName name="IQRAB9" hidden="1">"$AB$10:$AB$71"</definedName>
    <definedName name="IQRABBVH20" hidden="1">#REF!</definedName>
    <definedName name="IQRABTH20" hidden="1">#REF!</definedName>
    <definedName name="IQRAC24" hidden="1">"$AC$25:$AC$26"</definedName>
    <definedName name="IQRAC28" hidden="1">"$AC$29:$AC$48"</definedName>
    <definedName name="IQRAC3" hidden="1">"$AC$4:$AC$253"</definedName>
    <definedName name="IQRAC7" hidden="1">"$AC$8:$AC$9"</definedName>
    <definedName name="IQRAC81" hidden="1">"$AC$82"</definedName>
    <definedName name="IQRACETH20" hidden="1">#REF!</definedName>
    <definedName name="IQRAD28" hidden="1">"$AD$29:$AD$48"</definedName>
    <definedName name="IQRAD3" hidden="1">"$AD$4:$AD$253"</definedName>
    <definedName name="IQRAD4" hidden="1">"$AD$5:$AD$254"</definedName>
    <definedName name="IQRAD5" hidden="1">"$AD$6:$AD$255"</definedName>
    <definedName name="IQRAD53" hidden="1">"$AD$54:$AD$63"</definedName>
    <definedName name="IQRAD54" hidden="1">"$AE$54:$AG$54"</definedName>
    <definedName name="IQRAD55" hidden="1">"$AE$55:$AH$55"</definedName>
    <definedName name="IQRAD56" hidden="1">"$AE$56:$AO$56"</definedName>
    <definedName name="IQRAD57" hidden="1">"$AE$57:$AH$57"</definedName>
    <definedName name="IQRAD6" hidden="1">"$AD$7:$AD$256"</definedName>
    <definedName name="IQRAD81" hidden="1">"$AD$82"</definedName>
    <definedName name="IQRAE28" hidden="1">"$AE$29:$AE$48"</definedName>
    <definedName name="IQRAE3" hidden="1">"$AE$4:$AE$253"</definedName>
    <definedName name="IQRAE4" hidden="1">"$AE$5:$AE$254"</definedName>
    <definedName name="IQRAE5" hidden="1">"$AE$6:$AE$255"</definedName>
    <definedName name="IQRAE53" hidden="1">"$AE$54:$AE$56"</definedName>
    <definedName name="IQRAE6" hidden="1">"$AE$7:$AE$256"</definedName>
    <definedName name="IQRAE81" hidden="1">"$AE$82"</definedName>
    <definedName name="IQRAF17" hidden="1">"$AF$18:$AF$269"</definedName>
    <definedName name="IQRAF28" hidden="1">"$AF$29:$AF$48"</definedName>
    <definedName name="IQRAF3" hidden="1">"$AF$4"</definedName>
    <definedName name="IQRAF53" hidden="1">"$AF$54:$AF$57"</definedName>
    <definedName name="IQRAF6" hidden="1">"$AF$7:$AF$256"</definedName>
    <definedName name="IQRAF7" hidden="1">"$AF$8:$AF$257"</definedName>
    <definedName name="IQRAF8" hidden="1">#REF!</definedName>
    <definedName name="IQRAF81" hidden="1">"$AF$82"</definedName>
    <definedName name="IQRAG2" hidden="1">"$AG$3:$AG$26"</definedName>
    <definedName name="IQRAG28" hidden="1">"$AG$29:$AG$48"</definedName>
    <definedName name="IQRAG3" hidden="1">"$AG$4:$AG$256"</definedName>
    <definedName name="IQRAG53" hidden="1">"$AG$54:$AG$64"</definedName>
    <definedName name="IQRAG81" hidden="1">"$AG$82"</definedName>
    <definedName name="IQRAH2" hidden="1">"$AH$3:$AH$26"</definedName>
    <definedName name="IQRAH28" hidden="1">"$AH$29:$AH$48"</definedName>
    <definedName name="IQRAH3" hidden="1">"$AH$4:$AH$253"</definedName>
    <definedName name="IQRAH4" hidden="1">"$AH$5:$AH$254"</definedName>
    <definedName name="IQRAH5" hidden="1">"$AH$6:$AH$255"</definedName>
    <definedName name="IQRAH53" hidden="1">"$AH$54:$AH$56"</definedName>
    <definedName name="IQRAH6" hidden="1">"$AH$7:$AH$256"</definedName>
    <definedName name="IQRAH81" hidden="1">"$AH$82"</definedName>
    <definedName name="IQRAI11" hidden="1">"$AI$12:$AI$23"</definedName>
    <definedName name="IQRAI2" hidden="1">"$AI$3:$AI$26"</definedName>
    <definedName name="IQRAI28" hidden="1">"$AI$29:$AI$48"</definedName>
    <definedName name="IQRAI3" hidden="1">"$AI$4:$AI$253"</definedName>
    <definedName name="IQRAI4" hidden="1">"$AI$5:$AI$254"</definedName>
    <definedName name="IQRAI5" hidden="1">"$AI$6:$AI$255"</definedName>
    <definedName name="IQRAI6" hidden="1">"$AI$7:$AI$256"</definedName>
    <definedName name="IQRAI81" hidden="1">"$AI$82"</definedName>
    <definedName name="IQRAJ2" hidden="1">"$AJ$3:$AJ$26"</definedName>
    <definedName name="IQRAJ28" hidden="1">"$AJ$29:$AJ$48"</definedName>
    <definedName name="IQRAJ3" hidden="1">"$AJ$4:$AJ$253"</definedName>
    <definedName name="IQRAJ53" hidden="1">"$AJ$54:$AJ$61"</definedName>
    <definedName name="IQRAJ8" hidden="1">#REF!</definedName>
    <definedName name="IQRAJ81" hidden="1">"$AJ$82"</definedName>
    <definedName name="IQRAK2" hidden="1">"$AK$3:$AK$26"</definedName>
    <definedName name="IQRAK28" hidden="1">"$AK$29:$AK$48"</definedName>
    <definedName name="IQRAK3" hidden="1">"$AK$4:$AK$253"</definedName>
    <definedName name="IQRAK53" hidden="1">"$AK$54:$AK$57"</definedName>
    <definedName name="IQRAK6" hidden="1">"$AK$7:$AK$256"</definedName>
    <definedName name="IQRAK7" hidden="1">"$AK$8:$AK$257"</definedName>
    <definedName name="IQRAK81" hidden="1">"$AK$82"</definedName>
    <definedName name="IQRAL11" hidden="1">"$AL$12"</definedName>
    <definedName name="IQRAL12" hidden="1">"$AL$13"</definedName>
    <definedName name="IQRAL13" hidden="1">"$AL$14"</definedName>
    <definedName name="IQRAL14" hidden="1">"$AL$15"</definedName>
    <definedName name="IQRAL15" hidden="1">"$AL$16"</definedName>
    <definedName name="IQRAL16" hidden="1">"$AL$17"</definedName>
    <definedName name="IQRAL17" hidden="1">"$AL$18"</definedName>
    <definedName name="IQRAL18" hidden="1">"$AL$19"</definedName>
    <definedName name="IQRAL19" hidden="1">"$AL$20"</definedName>
    <definedName name="IQRAL2" hidden="1">"$AL$3:$AL$26"</definedName>
    <definedName name="IQRAL20" hidden="1">"$AL$21"</definedName>
    <definedName name="IQRAL21" hidden="1">"$AL$22"</definedName>
    <definedName name="IQRAL22" hidden="1">"$AL$23"</definedName>
    <definedName name="IQRAL24" hidden="1">"$AL$25"</definedName>
    <definedName name="IQRAL25" hidden="1">"$AL$26"</definedName>
    <definedName name="IQRAL26" hidden="1">"$AL$27"</definedName>
    <definedName name="IQRAL27" hidden="1">"$AL$28"</definedName>
    <definedName name="IQRAL28" hidden="1">"$AL$29:$AL$48"</definedName>
    <definedName name="IQRAL29" hidden="1">"$AL$30"</definedName>
    <definedName name="IQRAL3" hidden="1">"$AL$4:$AL$253"</definedName>
    <definedName name="IQRAL30" hidden="1">"$AL$31"</definedName>
    <definedName name="IQRAL31" hidden="1">"$AL$32"</definedName>
    <definedName name="IQRAL32" hidden="1">"$AL$33"</definedName>
    <definedName name="IQRAL33" hidden="1">"$AL$34"</definedName>
    <definedName name="IQRAL34" hidden="1">"$AL$35"</definedName>
    <definedName name="IQRAL35" hidden="1">"$AL$36"</definedName>
    <definedName name="IQRAL36" hidden="1">"$AL$37"</definedName>
    <definedName name="IQRAL37" hidden="1">"$AL$38"</definedName>
    <definedName name="IQRAL4" hidden="1">"$AL$5:$AL$254"</definedName>
    <definedName name="IQRAL5" hidden="1">"$AL$6:$AL$255"</definedName>
    <definedName name="IQRAL53" hidden="1">"$AL$54:$AL$64"</definedName>
    <definedName name="IQRAL6" hidden="1">"$AL$7:$AL$256"</definedName>
    <definedName name="IQRAL7" hidden="1">"$AL$8"</definedName>
    <definedName name="IQRAL8" hidden="1">"$AL$9"</definedName>
    <definedName name="IQRAL81" hidden="1">"$AL$82"</definedName>
    <definedName name="IQRAL9" hidden="1">"$AL$10"</definedName>
    <definedName name="IQRAllCorpA8" hidden="1">#REF!</definedName>
    <definedName name="IQRAllCorpAF8" hidden="1">#REF!</definedName>
    <definedName name="IQRAllCorpAG8" hidden="1">#REF!</definedName>
    <definedName name="IQRAllCorpAS8" hidden="1">#REF!</definedName>
    <definedName name="IQRAllCorpAT8" hidden="1">#REF!</definedName>
    <definedName name="IQRAllCorpB8" hidden="1">#REF!</definedName>
    <definedName name="IQRAllCorpBF8" hidden="1">#REF!</definedName>
    <definedName name="IQRAllCorpBG8" hidden="1">#REF!</definedName>
    <definedName name="IQRAllCorpBH8" hidden="1">#REF!</definedName>
    <definedName name="IQRAllCorpBI8" hidden="1">#REF!</definedName>
    <definedName name="IQRAllCorpBJ8" hidden="1">#REF!</definedName>
    <definedName name="IQRAllCorpBK8" hidden="1">#REF!</definedName>
    <definedName name="IQRAllCorpBL8" hidden="1">#REF!</definedName>
    <definedName name="IQRAllCorpBM8" hidden="1">#REF!</definedName>
    <definedName name="IQRAllCorpBN8" hidden="1">#REF!</definedName>
    <definedName name="IQRAllCorpBO8" hidden="1">#REF!</definedName>
    <definedName name="IQRAllCorpBP8" hidden="1">#REF!</definedName>
    <definedName name="IQRAllCorpBQ8" hidden="1">#REF!</definedName>
    <definedName name="IQRAllCorpBR8" hidden="1">#REF!</definedName>
    <definedName name="IQRAllCorpBS8" hidden="1">#REF!</definedName>
    <definedName name="IQRAllCorpBT8" hidden="1">#REF!</definedName>
    <definedName name="IQRAllCorpBU8" hidden="1">#REF!</definedName>
    <definedName name="IQRAllCorpBV8" hidden="1">#REF!</definedName>
    <definedName name="IQRAllCorpBW8" hidden="1">#REF!</definedName>
    <definedName name="IQRAllCorpBX8" hidden="1">#REF!</definedName>
    <definedName name="IQRAllCorpBY8" hidden="1">#REF!</definedName>
    <definedName name="IQRAllCorpBZ8" hidden="1">#REF!</definedName>
    <definedName name="IQRAllCorpC8" hidden="1">#REF!</definedName>
    <definedName name="IQRAllCorpCA8" hidden="1">#REF!</definedName>
    <definedName name="IQRAllCorpCB8" hidden="1">#REF!</definedName>
    <definedName name="IQRAllCorpCC8" hidden="1">#REF!</definedName>
    <definedName name="IQRAllCorpCD8" hidden="1">#REF!</definedName>
    <definedName name="IQRAllCorpCE8" hidden="1">#REF!</definedName>
    <definedName name="IQRAllCorpCF8" hidden="1">#REF!</definedName>
    <definedName name="IQRAllCorpCG8" hidden="1">#REF!</definedName>
    <definedName name="IQRAllCorpCH8" hidden="1">#REF!</definedName>
    <definedName name="IQRAllCorpCI8" hidden="1">#REF!</definedName>
    <definedName name="IQRAllCorpCJ8" hidden="1">#REF!</definedName>
    <definedName name="IQRAllCorpCK8" hidden="1">#REF!</definedName>
    <definedName name="IQRAllCorpCL8" hidden="1">#REF!</definedName>
    <definedName name="IQRAllCorpCM8" hidden="1">#REF!</definedName>
    <definedName name="IQRAllCorpCN8" hidden="1">#REF!</definedName>
    <definedName name="IQRAllCorpCO8" hidden="1">#REF!</definedName>
    <definedName name="IQRAllCorpCP8" hidden="1">#REF!</definedName>
    <definedName name="IQRAllCorpCQ8" hidden="1">#REF!</definedName>
    <definedName name="IQRAllCorpCR8" hidden="1">#REF!</definedName>
    <definedName name="IQRAllCorpCS8" hidden="1">#REF!</definedName>
    <definedName name="IQRAllCorpCT8" hidden="1">#REF!</definedName>
    <definedName name="IQRAllCorpCU8" hidden="1">#REF!</definedName>
    <definedName name="IQRAllCorpCV8" hidden="1">#REF!</definedName>
    <definedName name="IQRAllCorpCW8" hidden="1">#REF!</definedName>
    <definedName name="IQRAllCorpCX8" hidden="1">#REF!</definedName>
    <definedName name="IQRAllCorpCY8" hidden="1">#REF!</definedName>
    <definedName name="IQRAllCorpCZ8" hidden="1">#REF!</definedName>
    <definedName name="IQRAllCorpD8" hidden="1">#REF!</definedName>
    <definedName name="IQRAllCorpDA8" hidden="1">#REF!</definedName>
    <definedName name="IQRAllCorpDB8" hidden="1">#REF!</definedName>
    <definedName name="IQRAllCorpDC8" hidden="1">#REF!</definedName>
    <definedName name="IQRAllCorpDD8" hidden="1">#REF!</definedName>
    <definedName name="IQRAllCorpDE8" hidden="1">#REF!</definedName>
    <definedName name="IQRAllCorpDF8" hidden="1">#REF!</definedName>
    <definedName name="IQRAllCorpDG8" hidden="1">#REF!</definedName>
    <definedName name="IQRAllCorpDH42" hidden="1">#REF!</definedName>
    <definedName name="IQRAllCorpDH53" hidden="1">#REF!</definedName>
    <definedName name="IQRAllCorpDH67" hidden="1">#REF!</definedName>
    <definedName name="IQRAllCorpDH77" hidden="1">#REF!</definedName>
    <definedName name="IQRAllCorpDH78" hidden="1">#REF!</definedName>
    <definedName name="IQRAllCorpDH8" hidden="1">#REF!</definedName>
    <definedName name="IQRAllCorpDI42" hidden="1">#REF!</definedName>
    <definedName name="IQRAllCorpDI53" hidden="1">#REF!</definedName>
    <definedName name="IQRAllCorpDI67" hidden="1">#REF!</definedName>
    <definedName name="IQRAllCorpDI77" hidden="1">#REF!</definedName>
    <definedName name="IQRAllCorpDI78" hidden="1">#REF!</definedName>
    <definedName name="IQRAllCorpDI8" hidden="1">#REF!</definedName>
    <definedName name="IQRAllCorpDJ42" hidden="1">#REF!</definedName>
    <definedName name="IQRAllCorpDJ53" hidden="1">#REF!</definedName>
    <definedName name="IQRAllCorpDJ67" hidden="1">#REF!</definedName>
    <definedName name="IQRAllCorpDJ77" hidden="1">#REF!</definedName>
    <definedName name="IQRAllCorpDJ78" hidden="1">#REF!</definedName>
    <definedName name="IQRAllCorpDJ8" hidden="1">#REF!</definedName>
    <definedName name="IQRAllCorpDK42" hidden="1">#REF!</definedName>
    <definedName name="IQRAllCorpDK53" hidden="1">#REF!</definedName>
    <definedName name="IQRAllCorpDK67" hidden="1">#REF!</definedName>
    <definedName name="IQRAllCorpDK77" hidden="1">#REF!</definedName>
    <definedName name="IQRAllCorpDK78" hidden="1">#REF!</definedName>
    <definedName name="IQRAllCorpDK8" hidden="1">#REF!</definedName>
    <definedName name="IQRAllCorpDL42" hidden="1">#REF!</definedName>
    <definedName name="IQRAllCorpDL53" hidden="1">#REF!</definedName>
    <definedName name="IQRAllCorpDL67" hidden="1">#REF!</definedName>
    <definedName name="IQRAllCorpDL77" hidden="1">#REF!</definedName>
    <definedName name="IQRAllCorpDL78" hidden="1">#REF!</definedName>
    <definedName name="IQRAllCorpDL8" hidden="1">#REF!</definedName>
    <definedName name="IQRAllCorpDM42" hidden="1">#REF!</definedName>
    <definedName name="IQRAllCorpDM53" hidden="1">#REF!</definedName>
    <definedName name="IQRAllCorpDM67" hidden="1">#REF!</definedName>
    <definedName name="IQRAllCorpDM77" hidden="1">#REF!</definedName>
    <definedName name="IQRAllCorpDM78" hidden="1">#REF!</definedName>
    <definedName name="IQRAllCorpDM8" hidden="1">#REF!</definedName>
    <definedName name="IQRAllCorpDN42" hidden="1">#REF!</definedName>
    <definedName name="IQRAllCorpDN53" hidden="1">#REF!</definedName>
    <definedName name="IQRAllCorpDN67" hidden="1">#REF!</definedName>
    <definedName name="IQRAllCorpDN77" hidden="1">#REF!</definedName>
    <definedName name="IQRAllCorpDN78" hidden="1">#REF!</definedName>
    <definedName name="IQRAllCorpDN8" hidden="1">#REF!</definedName>
    <definedName name="IQRAllCorpDO42" hidden="1">#REF!</definedName>
    <definedName name="IQRAllCorpDO53" hidden="1">#REF!</definedName>
    <definedName name="IQRAllCorpDO67" hidden="1">#REF!</definedName>
    <definedName name="IQRAllCorpDO77" hidden="1">#REF!</definedName>
    <definedName name="IQRAllCorpDO78" hidden="1">#REF!</definedName>
    <definedName name="IQRAllCorpDO8" hidden="1">#REF!</definedName>
    <definedName name="IQRAllCorpDP42" hidden="1">#REF!</definedName>
    <definedName name="IQRAllCorpDP53" hidden="1">#REF!</definedName>
    <definedName name="IQRAllCorpDP67" hidden="1">#REF!</definedName>
    <definedName name="IQRAllCorpDP77" hidden="1">#REF!</definedName>
    <definedName name="IQRAllCorpDP78" hidden="1">#REF!</definedName>
    <definedName name="IQRAllCorpDP8" hidden="1">#REF!</definedName>
    <definedName name="IQRAllCorpDQ42" hidden="1">#REF!</definedName>
    <definedName name="IQRAllCorpDQ53" hidden="1">#REF!</definedName>
    <definedName name="IQRAllCorpDQ67" hidden="1">#REF!</definedName>
    <definedName name="IQRAllCorpDQ77" hidden="1">#REF!</definedName>
    <definedName name="IQRAllCorpDQ78" hidden="1">#REF!</definedName>
    <definedName name="IQRAllCorpDQ8" hidden="1">#REF!</definedName>
    <definedName name="IQRAllCorpDR42" hidden="1">#REF!</definedName>
    <definedName name="IQRAllCorpDR53" hidden="1">#REF!</definedName>
    <definedName name="IQRAllCorpDR67" hidden="1">#REF!</definedName>
    <definedName name="IQRAllCorpDR77" hidden="1">#REF!</definedName>
    <definedName name="IQRAllCorpDR78" hidden="1">#REF!</definedName>
    <definedName name="IQRAllCorpDR8" hidden="1">#REF!</definedName>
    <definedName name="IQRAllCorpDS8" hidden="1">#REF!</definedName>
    <definedName name="IQRAllCorpDT8" hidden="1">#REF!</definedName>
    <definedName name="IQRAllCorpDU42" hidden="1">#REF!</definedName>
    <definedName name="IQRAllCorpDU53" hidden="1">#REF!</definedName>
    <definedName name="IQRAllCorpDU67" hidden="1">#REF!</definedName>
    <definedName name="IQRAllCorpDU77" hidden="1">#REF!</definedName>
    <definedName name="IQRAllCorpDU78" hidden="1">#REF!</definedName>
    <definedName name="IQRAllCorpDU8" hidden="1">#REF!</definedName>
    <definedName name="IQRAllCorpDV42" hidden="1">#REF!</definedName>
    <definedName name="IQRAllCorpDV53" hidden="1">#REF!</definedName>
    <definedName name="IQRAllCorpDV67" hidden="1">#REF!</definedName>
    <definedName name="IQRAllCorpDV77" hidden="1">#REF!</definedName>
    <definedName name="IQRAllCorpDV78" hidden="1">#REF!</definedName>
    <definedName name="IQRAllCorpDV8" hidden="1">#REF!</definedName>
    <definedName name="IQRAllCorpDW42" hidden="1">#REF!</definedName>
    <definedName name="IQRAllCorpDW53" hidden="1">#REF!</definedName>
    <definedName name="IQRAllCorpDW67" hidden="1">#REF!</definedName>
    <definedName name="IQRAllCorpDW77" hidden="1">#REF!</definedName>
    <definedName name="IQRAllCorpDW78" hidden="1">#REF!</definedName>
    <definedName name="IQRAllCorpDW8" hidden="1">#REF!</definedName>
    <definedName name="IQRAllCorpDX42" hidden="1">#REF!</definedName>
    <definedName name="IQRAllCorpDX53" hidden="1">#REF!</definedName>
    <definedName name="IQRAllCorpDX67" hidden="1">#REF!</definedName>
    <definedName name="IQRAllCorpDX77" hidden="1">#REF!</definedName>
    <definedName name="IQRAllCorpDX78" hidden="1">#REF!</definedName>
    <definedName name="IQRAllCorpDX8" hidden="1">#REF!</definedName>
    <definedName name="IQRAllCorpDY42" hidden="1">#REF!</definedName>
    <definedName name="IQRAllCorpDY53" hidden="1">#REF!</definedName>
    <definedName name="IQRAllCorpDY67" hidden="1">#REF!</definedName>
    <definedName name="IQRAllCorpDY77" hidden="1">#REF!</definedName>
    <definedName name="IQRAllCorpDY78" hidden="1">#REF!</definedName>
    <definedName name="IQRAllCorpDY8" hidden="1">#REF!</definedName>
    <definedName name="IQRAllCorpDZ42" hidden="1">#REF!</definedName>
    <definedName name="IQRAllCorpDZ53" hidden="1">#REF!</definedName>
    <definedName name="IQRAllCorpDZ67" hidden="1">#REF!</definedName>
    <definedName name="IQRAllCorpDZ77" hidden="1">#REF!</definedName>
    <definedName name="IQRAllCorpDZ78" hidden="1">#REF!</definedName>
    <definedName name="IQRAllCorpDZ8" hidden="1">#REF!</definedName>
    <definedName name="IQRAllCorpE8" hidden="1">#REF!</definedName>
    <definedName name="IQRAllCorpEA42" hidden="1">#REF!</definedName>
    <definedName name="IQRAllCorpEA53" hidden="1">#REF!</definedName>
    <definedName name="IQRAllCorpEA67" hidden="1">#REF!</definedName>
    <definedName name="IQRAllCorpEA77" hidden="1">#REF!</definedName>
    <definedName name="IQRAllCorpEA78" hidden="1">#REF!</definedName>
    <definedName name="IQRAllCorpEA8" hidden="1">#REF!</definedName>
    <definedName name="IQRAllCorpEB42" hidden="1">#REF!</definedName>
    <definedName name="IQRAllCorpEB53" hidden="1">#REF!</definedName>
    <definedName name="IQRAllCorpEB67" hidden="1">#REF!</definedName>
    <definedName name="IQRAllCorpEB77" hidden="1">#REF!</definedName>
    <definedName name="IQRAllCorpEB78" hidden="1">#REF!</definedName>
    <definedName name="IQRAllCorpEB8" hidden="1">#REF!</definedName>
    <definedName name="IQRAllCorpEC42" hidden="1">#REF!</definedName>
    <definedName name="IQRAllCorpEC53" hidden="1">#REF!</definedName>
    <definedName name="IQRAllCorpEC67" hidden="1">#REF!</definedName>
    <definedName name="IQRAllCorpEC77" hidden="1">#REF!</definedName>
    <definedName name="IQRAllCorpEC78" hidden="1">#REF!</definedName>
    <definedName name="IQRAllCorpEC8" hidden="1">#REF!</definedName>
    <definedName name="IQRAllCorpED42" hidden="1">#REF!</definedName>
    <definedName name="IQRAllCorpED53" hidden="1">#REF!</definedName>
    <definedName name="IQRAllCorpED67" hidden="1">#REF!</definedName>
    <definedName name="IQRAllCorpED77" hidden="1">#REF!</definedName>
    <definedName name="IQRAllCorpED78" hidden="1">#REF!</definedName>
    <definedName name="IQRAllCorpED8" hidden="1">#REF!</definedName>
    <definedName name="IQRAllCorpEE42" hidden="1">#REF!</definedName>
    <definedName name="IQRAllCorpEE53" hidden="1">#REF!</definedName>
    <definedName name="IQRAllCorpEE67" hidden="1">#REF!</definedName>
    <definedName name="IQRAllCorpEE77" hidden="1">#REF!</definedName>
    <definedName name="IQRAllCorpEE78" hidden="1">#REF!</definedName>
    <definedName name="IQRAllCorpEE8" hidden="1">#REF!</definedName>
    <definedName name="IQRAllCorpEF8" hidden="1">#REF!</definedName>
    <definedName name="IQRAllCorpEG8" hidden="1">#REF!</definedName>
    <definedName name="IQRAllCorpEH42" hidden="1">#REF!</definedName>
    <definedName name="IQRAllCorpEH53" hidden="1">#REF!</definedName>
    <definedName name="IQRAllCorpEH67" hidden="1">#REF!</definedName>
    <definedName name="IQRAllCorpEH77" hidden="1">#REF!</definedName>
    <definedName name="IQRAllCorpEH78" hidden="1">#REF!</definedName>
    <definedName name="IQRAllCorpEH8" hidden="1">#REF!</definedName>
    <definedName name="IQRAllCorpEI42" hidden="1">#REF!</definedName>
    <definedName name="IQRAllCorpEI53" hidden="1">#REF!</definedName>
    <definedName name="IQRAllCorpEI67" hidden="1">#REF!</definedName>
    <definedName name="IQRAllCorpEI77" hidden="1">#REF!</definedName>
    <definedName name="IQRAllCorpEI78" hidden="1">#REF!</definedName>
    <definedName name="IQRAllCorpEI8" hidden="1">#REF!</definedName>
    <definedName name="IQRAllCorpEJ42" hidden="1">#REF!</definedName>
    <definedName name="IQRAllCorpEJ53" hidden="1">#REF!</definedName>
    <definedName name="IQRAllCorpEJ67" hidden="1">#REF!</definedName>
    <definedName name="IQRAllCorpEJ77" hidden="1">#REF!</definedName>
    <definedName name="IQRAllCorpEJ78" hidden="1">#REF!</definedName>
    <definedName name="IQRAllCorpEJ8" hidden="1">#REF!</definedName>
    <definedName name="IQRAllCorpEK42" hidden="1">#REF!</definedName>
    <definedName name="IQRAllCorpEK53" hidden="1">#REF!</definedName>
    <definedName name="IQRAllCorpEK67" hidden="1">#REF!</definedName>
    <definedName name="IQRAllCorpEK77" hidden="1">#REF!</definedName>
    <definedName name="IQRAllCorpEK78" hidden="1">#REF!</definedName>
    <definedName name="IQRAllCorpEK8" hidden="1">#REF!</definedName>
    <definedName name="IQRAllCorpEL42" hidden="1">#REF!</definedName>
    <definedName name="IQRAllCorpEL53" hidden="1">#REF!</definedName>
    <definedName name="IQRAllCorpEL67" hidden="1">#REF!</definedName>
    <definedName name="IQRAllCorpEL77" hidden="1">#REF!</definedName>
    <definedName name="IQRAllCorpEL78" hidden="1">#REF!</definedName>
    <definedName name="IQRAllCorpEL8" hidden="1">#REF!</definedName>
    <definedName name="IQRAllCorpEM42" hidden="1">#REF!</definedName>
    <definedName name="IQRAllCorpEM53" hidden="1">#REF!</definedName>
    <definedName name="IQRAllCorpEM67" hidden="1">#REF!</definedName>
    <definedName name="IQRAllCorpEM77" hidden="1">#REF!</definedName>
    <definedName name="IQRAllCorpEM78" hidden="1">#REF!</definedName>
    <definedName name="IQRAllCorpEM8" hidden="1">#REF!</definedName>
    <definedName name="IQRAllCorpEN42" hidden="1">#REF!</definedName>
    <definedName name="IQRAllCorpEN53" hidden="1">#REF!</definedName>
    <definedName name="IQRAllCorpEN67" hidden="1">#REF!</definedName>
    <definedName name="IQRAllCorpEN77" hidden="1">#REF!</definedName>
    <definedName name="IQRAllCorpEN78" hidden="1">#REF!</definedName>
    <definedName name="IQRAllCorpEN8" hidden="1">#REF!</definedName>
    <definedName name="IQRAllCorpEO42" hidden="1">#REF!</definedName>
    <definedName name="IQRAllCorpEO53" hidden="1">#REF!</definedName>
    <definedName name="IQRAllCorpEO67" hidden="1">#REF!</definedName>
    <definedName name="IQRAllCorpEO77" hidden="1">#REF!</definedName>
    <definedName name="IQRAllCorpEO78" hidden="1">#REF!</definedName>
    <definedName name="IQRAllCorpEO8" hidden="1">#REF!</definedName>
    <definedName name="IQRAllCorpEP42" hidden="1">#REF!</definedName>
    <definedName name="IQRAllCorpEP53" hidden="1">#REF!</definedName>
    <definedName name="IQRAllCorpEP67" hidden="1">#REF!</definedName>
    <definedName name="IQRAllCorpEP77" hidden="1">#REF!</definedName>
    <definedName name="IQRAllCorpEP78" hidden="1">#REF!</definedName>
    <definedName name="IQRAllCorpEP8" hidden="1">#REF!</definedName>
    <definedName name="IQRAllCorpEQ42" hidden="1">#REF!</definedName>
    <definedName name="IQRAllCorpEQ53" hidden="1">#REF!</definedName>
    <definedName name="IQRAllCorpEQ67" hidden="1">#REF!</definedName>
    <definedName name="IQRAllCorpEQ77" hidden="1">#REF!</definedName>
    <definedName name="IQRAllCorpEQ78" hidden="1">#REF!</definedName>
    <definedName name="IQRAllCorpEQ8" hidden="1">#REF!</definedName>
    <definedName name="IQRAllCorpER42" hidden="1">#REF!</definedName>
    <definedName name="IQRAllCorpER53" hidden="1">#REF!</definedName>
    <definedName name="IQRAllCorpER67" hidden="1">#REF!</definedName>
    <definedName name="IQRAllCorpER77" hidden="1">#REF!</definedName>
    <definedName name="IQRAllCorpER78" hidden="1">#REF!</definedName>
    <definedName name="IQRAllCorpER8" hidden="1">#REF!</definedName>
    <definedName name="IQRAllCorpES8" hidden="1">#REF!</definedName>
    <definedName name="IQRAllCorpET8" hidden="1">#REF!</definedName>
    <definedName name="IQRAllCorpEU42" hidden="1">#REF!</definedName>
    <definedName name="IQRAllCorpEU53" hidden="1">#REF!</definedName>
    <definedName name="IQRAllCorpEU67" hidden="1">#REF!</definedName>
    <definedName name="IQRAllCorpEU77" hidden="1">#REF!</definedName>
    <definedName name="IQRAllCorpEU78" hidden="1">#REF!</definedName>
    <definedName name="IQRAllCorpEU8" hidden="1">#REF!</definedName>
    <definedName name="IQRAllCorpEV42" hidden="1">#REF!</definedName>
    <definedName name="IQRAllCorpEV53" hidden="1">#REF!</definedName>
    <definedName name="IQRAllCorpEV67" hidden="1">#REF!</definedName>
    <definedName name="IQRAllCorpEV77" hidden="1">#REF!</definedName>
    <definedName name="IQRAllCorpEV78" hidden="1">#REF!</definedName>
    <definedName name="IQRAllCorpEV8" hidden="1">#REF!</definedName>
    <definedName name="IQRAllCorpEW42" hidden="1">#REF!</definedName>
    <definedName name="IQRAllCorpEW53" hidden="1">#REF!</definedName>
    <definedName name="IQRAllCorpEW67" hidden="1">#REF!</definedName>
    <definedName name="IQRAllCorpEW77" hidden="1">#REF!</definedName>
    <definedName name="IQRAllCorpEW78" hidden="1">#REF!</definedName>
    <definedName name="IQRAllCorpEW8" hidden="1">#REF!</definedName>
    <definedName name="IQRAllCorpEX42" hidden="1">#REF!</definedName>
    <definedName name="IQRAllCorpEX53" hidden="1">#REF!</definedName>
    <definedName name="IQRAllCorpEX67" hidden="1">#REF!</definedName>
    <definedName name="IQRAllCorpEX77" hidden="1">#REF!</definedName>
    <definedName name="IQRAllCorpEX78" hidden="1">#REF!</definedName>
    <definedName name="IQRAllCorpEX8" hidden="1">#REF!</definedName>
    <definedName name="IQRAllCorpEY42" hidden="1">#REF!</definedName>
    <definedName name="IQRAllCorpEY53" hidden="1">#REF!</definedName>
    <definedName name="IQRAllCorpEY67" hidden="1">#REF!</definedName>
    <definedName name="IQRAllCorpEY77" hidden="1">#REF!</definedName>
    <definedName name="IQRAllCorpEY78" hidden="1">#REF!</definedName>
    <definedName name="IQRAllCorpEY8" hidden="1">#REF!</definedName>
    <definedName name="IQRAllCorpEZ42" hidden="1">#REF!</definedName>
    <definedName name="IQRAllCorpEZ53" hidden="1">#REF!</definedName>
    <definedName name="IQRAllCorpEZ67" hidden="1">#REF!</definedName>
    <definedName name="IQRAllCorpEZ77" hidden="1">#REF!</definedName>
    <definedName name="IQRAllCorpEZ78" hidden="1">#REF!</definedName>
    <definedName name="IQRAllCorpEZ8" hidden="1">#REF!</definedName>
    <definedName name="IQRAllCorpF8" hidden="1">#REF!</definedName>
    <definedName name="IQRAllCorpFA42" hidden="1">#REF!</definedName>
    <definedName name="IQRAllCorpFA53" hidden="1">#REF!</definedName>
    <definedName name="IQRAllCorpFA67" hidden="1">#REF!</definedName>
    <definedName name="IQRAllCorpFA77" hidden="1">#REF!</definedName>
    <definedName name="IQRAllCorpFA78" hidden="1">#REF!</definedName>
    <definedName name="IQRAllCorpFA8" hidden="1">#REF!</definedName>
    <definedName name="IQRAllCorpFB42" hidden="1">#REF!</definedName>
    <definedName name="IQRAllCorpFB53" hidden="1">#REF!</definedName>
    <definedName name="IQRAllCorpFB67" hidden="1">#REF!</definedName>
    <definedName name="IQRAllCorpFB77" hidden="1">#REF!</definedName>
    <definedName name="IQRAllCorpFB78" hidden="1">#REF!</definedName>
    <definedName name="IQRAllCorpFB8" hidden="1">#REF!</definedName>
    <definedName name="IQRAllCorpFC42" hidden="1">#REF!</definedName>
    <definedName name="IQRAllCorpFC53" hidden="1">#REF!</definedName>
    <definedName name="IQRAllCorpFC67" hidden="1">#REF!</definedName>
    <definedName name="IQRAllCorpFC77" hidden="1">#REF!</definedName>
    <definedName name="IQRAllCorpFC78" hidden="1">#REF!</definedName>
    <definedName name="IQRAllCorpFC8" hidden="1">#REF!</definedName>
    <definedName name="IQRAllCorpFD42" hidden="1">#REF!</definedName>
    <definedName name="IQRAllCorpFD53" hidden="1">#REF!</definedName>
    <definedName name="IQRAllCorpFD67" hidden="1">#REF!</definedName>
    <definedName name="IQRAllCorpFD77" hidden="1">#REF!</definedName>
    <definedName name="IQRAllCorpFD78" hidden="1">#REF!</definedName>
    <definedName name="IQRAllCorpFD8" hidden="1">#REF!</definedName>
    <definedName name="IQRAllCorpFE42" hidden="1">#REF!</definedName>
    <definedName name="IQRAllCorpFE53" hidden="1">#REF!</definedName>
    <definedName name="IQRAllCorpFE67" hidden="1">#REF!</definedName>
    <definedName name="IQRAllCorpFE77" hidden="1">#REF!</definedName>
    <definedName name="IQRAllCorpFE78" hidden="1">#REF!</definedName>
    <definedName name="IQRAllCorpFE8" hidden="1">#REF!</definedName>
    <definedName name="IQRAllCorpG8" hidden="1">#REF!</definedName>
    <definedName name="IQRAllCorpS8" hidden="1">#REF!</definedName>
    <definedName name="IQRAllCorpT8" hidden="1">#REF!</definedName>
    <definedName name="IQRAM2" hidden="1">"$AM$3:$AM$26"</definedName>
    <definedName name="IQRAM3" hidden="1">"$AM$4:$AM$253"</definedName>
    <definedName name="IQRAM4" hidden="1">"$AM$5:$AM$254"</definedName>
    <definedName name="IQRAM5" hidden="1">"$AM$6:$AM$255"</definedName>
    <definedName name="IQRAM53" hidden="1">"$AM$54:$AM$61"</definedName>
    <definedName name="IQRAM6" hidden="1">"$AM$7:$AM$256"</definedName>
    <definedName name="IQRAM81" hidden="1">"$AM$82"</definedName>
    <definedName name="IQRAN2" hidden="1">"$AN$3"</definedName>
    <definedName name="IQRAN3" hidden="1">"$AN$4:$AN$253"</definedName>
    <definedName name="IQRAN53" hidden="1">"$AN$54:$AN$64"</definedName>
    <definedName name="IQRAN8" hidden="1">#REF!</definedName>
    <definedName name="IQRAN81" hidden="1">"$AN$82"</definedName>
    <definedName name="IQRAO2" hidden="1">"$AO$3"</definedName>
    <definedName name="IQRAO3" hidden="1">"$AO$4:$AO$253"</definedName>
    <definedName name="IQRAO81" hidden="1">"$AO$82"</definedName>
    <definedName name="IQRAP2" hidden="1">"$AP$3"</definedName>
    <definedName name="IQRAP49" hidden="1">"$AP$50:$AP$302"</definedName>
    <definedName name="IQRAP5" hidden="1">"$AP$6:$AP$255"</definedName>
    <definedName name="IQRAP53" hidden="1">"$AP$54:$AP$61"</definedName>
    <definedName name="IQRAP6" hidden="1">"$AP$7:$AP$256"</definedName>
    <definedName name="IQRAP7" hidden="1">"$AP$8:$AP$257"</definedName>
    <definedName name="IQRAP81" hidden="1">"$AP$82"</definedName>
    <definedName name="IQRAQ2" hidden="1">"$AQ$3"</definedName>
    <definedName name="IQRAQ53" hidden="1">"$AQ$54:$AQ$57"</definedName>
    <definedName name="IQRAQ6" hidden="1">"$AQ$7:$AQ$256"</definedName>
    <definedName name="IQRAQ81" hidden="1">"$AQ$82"</definedName>
    <definedName name="IQRAR8" hidden="1">#REF!</definedName>
    <definedName name="IQRAR81" hidden="1">"$AR$82"</definedName>
    <definedName name="IQRAS53" hidden="1">"$AS$54:$AS$61"</definedName>
    <definedName name="IQRAS81" hidden="1">"$AS$82"</definedName>
    <definedName name="IQRAT81" hidden="1">"$AT$82"</definedName>
    <definedName name="IQRAU120" hidden="1">"$AU$121:$AU$138"</definedName>
    <definedName name="IQRAU121" hidden="1">"$AU$122:$AU$156"</definedName>
    <definedName name="IQRAU122" hidden="1">"$AU$123:$AU$153"</definedName>
    <definedName name="IQRAU123" hidden="1">"$AU$124:$AU$154"</definedName>
    <definedName name="IQRAU124" hidden="1">"$AU$125:$AU$152"</definedName>
    <definedName name="IQRAU125" hidden="1">"$AU$126:$AU$151"</definedName>
    <definedName name="IQRAU126" hidden="1">"$AU$127:$AU$152"</definedName>
    <definedName name="IQRAU28" hidden="1">"$AU$29:$AU$48"</definedName>
    <definedName name="IQRAU6" hidden="1">"$AU$7:$AU$256"</definedName>
    <definedName name="IQRAU7" hidden="1">"$AU$8:$AU$267"</definedName>
    <definedName name="IQRAU81" hidden="1">"$AU$82"</definedName>
    <definedName name="IQRAV124" hidden="1">"$AV$125:$AV$149"</definedName>
    <definedName name="IQRAV27" hidden="1">"$AV$28:$AV$89"</definedName>
    <definedName name="IQRAV28" hidden="1">"$AV$29:$AV$90"</definedName>
    <definedName name="IQRAV53" hidden="1">"$AV$54:$AV$118"</definedName>
    <definedName name="IQRAV8" hidden="1">#REF!</definedName>
    <definedName name="IQRAV81" hidden="1">"$AV$82"</definedName>
    <definedName name="IQRAW128" hidden="1">"$AW$129:$AW$141"</definedName>
    <definedName name="IQRAW129" hidden="1">"$AW$130:$AW$153"</definedName>
    <definedName name="IQRAW130" hidden="1">"$AW$131:$AW$156"</definedName>
    <definedName name="IQRAW53" hidden="1">"$AW$54:$AW$66"</definedName>
    <definedName name="IQRAW81" hidden="1">"$AW$82"</definedName>
    <definedName name="IQRAX53" hidden="1">"$AX$54:$AX$182"</definedName>
    <definedName name="IQRAX81" hidden="1">"$AX$82"</definedName>
    <definedName name="IQRAY81" hidden="1">"$AY$82"</definedName>
    <definedName name="IQRAZ28" hidden="1">"$AZ$29:$AZ$90"</definedName>
    <definedName name="IQRAZ6" hidden="1">"$AZ$7:$AZ$256"</definedName>
    <definedName name="IQRAZ7" hidden="1">"$AZ$8:$AZ$257"</definedName>
    <definedName name="IQRAZ81" hidden="1">"$AZ$82"</definedName>
    <definedName name="IQRAZNH20" hidden="1">#REF!</definedName>
    <definedName name="IQRB10" hidden="1">"$B$11:$B$269"</definedName>
    <definedName name="IQRB11" hidden="1">#REF!</definedName>
    <definedName name="IQRB12" hidden="1">"$B$13:$B$33"</definedName>
    <definedName name="IQRB1273" hidden="1">"$B$1274"</definedName>
    <definedName name="IQRB13" hidden="1">#REF!</definedName>
    <definedName name="IQRB14" hidden="1">#REF!</definedName>
    <definedName name="IQRB15" hidden="1">"$B$16:$B$17"</definedName>
    <definedName name="IQRB16" hidden="1">#REF!</definedName>
    <definedName name="IQRB17" hidden="1">"$B$18:$B$22"</definedName>
    <definedName name="IQRB18" hidden="1">"$B$19:$B$23"</definedName>
    <definedName name="IQRB19" hidden="1">"$B$20:$B$24"</definedName>
    <definedName name="IQRB2" hidden="1">"$B$3:$B$118"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25" hidden="1">#REF!</definedName>
    <definedName name="IQRB26" hidden="1">#REF!</definedName>
    <definedName name="IQRB27" hidden="1">#REF!</definedName>
    <definedName name="IQRB28" hidden="1">#REF!</definedName>
    <definedName name="IQRB29" hidden="1">#REF!</definedName>
    <definedName name="IQRB3" hidden="1">"$B$4:$B$119"</definedName>
    <definedName name="IQRB30" hidden="1">#REF!</definedName>
    <definedName name="IQRB31" hidden="1">#REF!</definedName>
    <definedName name="IQRB32" hidden="1">"$B$33:$B$37"</definedName>
    <definedName name="IQRB33" hidden="1">"$B$34:$B$38"</definedName>
    <definedName name="IQRB34" hidden="1">"$B$35:$B$39"</definedName>
    <definedName name="IQRB35" hidden="1">#REF!</definedName>
    <definedName name="IQRB36" hidden="1">#REF!</definedName>
    <definedName name="IQRB38" hidden="1">"$B$39:$B$48"</definedName>
    <definedName name="IQRB39" hidden="1">"$B$40:$B$61"</definedName>
    <definedName name="IQRB4" hidden="1">"$B$5:$B$254"</definedName>
    <definedName name="IQRB400" hidden="1">"$B$401:$B$652"</definedName>
    <definedName name="IQRB402" hidden="1">"$B$403:$B$654"</definedName>
    <definedName name="IQRB403" hidden="1">"$B$404:$B$656"</definedName>
    <definedName name="IQRB405" hidden="1">"$B$406:$B$658"</definedName>
    <definedName name="IQRB406" hidden="1">"$B$407:$B$659"</definedName>
    <definedName name="IQRB413" hidden="1">"$B$414:$B$666"</definedName>
    <definedName name="IQRB415" hidden="1">"$B$416:$B$668"</definedName>
    <definedName name="IQRB417" hidden="1">"$B$418:$B$670"</definedName>
    <definedName name="IQRB419" hidden="1">"$B$420:$B$672"</definedName>
    <definedName name="IQRB434" hidden="1">"$B$435:$B$687"</definedName>
    <definedName name="IQRB439" hidden="1">"$B$440:$B$692"</definedName>
    <definedName name="IQRB441" hidden="1">"$B$442:$B$694"</definedName>
    <definedName name="IQRB442" hidden="1">"$B$443:$B$695"</definedName>
    <definedName name="IQRB443" hidden="1">"$B$444:$B$696"</definedName>
    <definedName name="IQRB444" hidden="1">"$B$445:$B$697"</definedName>
    <definedName name="IQRB448" hidden="1">"$B$449:$B$701"</definedName>
    <definedName name="IQRB449" hidden="1">"$B$450:$B$702"</definedName>
    <definedName name="IQRB450" hidden="1">"$B$451:$B$703"</definedName>
    <definedName name="IQRB48" hidden="1">#REF!</definedName>
    <definedName name="IQRB49" hidden="1">#REF!</definedName>
    <definedName name="IQRB5" hidden="1">"$B$6:$B$255"</definedName>
    <definedName name="IQRB50" hidden="1">#REF!</definedName>
    <definedName name="IQRB581" hidden="1">"$B$582:$B$834"</definedName>
    <definedName name="IQRB582" hidden="1">"$B$583:$B$835"</definedName>
    <definedName name="IQRB583" hidden="1">"$B$584:$B$836"</definedName>
    <definedName name="IQRB6" hidden="1">"$B$7:$B$2204"</definedName>
    <definedName name="IQRB7" hidden="1">"$B$8:$B$257"</definedName>
    <definedName name="IQRB8" hidden="1">#REF!</definedName>
    <definedName name="IQRB9" hidden="1">"$B$10"</definedName>
    <definedName name="IQRBA28" hidden="1">"$BA$29:$BA$90"</definedName>
    <definedName name="IQRBA4" hidden="1">"$BA$5:$BA$9"</definedName>
    <definedName name="IQRBA81" hidden="1">"$BA$82"</definedName>
    <definedName name="IQRBasicCAUsageB16" hidden="1">#REF!</definedName>
    <definedName name="IQRBasicCAUsageB63" hidden="1">#REF!</definedName>
    <definedName name="IQRBasicCAUsageC16" hidden="1">#REF!</definedName>
    <definedName name="IQRBasicCAUsageE16" hidden="1">#REF!</definedName>
    <definedName name="IQRBasicCAUsageE63" hidden="1">#REF!</definedName>
    <definedName name="IQRBasicCAUsageG63" hidden="1">#REF!</definedName>
    <definedName name="IQRBasicCAUsageH16" hidden="1">#REF!</definedName>
    <definedName name="IQRBasicCAUsageH63" hidden="1">#REF!</definedName>
    <definedName name="IQRBB28" hidden="1">"$BB$29:$BB$90"</definedName>
    <definedName name="IQRBB4" hidden="1">"$BB$5:$BB$9"</definedName>
    <definedName name="IQRBB81" hidden="1">"$BB$82"</definedName>
    <definedName name="IQRBC28" hidden="1">"$BC$29:$BC$90"</definedName>
    <definedName name="IQRBC81" hidden="1">"$BC$82"</definedName>
    <definedName name="IQRBD28" hidden="1">"$BD$29:$BD$90"</definedName>
    <definedName name="IQRBD81" hidden="1">"$BD$82"</definedName>
    <definedName name="IQRBE81" hidden="1">"$BE$82"</definedName>
    <definedName name="IQRBetaCalculation5ymonthlyAF11" hidden="1">#REF!</definedName>
    <definedName name="IQRBetaCalculation5ymonthlyAP11" hidden="1">#REF!</definedName>
    <definedName name="IQRBetaCalculation5ymonthlyAZ11" hidden="1">#REF!</definedName>
    <definedName name="IQRBetaCalculation5ymonthlyBJ11" hidden="1">#REF!</definedName>
    <definedName name="IQRBetaCalculation5ymonthlyL11" hidden="1">#REF!</definedName>
    <definedName name="IQRBetaCalculation5ymonthlyV11" hidden="1">#REF!</definedName>
    <definedName name="IQRBetaCalculation5yweeklyAF11" hidden="1">#REF!</definedName>
    <definedName name="IQRBetaCalculation5yweeklyAP11" hidden="1">#REF!</definedName>
    <definedName name="IQRBetaCalculation5yweeklyAZ11" hidden="1">#REF!</definedName>
    <definedName name="IQRBetaCalculation5yweeklyBJ11" hidden="1">#REF!</definedName>
    <definedName name="IQRBetaCalculation5yweeklyL11" hidden="1">#REF!</definedName>
    <definedName name="IQRBetaCalculation5yweeklyV11" hidden="1">#REF!</definedName>
    <definedName name="IQRBetaCalculationAH20" hidden="1">#REF!</definedName>
    <definedName name="IQRBetaCalculationAP20" hidden="1">#REF!</definedName>
    <definedName name="IQRBetaCalculationAX20" hidden="1">#REF!</definedName>
    <definedName name="IQRBetaCalculationBF20" hidden="1">#REF!</definedName>
    <definedName name="IQRBetaCalculationZ20" hidden="1">#REF!</definedName>
    <definedName name="IQRBetaDATASHEETB17" hidden="1">#REF!</definedName>
    <definedName name="IQRBF49" hidden="1">"$BF$50:$BF$302"</definedName>
    <definedName name="IQRBF81" hidden="1">"$BF$82"</definedName>
    <definedName name="IQRBG81" hidden="1">"$BG$82"</definedName>
    <definedName name="IQRBH81" hidden="1">"$BH$82"</definedName>
    <definedName name="IQRBI81" hidden="1">"$BI$82"</definedName>
    <definedName name="IQRBJ81" hidden="1">"$BJ$82"</definedName>
    <definedName name="IQRBK81" hidden="1">"$BK$82"</definedName>
    <definedName name="IQRBL81" hidden="1">"$BL$82"</definedName>
    <definedName name="IQRBM81" hidden="1">"$BM$82"</definedName>
    <definedName name="IQRBMYH20" hidden="1">#REF!</definedName>
    <definedName name="IQRBN81" hidden="1">"$BN$82"</definedName>
    <definedName name="IQRBO81" hidden="1">"$BO$82"</definedName>
    <definedName name="IQRBoardB6" hidden="1">#REF!</definedName>
    <definedName name="IQRBP81" hidden="1">"$BP$82"</definedName>
    <definedName name="IQRC10" hidden="1">"$C$11:$C$863"</definedName>
    <definedName name="IQRC11" hidden="1">"$C$12:$C$864"</definedName>
    <definedName name="IQRC12" hidden="1">"$C$13:$C$865"</definedName>
    <definedName name="IQRC13" hidden="1">"$C$14:$C$866"</definedName>
    <definedName name="IQRC14" hidden="1">"$C$15:$C$867"</definedName>
    <definedName name="IQRC15" hidden="1">"$C$16:$C$20"</definedName>
    <definedName name="IQRC16" hidden="1">"$C$17:$C$869"</definedName>
    <definedName name="IQRC17" hidden="1">"$C$18:$C$870"</definedName>
    <definedName name="IQRC18" hidden="1">"$C$19:$C$871"</definedName>
    <definedName name="IQRC19" hidden="1">"$C$20:$C$872"</definedName>
    <definedName name="IQRC2" hidden="1">"$C$3:$C$13"</definedName>
    <definedName name="IQRC20" hidden="1">"$C$21:$C$873"</definedName>
    <definedName name="IQRC21" hidden="1">"$C$22:$C$874"</definedName>
    <definedName name="IQRC22" hidden="1">"$C$23:$C$875"</definedName>
    <definedName name="IQRC23" hidden="1">"$C$24:$C$876"</definedName>
    <definedName name="IQRC24" hidden="1">"$C$25:$C$29"</definedName>
    <definedName name="IQRC25" hidden="1">"$C$26:$C$878"</definedName>
    <definedName name="IQRC26" hidden="1">"$C$27:$C$879"</definedName>
    <definedName name="IQRC27" hidden="1">"$C$28:$C$880"</definedName>
    <definedName name="IQRC28" hidden="1">"$C$29:$C$881"</definedName>
    <definedName name="IQRC29" hidden="1">"$C$30:$C$882"</definedName>
    <definedName name="IQRC3" hidden="1">"$C$4:$C$253"</definedName>
    <definedName name="IQRC30" hidden="1">"$C$31:$C$883"</definedName>
    <definedName name="IQRC31" hidden="1">"$C$32:$C$884"</definedName>
    <definedName name="IQRC32" hidden="1">"$C$33:$C$885"</definedName>
    <definedName name="IQRC33" hidden="1">"$C$34:$C$886"</definedName>
    <definedName name="IQRC34" hidden="1">"$C$35:$C$887"</definedName>
    <definedName name="IQRC35" hidden="1">"$C$36:$C$888"</definedName>
    <definedName name="IQRC36" hidden="1">"$C$37:$C$889"</definedName>
    <definedName name="IQRC37" hidden="1">"$C$38:$C$890"</definedName>
    <definedName name="IQRC38" hidden="1">"$C$39:$C$891"</definedName>
    <definedName name="IQRC39" hidden="1">"$C$40:$C$83"</definedName>
    <definedName name="IQRC4" hidden="1">"$C$5:$C$254"</definedName>
    <definedName name="IQRC40" hidden="1">"$C$41:$C$893"</definedName>
    <definedName name="IQRC42" hidden="1">"$C$43:$C$895"</definedName>
    <definedName name="IQRC44" hidden="1">"$C$45:$C$897"</definedName>
    <definedName name="IQRC5" hidden="1">"$C$6:$C$255"</definedName>
    <definedName name="IQRC50" hidden="1">#REF!</definedName>
    <definedName name="IQRC6" hidden="1">"$C$7:$C$21"</definedName>
    <definedName name="IQRC7" hidden="1">"$C$8:$C$860"</definedName>
    <definedName name="IQRC8" hidden="1">"$C$9:$C$19"</definedName>
    <definedName name="IQRC9" hidden="1">"$C$10:$C$862"</definedName>
    <definedName name="IQRCDS2A9" hidden="1">#REF!</definedName>
    <definedName name="IQRChartsAG53" hidden="1">#REF!</definedName>
    <definedName name="IQRChartsAJ53" hidden="1">#REF!</definedName>
    <definedName name="IQRChartsAM53" hidden="1">#REF!</definedName>
    <definedName name="IQRChartsAX53" hidden="1">#REF!</definedName>
    <definedName name="IQRCIQPricedataHF29" hidden="1">#REF!</definedName>
    <definedName name="IQRCIQPricedataHS29" hidden="1">#REF!</definedName>
    <definedName name="IQRCompany_Tear_SheetG19" hidden="1">#REF!</definedName>
    <definedName name="IQRCompany_Tear_SheetG20" hidden="1">#REF!</definedName>
    <definedName name="IQRCompany_Tear_SheetG21" hidden="1">#REF!</definedName>
    <definedName name="IQRCompany_Tear_SheetH20" hidden="1">#REF!</definedName>
    <definedName name="IQRCompsAC5" hidden="1">#REF!</definedName>
    <definedName name="IQRContractsD4" hidden="1">#REF!</definedName>
    <definedName name="IQRContractsT39" hidden="1">#REF!</definedName>
    <definedName name="IQRCorporateYieldCurvesAS73" hidden="1">#REF!</definedName>
    <definedName name="IQRCreditAnalyticsScoringAA34" hidden="1">#REF!</definedName>
    <definedName name="IQRCreditAnalyticsScoringAB34" hidden="1">#REF!</definedName>
    <definedName name="IQRCreditAnalyticsScoringAI34" hidden="1">#REF!</definedName>
    <definedName name="IQRCreditAnalyticsScoringAL34" hidden="1">#REF!</definedName>
    <definedName name="IQRCreditAnalyticsScoringAN34" hidden="1">#REF!</definedName>
    <definedName name="IQRCreditAnalyticsScoringAO34" hidden="1">#REF!</definedName>
    <definedName name="IQRCreditAnalyticsScoringAQ34" hidden="1">#REF!</definedName>
    <definedName name="IQRCreditAnalyticsScoringAV34" hidden="1">#REF!</definedName>
    <definedName name="IQRCreditAnalyticsScoringBC34" hidden="1">#REF!</definedName>
    <definedName name="IQRCreditAnalyticsScoringBF33" hidden="1">#REF!</definedName>
    <definedName name="IQRCreditAnalyticsScoringBG33" hidden="1">#REF!</definedName>
    <definedName name="IQRCreditAnalyticsScoringBW34" hidden="1">#REF!</definedName>
    <definedName name="IQRCreditAnalyticsScoringBX34" hidden="1">#REF!</definedName>
    <definedName name="IQRCreditAnalyticsScoringCK34" hidden="1">#REF!</definedName>
    <definedName name="IQRCreditAnalyticsScoringCL34" hidden="1">#REF!</definedName>
    <definedName name="IQRCreditspreadAA23" hidden="1">#REF!</definedName>
    <definedName name="IQRCreditspreadAB23" hidden="1">#REF!</definedName>
    <definedName name="IQRCreditspreadAC23" hidden="1">#REF!</definedName>
    <definedName name="IQRCreditspreadAD23" hidden="1">#REF!</definedName>
    <definedName name="IQRCreditspreadAE23" hidden="1">#REF!</definedName>
    <definedName name="IQRCreditspreadAF23" hidden="1">#REF!</definedName>
    <definedName name="IQRCreditspreadAG23" hidden="1">#REF!</definedName>
    <definedName name="IQRCreditspreadAW23" hidden="1">#REF!</definedName>
    <definedName name="IQRCreditspreadAX23" hidden="1">#REF!</definedName>
    <definedName name="IQRCreditspreadAY23" hidden="1">#REF!</definedName>
    <definedName name="IQRCreditspreadAZ23" hidden="1">#REF!</definedName>
    <definedName name="IQRCreditspreadBA23" hidden="1">#REF!</definedName>
    <definedName name="IQRCreditspreadBB23" hidden="1">#REF!</definedName>
    <definedName name="IQRCreditspreadBC23" hidden="1">#REF!</definedName>
    <definedName name="IQRCreditspreadBD23" hidden="1">#REF!</definedName>
    <definedName name="IQRCreditspreadBE23" hidden="1">#REF!</definedName>
    <definedName name="IQRCreditspreadBetaAA23" hidden="1">#REF!</definedName>
    <definedName name="IQRCreditspreadBetaAB23" hidden="1">#REF!</definedName>
    <definedName name="IQRCreditspreadBetaAC23" hidden="1">#REF!</definedName>
    <definedName name="IQRCreditspreadBetaAD23" hidden="1">#REF!</definedName>
    <definedName name="IQRCreditspreadBetaAE23" hidden="1">#REF!</definedName>
    <definedName name="IQRCreditspreadBetaAF23" hidden="1">#REF!</definedName>
    <definedName name="IQRCreditspreadBetaAG23" hidden="1">#REF!</definedName>
    <definedName name="IQRCreditspreadBetaAH23" hidden="1">#REF!</definedName>
    <definedName name="IQRCreditspreadBetaAW23" hidden="1">#REF!</definedName>
    <definedName name="IQRCreditspreadBetaAX23" hidden="1">#REF!</definedName>
    <definedName name="IQRCreditspreadBetaAY23" hidden="1">#REF!</definedName>
    <definedName name="IQRCreditspreadBetaAZ23" hidden="1">#REF!</definedName>
    <definedName name="IQRCreditspreadBetaBA23" hidden="1">#REF!</definedName>
    <definedName name="IQRCreditspreadBetaBB23" hidden="1">#REF!</definedName>
    <definedName name="IQRCreditspreadBetaBC23" hidden="1">#REF!</definedName>
    <definedName name="IQRCreditspreadBetaBD23" hidden="1">#REF!</definedName>
    <definedName name="IQRCreditspreadBetaBE23" hidden="1">#REF!</definedName>
    <definedName name="IQRCreditspreadBetaBF23" hidden="1">#REF!</definedName>
    <definedName name="IQRCreditspreadBetaBG23" hidden="1">#REF!</definedName>
    <definedName name="IQRCreditspreadBetaBH23" hidden="1">#REF!</definedName>
    <definedName name="IQRCreditspreadBetaBI23" hidden="1">#REF!</definedName>
    <definedName name="IQRCreditspreadBetaBJ23" hidden="1">#REF!</definedName>
    <definedName name="IQRCreditspreadBetaBK23" hidden="1">#REF!</definedName>
    <definedName name="IQRCreditspreadBetaBL23" hidden="1">#REF!</definedName>
    <definedName name="IQRCreditspreadBetaBM23" hidden="1">#REF!</definedName>
    <definedName name="IQRCreditspreadBetaBN23" hidden="1">#REF!</definedName>
    <definedName name="IQRCreditspreadBetaBO23" hidden="1">#REF!</definedName>
    <definedName name="IQRCreditspreadBetaBP23" hidden="1">#REF!</definedName>
    <definedName name="IQRCreditspreadBetaBQ23" hidden="1">#REF!</definedName>
    <definedName name="IQRCreditspreadBetaCF23" hidden="1">#REF!</definedName>
    <definedName name="IQRCreditspreadBetaCG23" hidden="1">#REF!</definedName>
    <definedName name="IQRCreditspreadBetaCH23" hidden="1">#REF!</definedName>
    <definedName name="IQRCreditspreadBetaCI23" hidden="1">#REF!</definedName>
    <definedName name="IQRCreditspreadBetaCJ23" hidden="1">#REF!</definedName>
    <definedName name="IQRCreditspreadBetaCK23" hidden="1">#REF!</definedName>
    <definedName name="IQRCreditspreadBetaCL23" hidden="1">#REF!</definedName>
    <definedName name="IQRCreditspreadBetaCM23" hidden="1">#REF!</definedName>
    <definedName name="IQRCreditspreadBetaCN23" hidden="1">#REF!</definedName>
    <definedName name="IQRCreditspreadBetaCO23" hidden="1">#REF!</definedName>
    <definedName name="IQRCreditspreadBetaCP23" hidden="1">#REF!</definedName>
    <definedName name="IQRCreditspreadBetaCQ23" hidden="1">#REF!</definedName>
    <definedName name="IQRCreditspreadBetaCR23" hidden="1">#REF!</definedName>
    <definedName name="IQRCreditspreadBetaCS23" hidden="1">#REF!</definedName>
    <definedName name="IQRCreditspreadBetaCT23" hidden="1">#REF!</definedName>
    <definedName name="IQRCreditspreadBetaCU23" hidden="1">#REF!</definedName>
    <definedName name="IQRCreditspreadBetaCV23" hidden="1">#REF!</definedName>
    <definedName name="IQRCreditspreadBetaCW23" hidden="1">#REF!</definedName>
    <definedName name="IQRCreditspreadBetaCX23" hidden="1">#REF!</definedName>
    <definedName name="IQRCreditspreadBetaCY23" hidden="1">#REF!</definedName>
    <definedName name="IQRCreditspreadBetaCZ23" hidden="1">#REF!</definedName>
    <definedName name="IQRCreditspreadBetaDO23" hidden="1">#REF!</definedName>
    <definedName name="IQRCreditspreadBetaDP23" hidden="1">#REF!</definedName>
    <definedName name="IQRCreditspreadBetaDQ23" hidden="1">#REF!</definedName>
    <definedName name="IQRCreditspreadBetaDR23" hidden="1">#REF!</definedName>
    <definedName name="IQRCreditspreadBetaDS23" hidden="1">#REF!</definedName>
    <definedName name="IQRCreditspreadBetaDT23" hidden="1">#REF!</definedName>
    <definedName name="IQRCreditspreadBetaDU23" hidden="1">#REF!</definedName>
    <definedName name="IQRCreditspreadBetaDV23" hidden="1">#REF!</definedName>
    <definedName name="IQRCreditspreadBetaDW23" hidden="1">#REF!</definedName>
    <definedName name="IQRCreditspreadBetaDX23" hidden="1">#REF!</definedName>
    <definedName name="IQRCreditspreadBetaDY23" hidden="1">#REF!</definedName>
    <definedName name="IQRCreditspreadBetaDZ23" hidden="1">#REF!</definedName>
    <definedName name="IQRCreditspreadBetaEA23" hidden="1">#REF!</definedName>
    <definedName name="IQRCreditspreadBetaEB23" hidden="1">#REF!</definedName>
    <definedName name="IQRCreditspreadBetaEC23" hidden="1">#REF!</definedName>
    <definedName name="IQRCreditspreadBetaED23" hidden="1">#REF!</definedName>
    <definedName name="IQRCreditspreadBetaEE23" hidden="1">#REF!</definedName>
    <definedName name="IQRCreditspreadBetaEF23" hidden="1">#REF!</definedName>
    <definedName name="IQRCreditspreadBetaEG23" hidden="1">#REF!</definedName>
    <definedName name="IQRCreditspreadBetaEH23" hidden="1">#REF!</definedName>
    <definedName name="IQRCreditspreadBetaEI23" hidden="1">#REF!</definedName>
    <definedName name="IQRCreditspreadBetaEX23" hidden="1">#REF!</definedName>
    <definedName name="IQRCreditspreadBetaEY23" hidden="1">#REF!</definedName>
    <definedName name="IQRCreditspreadBetaEZ23" hidden="1">#REF!</definedName>
    <definedName name="IQRCreditspreadBetaFA23" hidden="1">#REF!</definedName>
    <definedName name="IQRCreditspreadBetaFB23" hidden="1">#REF!</definedName>
    <definedName name="IQRCreditspreadBetaFC23" hidden="1">#REF!</definedName>
    <definedName name="IQRCreditspreadBetaFD23" hidden="1">#REF!</definedName>
    <definedName name="IQRCreditspreadBetaFE23" hidden="1">#REF!</definedName>
    <definedName name="IQRCreditspreadBetaFF23" hidden="1">#REF!</definedName>
    <definedName name="IQRCreditspreadBetaFG23" hidden="1">#REF!</definedName>
    <definedName name="IQRCreditspreadBetaFH23" hidden="1">#REF!</definedName>
    <definedName name="IQRCreditspreadBetaFI23" hidden="1">#REF!</definedName>
    <definedName name="IQRCreditspreadBetaFJ23" hidden="1">#REF!</definedName>
    <definedName name="IQRCreditspreadBetaFK23" hidden="1">#REF!</definedName>
    <definedName name="IQRCreditspreadBetaFL23" hidden="1">#REF!</definedName>
    <definedName name="IQRCreditspreadBetaFM23" hidden="1">#REF!</definedName>
    <definedName name="IQRCreditspreadBetaFN23" hidden="1">#REF!</definedName>
    <definedName name="IQRCreditspreadBetaFO23" hidden="1">#REF!</definedName>
    <definedName name="IQRCreditspreadBetaFP23" hidden="1">#REF!</definedName>
    <definedName name="IQRCreditspreadBetaFQ23" hidden="1">#REF!</definedName>
    <definedName name="IQRCreditspreadBetaFR23" hidden="1">#REF!</definedName>
    <definedName name="IQRCreditspreadBetaGG23" hidden="1">#REF!</definedName>
    <definedName name="IQRCreditspreadBetaGH23" hidden="1">#REF!</definedName>
    <definedName name="IQRCreditspreadBetaGI23" hidden="1">#REF!</definedName>
    <definedName name="IQRCreditspreadBetaGJ23" hidden="1">#REF!</definedName>
    <definedName name="IQRCreditspreadBetaGK23" hidden="1">#REF!</definedName>
    <definedName name="IQRCreditspreadBetaGL23" hidden="1">#REF!</definedName>
    <definedName name="IQRCreditspreadBetaGM23" hidden="1">#REF!</definedName>
    <definedName name="IQRCreditspreadBetaGN23" hidden="1">#REF!</definedName>
    <definedName name="IQRCreditspreadBetaGO23" hidden="1">#REF!</definedName>
    <definedName name="IQRCreditspreadBetaGP23" hidden="1">#REF!</definedName>
    <definedName name="IQRCreditspreadBetaGQ23" hidden="1">#REF!</definedName>
    <definedName name="IQRCreditspreadBetaGR23" hidden="1">#REF!</definedName>
    <definedName name="IQRCreditspreadBetaGS23" hidden="1">#REF!</definedName>
    <definedName name="IQRCreditspreadBetaGT23" hidden="1">#REF!</definedName>
    <definedName name="IQRCreditspreadBetaGU23" hidden="1">#REF!</definedName>
    <definedName name="IQRCreditspreadBetaGV23" hidden="1">#REF!</definedName>
    <definedName name="IQRCreditspreadBetaGW23" hidden="1">#REF!</definedName>
    <definedName name="IQRCreditspreadBetaGX23" hidden="1">#REF!</definedName>
    <definedName name="IQRCreditspreadBetaGY23" hidden="1">#REF!</definedName>
    <definedName name="IQRCreditspreadBetaGZ23" hidden="1">#REF!</definedName>
    <definedName name="IQRCreditspreadBetaHA23" hidden="1">#REF!</definedName>
    <definedName name="IQRCreditspreadBetaHP23" hidden="1">#REF!</definedName>
    <definedName name="IQRCreditspreadBetaHQ23" hidden="1">#REF!</definedName>
    <definedName name="IQRCreditspreadBetaHR23" hidden="1">#REF!</definedName>
    <definedName name="IQRCreditspreadBetaHS23" hidden="1">#REF!</definedName>
    <definedName name="IQRCreditspreadBetaHT23" hidden="1">#REF!</definedName>
    <definedName name="IQRCreditspreadBetaHU23" hidden="1">#REF!</definedName>
    <definedName name="IQRCreditspreadBetaHV23" hidden="1">#REF!</definedName>
    <definedName name="IQRCreditspreadBetaHW23" hidden="1">#REF!</definedName>
    <definedName name="IQRCreditspreadBetaHX23" hidden="1">#REF!</definedName>
    <definedName name="IQRCreditspreadBetaHY23" hidden="1">#REF!</definedName>
    <definedName name="IQRCreditspreadBetaHZ23" hidden="1">#REF!</definedName>
    <definedName name="IQRCreditspreadBetaIA23" hidden="1">#REF!</definedName>
    <definedName name="IQRCreditspreadBetaIB23" hidden="1">#REF!</definedName>
    <definedName name="IQRCreditspreadBetaIC23" hidden="1">#REF!</definedName>
    <definedName name="IQRCreditspreadBetaID23" hidden="1">#REF!</definedName>
    <definedName name="IQRCreditspreadBetaIE23" hidden="1">#REF!</definedName>
    <definedName name="IQRCreditspreadBetaIF23" hidden="1">#REF!</definedName>
    <definedName name="IQRCreditspreadBetaIG23" hidden="1">#REF!</definedName>
    <definedName name="IQRCreditspreadBetaIH23" hidden="1">#REF!</definedName>
    <definedName name="IQRCreditspreadBetaII23" hidden="1">#REF!</definedName>
    <definedName name="IQRCreditspreadBetaIJ23" hidden="1">#REF!</definedName>
    <definedName name="IQRCreditspreadBetaIR43" hidden="1">#REF!</definedName>
    <definedName name="IQRCreditspreadBetaIY23" hidden="1">#REF!</definedName>
    <definedName name="IQRCreditspreadBetaIZ23" hidden="1">#REF!</definedName>
    <definedName name="IQRCreditspreadBetaJA23" hidden="1">#REF!</definedName>
    <definedName name="IQRCreditspreadBetaJB23" hidden="1">#REF!</definedName>
    <definedName name="IQRCreditspreadBetaJC23" hidden="1">#REF!</definedName>
    <definedName name="IQRCreditspreadBetaJD23" hidden="1">#REF!</definedName>
    <definedName name="IQRCreditspreadBetaJE23" hidden="1">#REF!</definedName>
    <definedName name="IQRCreditspreadBetaJF23" hidden="1">#REF!</definedName>
    <definedName name="IQRCreditspreadBetaJG23" hidden="1">#REF!</definedName>
    <definedName name="IQRCreditspreadBetaJH23" hidden="1">#REF!</definedName>
    <definedName name="IQRCreditspreadBetaJI23" hidden="1">#REF!</definedName>
    <definedName name="IQRCreditspreadBetaJJ23" hidden="1">#REF!</definedName>
    <definedName name="IQRCreditspreadBetaJK23" hidden="1">#REF!</definedName>
    <definedName name="IQRCreditspreadBetaJL23" hidden="1">#REF!</definedName>
    <definedName name="IQRCreditspreadBetaJM23" hidden="1">#REF!</definedName>
    <definedName name="IQRCreditspreadBetaJN23" hidden="1">#REF!</definedName>
    <definedName name="IQRCreditspreadBetaJO23" hidden="1">#REF!</definedName>
    <definedName name="IQRCreditspreadBetaJP23" hidden="1">#REF!</definedName>
    <definedName name="IQRCreditspreadBetaJQ23" hidden="1">#REF!</definedName>
    <definedName name="IQRCreditspreadBetaJR23" hidden="1">#REF!</definedName>
    <definedName name="IQRCreditspreadBetaJS23" hidden="1">#REF!</definedName>
    <definedName name="IQRCreditspreadBetaKH23" hidden="1">#REF!</definedName>
    <definedName name="IQRCreditspreadBetaKI23" hidden="1">#REF!</definedName>
    <definedName name="IQRCreditspreadBetaKJ23" hidden="1">#REF!</definedName>
    <definedName name="IQRCreditspreadBetaKK23" hidden="1">#REF!</definedName>
    <definedName name="IQRCreditspreadBetaKL23" hidden="1">#REF!</definedName>
    <definedName name="IQRCreditspreadBetaKM23" hidden="1">#REF!</definedName>
    <definedName name="IQRCreditspreadBetaKN23" hidden="1">#REF!</definedName>
    <definedName name="IQRCreditspreadBetaKO23" hidden="1">#REF!</definedName>
    <definedName name="IQRCreditspreadBetaKP23" hidden="1">#REF!</definedName>
    <definedName name="IQRCreditspreadBetaKQ23" hidden="1">#REF!</definedName>
    <definedName name="IQRCreditspreadBetaKR23" hidden="1">#REF!</definedName>
    <definedName name="IQRCreditspreadBetaKS23" hidden="1">#REF!</definedName>
    <definedName name="IQRCreditspreadBetaKT23" hidden="1">#REF!</definedName>
    <definedName name="IQRCreditspreadBetaKU23" hidden="1">#REF!</definedName>
    <definedName name="IQRCreditspreadBetaKV23" hidden="1">#REF!</definedName>
    <definedName name="IQRCreditspreadBetaKW23" hidden="1">#REF!</definedName>
    <definedName name="IQRCreditspreadBetaKX23" hidden="1">#REF!</definedName>
    <definedName name="IQRCreditspreadBetaKY23" hidden="1">#REF!</definedName>
    <definedName name="IQRCreditspreadBetaKZ23" hidden="1">#REF!</definedName>
    <definedName name="IQRCreditspreadBetaLA23" hidden="1">#REF!</definedName>
    <definedName name="IQRCreditspreadBetaLB23" hidden="1">#REF!</definedName>
    <definedName name="IQRCreditspreadBetaLQ23" hidden="1">#REF!</definedName>
    <definedName name="IQRCreditspreadBetaLR23" hidden="1">#REF!</definedName>
    <definedName name="IQRCreditspreadBetaLS23" hidden="1">#REF!</definedName>
    <definedName name="IQRCreditspreadBetaLT23" hidden="1">#REF!</definedName>
    <definedName name="IQRCreditspreadBetaLU23" hidden="1">#REF!</definedName>
    <definedName name="IQRCreditspreadBetaLV23" hidden="1">#REF!</definedName>
    <definedName name="IQRCreditspreadBetaLW23" hidden="1">#REF!</definedName>
    <definedName name="IQRCreditspreadBetaLX23" hidden="1">#REF!</definedName>
    <definedName name="IQRCreditspreadBetaLY23" hidden="1">#REF!</definedName>
    <definedName name="IQRCreditspreadBetaLZ23" hidden="1">#REF!</definedName>
    <definedName name="IQRCreditspreadBetaMA23" hidden="1">#REF!</definedName>
    <definedName name="IQRCreditspreadBetaMB23" hidden="1">#REF!</definedName>
    <definedName name="IQRCreditspreadBetaMC23" hidden="1">#REF!</definedName>
    <definedName name="IQRCreditspreadBetaMD23" hidden="1">#REF!</definedName>
    <definedName name="IQRCreditspreadBetaME23" hidden="1">#REF!</definedName>
    <definedName name="IQRCreditspreadBetaMF23" hidden="1">#REF!</definedName>
    <definedName name="IQRCreditspreadBetaMG23" hidden="1">#REF!</definedName>
    <definedName name="IQRCreditspreadBetaMH23" hidden="1">#REF!</definedName>
    <definedName name="IQRCreditspreadBetaMI23" hidden="1">#REF!</definedName>
    <definedName name="IQRCreditspreadBetaMJ23" hidden="1">#REF!</definedName>
    <definedName name="IQRCreditspreadBetaMK23" hidden="1">#REF!</definedName>
    <definedName name="IQRCreditspreadBetaMZ23" hidden="1">#REF!</definedName>
    <definedName name="IQRCreditspreadBetaN23" hidden="1">#REF!</definedName>
    <definedName name="IQRCreditspreadBetaNA23" hidden="1">#REF!</definedName>
    <definedName name="IQRCreditspreadBetaNB23" hidden="1">#REF!</definedName>
    <definedName name="IQRCreditspreadBetaNC23" hidden="1">#REF!</definedName>
    <definedName name="IQRCreditspreadBetaND23" hidden="1">#REF!</definedName>
    <definedName name="IQRCreditspreadBetaNE23" hidden="1">#REF!</definedName>
    <definedName name="IQRCreditspreadBetaNF23" hidden="1">#REF!</definedName>
    <definedName name="IQRCreditspreadBetaNG23" hidden="1">#REF!</definedName>
    <definedName name="IQRCreditspreadBetaNH23" hidden="1">#REF!</definedName>
    <definedName name="IQRCreditspreadBetaNI23" hidden="1">#REF!</definedName>
    <definedName name="IQRCreditspreadBetaNJ23" hidden="1">#REF!</definedName>
    <definedName name="IQRCreditspreadBetaNK23" hidden="1">#REF!</definedName>
    <definedName name="IQRCreditspreadBetaNL23" hidden="1">#REF!</definedName>
    <definedName name="IQRCreditspreadBetaNM23" hidden="1">#REF!</definedName>
    <definedName name="IQRCreditspreadBetaNN23" hidden="1">#REF!</definedName>
    <definedName name="IQRCreditspreadBetaNO23" hidden="1">#REF!</definedName>
    <definedName name="IQRCreditspreadBetaNP23" hidden="1">#REF!</definedName>
    <definedName name="IQRCreditspreadBetaNQ23" hidden="1">#REF!</definedName>
    <definedName name="IQRCreditspreadBetaNR23" hidden="1">#REF!</definedName>
    <definedName name="IQRCreditspreadBetaNS23" hidden="1">#REF!</definedName>
    <definedName name="IQRCreditspreadBetaNT23" hidden="1">#REF!</definedName>
    <definedName name="IQRCreditspreadBetaO23" hidden="1">#REF!</definedName>
    <definedName name="IQRCreditspreadBetaOI23" hidden="1">#REF!</definedName>
    <definedName name="IQRCreditspreadBetaOJ23" hidden="1">#REF!</definedName>
    <definedName name="IQRCreditspreadBetaOK23" hidden="1">#REF!</definedName>
    <definedName name="IQRCreditspreadBetaOL23" hidden="1">#REF!</definedName>
    <definedName name="IQRCreditspreadBetaOM23" hidden="1">#REF!</definedName>
    <definedName name="IQRCreditspreadBetaON23" hidden="1">#REF!</definedName>
    <definedName name="IQRCreditspreadBetaOO23" hidden="1">#REF!</definedName>
    <definedName name="IQRCreditspreadBetaOP23" hidden="1">#REF!</definedName>
    <definedName name="IQRCreditspreadBetaOQ23" hidden="1">#REF!</definedName>
    <definedName name="IQRCreditspreadBetaOR23" hidden="1">#REF!</definedName>
    <definedName name="IQRCreditspreadBetaOS23" hidden="1">#REF!</definedName>
    <definedName name="IQRCreditspreadBetaOT23" hidden="1">#REF!</definedName>
    <definedName name="IQRCreditspreadBetaOU23" hidden="1">#REF!</definedName>
    <definedName name="IQRCreditspreadBetaOV23" hidden="1">#REF!</definedName>
    <definedName name="IQRCreditspreadBetaOW23" hidden="1">#REF!</definedName>
    <definedName name="IQRCreditspreadBetaOX23" hidden="1">#REF!</definedName>
    <definedName name="IQRCreditspreadBetaOY23" hidden="1">#REF!</definedName>
    <definedName name="IQRCreditspreadBetaOZ23" hidden="1">#REF!</definedName>
    <definedName name="IQRCreditspreadBetaP23" hidden="1">#REF!</definedName>
    <definedName name="IQRCreditspreadBetaPA23" hidden="1">#REF!</definedName>
    <definedName name="IQRCreditspreadBetaPB23" hidden="1">#REF!</definedName>
    <definedName name="IQRCreditspreadBetaPC23" hidden="1">#REF!</definedName>
    <definedName name="IQRCreditspreadBetaPR23" hidden="1">#REF!</definedName>
    <definedName name="IQRCreditspreadBetaPS23" hidden="1">#REF!</definedName>
    <definedName name="IQRCreditspreadBetaPT23" hidden="1">#REF!</definedName>
    <definedName name="IQRCreditspreadBetaPU23" hidden="1">#REF!</definedName>
    <definedName name="IQRCreditspreadBetaPV23" hidden="1">#REF!</definedName>
    <definedName name="IQRCreditspreadBetaPW23" hidden="1">#REF!</definedName>
    <definedName name="IQRCreditspreadBetaPX23" hidden="1">#REF!</definedName>
    <definedName name="IQRCreditspreadBetaPY23" hidden="1">#REF!</definedName>
    <definedName name="IQRCreditspreadBetaPZ23" hidden="1">#REF!</definedName>
    <definedName name="IQRCreditspreadBetaQ23" hidden="1">#REF!</definedName>
    <definedName name="IQRCreditspreadBetaQA23" hidden="1">#REF!</definedName>
    <definedName name="IQRCreditspreadBetaQB23" hidden="1">#REF!</definedName>
    <definedName name="IQRCreditspreadBetaQC23" hidden="1">#REF!</definedName>
    <definedName name="IQRCreditspreadBetaQD23" hidden="1">#REF!</definedName>
    <definedName name="IQRCreditspreadBetaQE23" hidden="1">#REF!</definedName>
    <definedName name="IQRCreditspreadBetaQF23" hidden="1">#REF!</definedName>
    <definedName name="IQRCreditspreadBetaQG23" hidden="1">#REF!</definedName>
    <definedName name="IQRCreditspreadBetaQH23" hidden="1">#REF!</definedName>
    <definedName name="IQRCreditspreadBetaQI23" hidden="1">#REF!</definedName>
    <definedName name="IQRCreditspreadBetaQJ23" hidden="1">#REF!</definedName>
    <definedName name="IQRCreditspreadBetaQK23" hidden="1">#REF!</definedName>
    <definedName name="IQRCreditspreadBetaQL23" hidden="1">#REF!</definedName>
    <definedName name="IQRCreditspreadBetaR23" hidden="1">#REF!</definedName>
    <definedName name="IQRCreditspreadBetaRA23" hidden="1">#REF!</definedName>
    <definedName name="IQRCreditspreadBetaRB23" hidden="1">#REF!</definedName>
    <definedName name="IQRCreditspreadBetaRC23" hidden="1">#REF!</definedName>
    <definedName name="IQRCreditspreadBetaRD23" hidden="1">#REF!</definedName>
    <definedName name="IQRCreditspreadBetaRE23" hidden="1">#REF!</definedName>
    <definedName name="IQRCreditspreadBetaRF23" hidden="1">#REF!</definedName>
    <definedName name="IQRCreditspreadBetaRG23" hidden="1">#REF!</definedName>
    <definedName name="IQRCreditspreadBetaRH23" hidden="1">#REF!</definedName>
    <definedName name="IQRCreditspreadBetaRI23" hidden="1">#REF!</definedName>
    <definedName name="IQRCreditspreadBetaRJ23" hidden="1">#REF!</definedName>
    <definedName name="IQRCreditspreadBetaRK23" hidden="1">#REF!</definedName>
    <definedName name="IQRCreditspreadBetaRL23" hidden="1">#REF!</definedName>
    <definedName name="IQRCreditspreadBetaRM23" hidden="1">#REF!</definedName>
    <definedName name="IQRCreditspreadBetaRN23" hidden="1">#REF!</definedName>
    <definedName name="IQRCreditspreadBetaRO23" hidden="1">#REF!</definedName>
    <definedName name="IQRCreditspreadBetaRP23" hidden="1">#REF!</definedName>
    <definedName name="IQRCreditspreadBetaRQ23" hidden="1">#REF!</definedName>
    <definedName name="IQRCreditspreadBetaRR23" hidden="1">#REF!</definedName>
    <definedName name="IQRCreditspreadBetaRS23" hidden="1">#REF!</definedName>
    <definedName name="IQRCreditspreadBetaRT23" hidden="1">#REF!</definedName>
    <definedName name="IQRCreditspreadBetaRU23" hidden="1">#REF!</definedName>
    <definedName name="IQRCreditspreadBetaS23" hidden="1">#REF!</definedName>
    <definedName name="IQRCreditspreadBetaSJ23" hidden="1">#REF!</definedName>
    <definedName name="IQRCreditspreadBetaSK23" hidden="1">#REF!</definedName>
    <definedName name="IQRCreditspreadBetaSL23" hidden="1">#REF!</definedName>
    <definedName name="IQRCreditspreadBetaSM23" hidden="1">#REF!</definedName>
    <definedName name="IQRCreditspreadBetaSN23" hidden="1">#REF!</definedName>
    <definedName name="IQRCreditspreadBetaSO23" hidden="1">#REF!</definedName>
    <definedName name="IQRCreditspreadBetaSP23" hidden="1">#REF!</definedName>
    <definedName name="IQRCreditspreadBetaSQ23" hidden="1">#REF!</definedName>
    <definedName name="IQRCreditspreadBetaSR23" hidden="1">#REF!</definedName>
    <definedName name="IQRCreditspreadBetaSS23" hidden="1">#REF!</definedName>
    <definedName name="IQRCreditspreadBetaST23" hidden="1">#REF!</definedName>
    <definedName name="IQRCreditspreadBetaSU23" hidden="1">#REF!</definedName>
    <definedName name="IQRCreditspreadBetaSV23" hidden="1">#REF!</definedName>
    <definedName name="IQRCreditspreadBetaSW23" hidden="1">#REF!</definedName>
    <definedName name="IQRCreditspreadBetaSX23" hidden="1">#REF!</definedName>
    <definedName name="IQRCreditspreadBetaSY23" hidden="1">#REF!</definedName>
    <definedName name="IQRCreditspreadBetaSZ23" hidden="1">#REF!</definedName>
    <definedName name="IQRCreditspreadBetaT23" hidden="1">#REF!</definedName>
    <definedName name="IQRCreditspreadBetaTA23" hidden="1">#REF!</definedName>
    <definedName name="IQRCreditspreadBetaTB23" hidden="1">#REF!</definedName>
    <definedName name="IQRCreditspreadBetaTC23" hidden="1">#REF!</definedName>
    <definedName name="IQRCreditspreadBetaTD23" hidden="1">#REF!</definedName>
    <definedName name="IQRCreditspreadBetaTS23" hidden="1">#REF!</definedName>
    <definedName name="IQRCreditspreadBetaTT23" hidden="1">#REF!</definedName>
    <definedName name="IQRCreditspreadBetaTU23" hidden="1">#REF!</definedName>
    <definedName name="IQRCreditspreadBetaTV23" hidden="1">#REF!</definedName>
    <definedName name="IQRCreditspreadBetaTW23" hidden="1">#REF!</definedName>
    <definedName name="IQRCreditspreadBetaTX23" hidden="1">#REF!</definedName>
    <definedName name="IQRCreditspreadBetaTY23" hidden="1">#REF!</definedName>
    <definedName name="IQRCreditspreadBetaTZ23" hidden="1">#REF!</definedName>
    <definedName name="IQRCreditspreadBetaU23" hidden="1">#REF!</definedName>
    <definedName name="IQRCreditspreadBetaUA23" hidden="1">#REF!</definedName>
    <definedName name="IQRCreditspreadBetaUB23" hidden="1">#REF!</definedName>
    <definedName name="IQRCreditspreadBetaUC23" hidden="1">#REF!</definedName>
    <definedName name="IQRCreditspreadBetaUD23" hidden="1">#REF!</definedName>
    <definedName name="IQRCreditspreadBetaUE23" hidden="1">#REF!</definedName>
    <definedName name="IQRCreditspreadBetaUF23" hidden="1">#REF!</definedName>
    <definedName name="IQRCreditspreadBetaUG23" hidden="1">#REF!</definedName>
    <definedName name="IQRCreditspreadBetaUH23" hidden="1">#REF!</definedName>
    <definedName name="IQRCreditspreadBetaUI23" hidden="1">#REF!</definedName>
    <definedName name="IQRCreditspreadBetaUJ23" hidden="1">#REF!</definedName>
    <definedName name="IQRCreditspreadBetaUK23" hidden="1">#REF!</definedName>
    <definedName name="IQRCreditspreadBetaUL23" hidden="1">#REF!</definedName>
    <definedName name="IQRCreditspreadBetaUM23" hidden="1">#REF!</definedName>
    <definedName name="IQRCreditspreadBetaV23" hidden="1">#REF!</definedName>
    <definedName name="IQRCreditspreadBetaVB23" hidden="1">#REF!</definedName>
    <definedName name="IQRCreditspreadBetaVC23" hidden="1">#REF!</definedName>
    <definedName name="IQRCreditspreadBetaVD23" hidden="1">#REF!</definedName>
    <definedName name="IQRCreditspreadBetaVE23" hidden="1">#REF!</definedName>
    <definedName name="IQRCreditspreadBetaVF23" hidden="1">#REF!</definedName>
    <definedName name="IQRCreditspreadBetaVG23" hidden="1">#REF!</definedName>
    <definedName name="IQRCreditspreadBetaVH23" hidden="1">#REF!</definedName>
    <definedName name="IQRCreditspreadBetaVI23" hidden="1">#REF!</definedName>
    <definedName name="IQRCreditspreadBetaVJ23" hidden="1">#REF!</definedName>
    <definedName name="IQRCreditspreadBetaVK23" hidden="1">#REF!</definedName>
    <definedName name="IQRCreditspreadBetaVL23" hidden="1">#REF!</definedName>
    <definedName name="IQRCreditspreadBetaVM23" hidden="1">#REF!</definedName>
    <definedName name="IQRCreditspreadBetaVN23" hidden="1">#REF!</definedName>
    <definedName name="IQRCreditspreadBetaVO23" hidden="1">#REF!</definedName>
    <definedName name="IQRCreditspreadBetaVP23" hidden="1">#REF!</definedName>
    <definedName name="IQRCreditspreadBetaVQ23" hidden="1">#REF!</definedName>
    <definedName name="IQRCreditspreadBetaVR23" hidden="1">#REF!</definedName>
    <definedName name="IQRCreditspreadBetaVS23" hidden="1">#REF!</definedName>
    <definedName name="IQRCreditspreadBetaVT23" hidden="1">#REF!</definedName>
    <definedName name="IQRCreditspreadBetaVU23" hidden="1">#REF!</definedName>
    <definedName name="IQRCreditspreadBetaVV23" hidden="1">#REF!</definedName>
    <definedName name="IQRCreditspreadBetaW23" hidden="1">#REF!</definedName>
    <definedName name="IQRCreditspreadBetaWK23" hidden="1">#REF!</definedName>
    <definedName name="IQRCreditspreadBetaWL23" hidden="1">#REF!</definedName>
    <definedName name="IQRCreditspreadBetaWM23" hidden="1">#REF!</definedName>
    <definedName name="IQRCreditspreadBetaWN23" hidden="1">#REF!</definedName>
    <definedName name="IQRCreditspreadBetaWO23" hidden="1">#REF!</definedName>
    <definedName name="IQRCreditspreadBetaWP23" hidden="1">#REF!</definedName>
    <definedName name="IQRCreditspreadBetaWQ23" hidden="1">#REF!</definedName>
    <definedName name="IQRCreditspreadBetaWR23" hidden="1">#REF!</definedName>
    <definedName name="IQRCreditspreadBetaWS23" hidden="1">#REF!</definedName>
    <definedName name="IQRCreditspreadBetaWT23" hidden="1">#REF!</definedName>
    <definedName name="IQRCreditspreadBetaWU23" hidden="1">#REF!</definedName>
    <definedName name="IQRCreditspreadBetaWV23" hidden="1">#REF!</definedName>
    <definedName name="IQRCreditspreadBetaWW23" hidden="1">#REF!</definedName>
    <definedName name="IQRCreditspreadBetaWX23" hidden="1">#REF!</definedName>
    <definedName name="IQRCreditspreadBetaWY23" hidden="1">#REF!</definedName>
    <definedName name="IQRCreditspreadBetaWZ23" hidden="1">#REF!</definedName>
    <definedName name="IQRCreditspreadBetaX23" hidden="1">#REF!</definedName>
    <definedName name="IQRCreditspreadBetaXA23" hidden="1">#REF!</definedName>
    <definedName name="IQRCreditspreadBetaXB23" hidden="1">#REF!</definedName>
    <definedName name="IQRCreditspreadBetaXC23" hidden="1">#REF!</definedName>
    <definedName name="IQRCreditspreadBetaXD23" hidden="1">#REF!</definedName>
    <definedName name="IQRCreditspreadBetaXE23" hidden="1">#REF!</definedName>
    <definedName name="IQRCreditspreadBetaXT23" hidden="1">#REF!</definedName>
    <definedName name="IQRCreditspreadBetaXU23" hidden="1">#REF!</definedName>
    <definedName name="IQRCreditspreadBetaXV23" hidden="1">#REF!</definedName>
    <definedName name="IQRCreditspreadBetaXW23" hidden="1">#REF!</definedName>
    <definedName name="IQRCreditspreadBetaXX23" hidden="1">#REF!</definedName>
    <definedName name="IQRCreditspreadBetaXY23" hidden="1">#REF!</definedName>
    <definedName name="IQRCreditspreadBetaXZ23" hidden="1">#REF!</definedName>
    <definedName name="IQRCreditspreadBetaY23" hidden="1">#REF!</definedName>
    <definedName name="IQRCreditspreadBetaYA23" hidden="1">#REF!</definedName>
    <definedName name="IQRCreditspreadBetaYB23" hidden="1">#REF!</definedName>
    <definedName name="IQRCreditspreadBetaYC23" hidden="1">#REF!</definedName>
    <definedName name="IQRCreditspreadBetaYD23" hidden="1">#REF!</definedName>
    <definedName name="IQRCreditspreadBetaYE23" hidden="1">#REF!</definedName>
    <definedName name="IQRCreditspreadBetaYF23" hidden="1">#REF!</definedName>
    <definedName name="IQRCreditspreadBetaYG23" hidden="1">#REF!</definedName>
    <definedName name="IQRCreditspreadBetaYH23" hidden="1">#REF!</definedName>
    <definedName name="IQRCreditspreadBetaYI23" hidden="1">#REF!</definedName>
    <definedName name="IQRCreditspreadBetaYJ23" hidden="1">#REF!</definedName>
    <definedName name="IQRCreditspreadBetaYK23" hidden="1">#REF!</definedName>
    <definedName name="IQRCreditspreadBetaYL23" hidden="1">#REF!</definedName>
    <definedName name="IQRCreditspreadBetaYM23" hidden="1">#REF!</definedName>
    <definedName name="IQRCreditspreadBetaYN23" hidden="1">#REF!</definedName>
    <definedName name="IQRCreditspreadBetaZ23" hidden="1">#REF!</definedName>
    <definedName name="IQRCreditspreadBetaZC23" hidden="1">#REF!</definedName>
    <definedName name="IQRCreditspreadBetaZD23" hidden="1">#REF!</definedName>
    <definedName name="IQRCreditspreadBetaZE23" hidden="1">#REF!</definedName>
    <definedName name="IQRCreditspreadBetaZF23" hidden="1">#REF!</definedName>
    <definedName name="IQRCreditspreadBetaZG23" hidden="1">#REF!</definedName>
    <definedName name="IQRCreditspreadBetaZH23" hidden="1">#REF!</definedName>
    <definedName name="IQRCreditspreadBetaZI23" hidden="1">#REF!</definedName>
    <definedName name="IQRCreditspreadBetaZJ23" hidden="1">#REF!</definedName>
    <definedName name="IQRCreditspreadBetaZK23" hidden="1">#REF!</definedName>
    <definedName name="IQRCreditspreadBetaZL23" hidden="1">#REF!</definedName>
    <definedName name="IQRCreditspreadBetaZM23" hidden="1">#REF!</definedName>
    <definedName name="IQRCreditspreadBetaZN23" hidden="1">#REF!</definedName>
    <definedName name="IQRCreditspreadBetaZO23" hidden="1">#REF!</definedName>
    <definedName name="IQRCreditspreadBetaZP23" hidden="1">#REF!</definedName>
    <definedName name="IQRCreditspreadBetaZQ23" hidden="1">#REF!</definedName>
    <definedName name="IQRCreditspreadBetaZR23" hidden="1">#REF!</definedName>
    <definedName name="IQRCreditspreadBetaZS23" hidden="1">#REF!</definedName>
    <definedName name="IQRCreditspreadBetaZT23" hidden="1">#REF!</definedName>
    <definedName name="IQRCreditspreadBetaZU23" hidden="1">#REF!</definedName>
    <definedName name="IQRCreditspreadBetaZV23" hidden="1">#REF!</definedName>
    <definedName name="IQRCreditspreadBetaZW23" hidden="1">#REF!</definedName>
    <definedName name="IQRCreditspreadBF23" hidden="1">#REF!</definedName>
    <definedName name="IQRCreditspreadBG23" hidden="1">#REF!</definedName>
    <definedName name="IQRCreditspreadBH23" hidden="1">#REF!</definedName>
    <definedName name="IQRCreditspreadBI23" hidden="1">#REF!</definedName>
    <definedName name="IQRCreditspreadBJ23" hidden="1">#REF!</definedName>
    <definedName name="IQRCreditspreadBK23" hidden="1">#REF!</definedName>
    <definedName name="IQRCreditspreadBL23" hidden="1">#REF!</definedName>
    <definedName name="IQRCreditspreadBM23" hidden="1">#REF!</definedName>
    <definedName name="IQRCreditspreadBN23" hidden="1">#REF!</definedName>
    <definedName name="IQRCreditspreadBO23" hidden="1">#REF!</definedName>
    <definedName name="IQRCreditspreadBP23" hidden="1">#REF!</definedName>
    <definedName name="IQRCreditspreadCF23" hidden="1">#REF!</definedName>
    <definedName name="IQRCreditspreadCG23" hidden="1">#REF!</definedName>
    <definedName name="IQRCreditspreadCH23" hidden="1">#REF!</definedName>
    <definedName name="IQRCreditspreadCI23" hidden="1">#REF!</definedName>
    <definedName name="IQRCreditspreadCJ23" hidden="1">#REF!</definedName>
    <definedName name="IQRCreditspreadCK23" hidden="1">#REF!</definedName>
    <definedName name="IQRCreditspreadCL23" hidden="1">#REF!</definedName>
    <definedName name="IQRCreditspreadCM23" hidden="1">#REF!</definedName>
    <definedName name="IQRCreditspreadCN23" hidden="1">#REF!</definedName>
    <definedName name="IQRCreditspreadCO23" hidden="1">#REF!</definedName>
    <definedName name="IQRCreditspreadCP23" hidden="1">#REF!</definedName>
    <definedName name="IQRCreditspreadCQ23" hidden="1">#REF!</definedName>
    <definedName name="IQRCreditspreadCR23" hidden="1">#REF!</definedName>
    <definedName name="IQRCreditspreadCS23" hidden="1">#REF!</definedName>
    <definedName name="IQRCreditspreadCT23" hidden="1">#REF!</definedName>
    <definedName name="IQRCreditspreadCU23" hidden="1">#REF!</definedName>
    <definedName name="IQRCreditspreadCV23" hidden="1">#REF!</definedName>
    <definedName name="IQRCreditspreadCW23" hidden="1">#REF!</definedName>
    <definedName name="IQRCreditspreadCX23" hidden="1">#REF!</definedName>
    <definedName name="IQRCreditspreadCY23" hidden="1">#REF!</definedName>
    <definedName name="IQRCreditspreadDO23" hidden="1">#REF!</definedName>
    <definedName name="IQRCreditspreadDP23" hidden="1">#REF!</definedName>
    <definedName name="IQRCreditspreadDQ23" hidden="1">#REF!</definedName>
    <definedName name="IQRCreditspreadDR23" hidden="1">#REF!</definedName>
    <definedName name="IQRCreditspreadDS23" hidden="1">#REF!</definedName>
    <definedName name="IQRCreditspreadDT23" hidden="1">#REF!</definedName>
    <definedName name="IQRCreditspreadDU23" hidden="1">#REF!</definedName>
    <definedName name="IQRCreditspreadDV23" hidden="1">#REF!</definedName>
    <definedName name="IQRCreditspreadDW23" hidden="1">#REF!</definedName>
    <definedName name="IQRCreditspreadDX23" hidden="1">#REF!</definedName>
    <definedName name="IQRCreditspreadDY23" hidden="1">#REF!</definedName>
    <definedName name="IQRCreditspreadDZ23" hidden="1">#REF!</definedName>
    <definedName name="IQRCreditspreadEA23" hidden="1">#REF!</definedName>
    <definedName name="IQRCreditspreadEB23" hidden="1">#REF!</definedName>
    <definedName name="IQRCreditspreadEC23" hidden="1">#REF!</definedName>
    <definedName name="IQRCreditspreadED23" hidden="1">#REF!</definedName>
    <definedName name="IQRCreditspreadEE23" hidden="1">#REF!</definedName>
    <definedName name="IQRCreditspreadEF23" hidden="1">#REF!</definedName>
    <definedName name="IQRCreditspreadEG23" hidden="1">#REF!</definedName>
    <definedName name="IQRCreditspreadEH23" hidden="1">#REF!</definedName>
    <definedName name="IQRCreditspreadEX23" hidden="1">#REF!</definedName>
    <definedName name="IQRCreditspreadEY23" hidden="1">#REF!</definedName>
    <definedName name="IQRCreditspreadEZ23" hidden="1">#REF!</definedName>
    <definedName name="IQRCreditspreadFA23" hidden="1">#REF!</definedName>
    <definedName name="IQRCreditspreadFB23" hidden="1">#REF!</definedName>
    <definedName name="IQRCreditspreadFC23" hidden="1">#REF!</definedName>
    <definedName name="IQRCreditspreadFD23" hidden="1">#REF!</definedName>
    <definedName name="IQRCreditspreadFE23" hidden="1">#REF!</definedName>
    <definedName name="IQRCreditspreadFF23" hidden="1">#REF!</definedName>
    <definedName name="IQRCreditspreadFG23" hidden="1">#REF!</definedName>
    <definedName name="IQRCreditspreadFH23" hidden="1">#REF!</definedName>
    <definedName name="IQRCreditspreadFI23" hidden="1">#REF!</definedName>
    <definedName name="IQRCreditspreadFJ23" hidden="1">#REF!</definedName>
    <definedName name="IQRCreditspreadFK23" hidden="1">#REF!</definedName>
    <definedName name="IQRCreditspreadFL23" hidden="1">#REF!</definedName>
    <definedName name="IQRCreditspreadFM23" hidden="1">#REF!</definedName>
    <definedName name="IQRCreditspreadFN23" hidden="1">#REF!</definedName>
    <definedName name="IQRCreditspreadFO23" hidden="1">#REF!</definedName>
    <definedName name="IQRCreditspreadFP23" hidden="1">#REF!</definedName>
    <definedName name="IQRCreditspreadFQ23" hidden="1">#REF!</definedName>
    <definedName name="IQRCreditspreadGG23" hidden="1">#REF!</definedName>
    <definedName name="IQRCreditspreadGH23" hidden="1">#REF!</definedName>
    <definedName name="IQRCreditspreadGI23" hidden="1">#REF!</definedName>
    <definedName name="IQRCreditspreadGJ23" hidden="1">#REF!</definedName>
    <definedName name="IQRCreditspreadGK23" hidden="1">#REF!</definedName>
    <definedName name="IQRCreditspreadGL23" hidden="1">#REF!</definedName>
    <definedName name="IQRCreditspreadGM23" hidden="1">#REF!</definedName>
    <definedName name="IQRCreditspreadGN23" hidden="1">#REF!</definedName>
    <definedName name="IQRCreditspreadGO23" hidden="1">#REF!</definedName>
    <definedName name="IQRCreditspreadGP23" hidden="1">#REF!</definedName>
    <definedName name="IQRCreditspreadGQ23" hidden="1">#REF!</definedName>
    <definedName name="IQRCreditspreadGR23" hidden="1">#REF!</definedName>
    <definedName name="IQRCreditspreadGS23" hidden="1">#REF!</definedName>
    <definedName name="IQRCreditspreadGT23" hidden="1">#REF!</definedName>
    <definedName name="IQRCreditspreadGU23" hidden="1">#REF!</definedName>
    <definedName name="IQRCreditspreadGV23" hidden="1">#REF!</definedName>
    <definedName name="IQRCreditspreadGW23" hidden="1">#REF!</definedName>
    <definedName name="IQRCreditspreadGX23" hidden="1">#REF!</definedName>
    <definedName name="IQRCreditspreadGY23" hidden="1">#REF!</definedName>
    <definedName name="IQRCreditspreadGZ23" hidden="1">#REF!</definedName>
    <definedName name="IQRCreditspreadHP23" hidden="1">#REF!</definedName>
    <definedName name="IQRCreditspreadHQ23" hidden="1">#REF!</definedName>
    <definedName name="IQRCreditspreadHR23" hidden="1">#REF!</definedName>
    <definedName name="IQRCreditspreadHS23" hidden="1">#REF!</definedName>
    <definedName name="IQRCreditspreadHT23" hidden="1">#REF!</definedName>
    <definedName name="IQRCreditspreadHU23" hidden="1">#REF!</definedName>
    <definedName name="IQRCreditspreadHV23" hidden="1">#REF!</definedName>
    <definedName name="IQRCreditspreadHW23" hidden="1">#REF!</definedName>
    <definedName name="IQRCreditspreadHX23" hidden="1">#REF!</definedName>
    <definedName name="IQRCreditspreadHY23" hidden="1">#REF!</definedName>
    <definedName name="IQRCreditspreadHZ23" hidden="1">#REF!</definedName>
    <definedName name="IQRCreditspreadIA23" hidden="1">#REF!</definedName>
    <definedName name="IQRCreditspreadIB23" hidden="1">#REF!</definedName>
    <definedName name="IQRCreditspreadIC23" hidden="1">#REF!</definedName>
    <definedName name="IQRCreditspreadID23" hidden="1">#REF!</definedName>
    <definedName name="IQRCreditspreadIE23" hidden="1">#REF!</definedName>
    <definedName name="IQRCreditspreadIF23" hidden="1">#REF!</definedName>
    <definedName name="IQRCreditspreadIG23" hidden="1">#REF!</definedName>
    <definedName name="IQRCreditspreadIH23" hidden="1">#REF!</definedName>
    <definedName name="IQRCreditspreadII23" hidden="1">#REF!</definedName>
    <definedName name="IQRCreditspreadIY23" hidden="1">#REF!</definedName>
    <definedName name="IQRCreditspreadIZ23" hidden="1">#REF!</definedName>
    <definedName name="IQRCreditspreadJA23" hidden="1">#REF!</definedName>
    <definedName name="IQRCreditspreadJB23" hidden="1">#REF!</definedName>
    <definedName name="IQRCreditspreadJC23" hidden="1">#REF!</definedName>
    <definedName name="IQRCreditspreadJD23" hidden="1">#REF!</definedName>
    <definedName name="IQRCreditspreadJE23" hidden="1">#REF!</definedName>
    <definedName name="IQRCreditspreadJF23" hidden="1">#REF!</definedName>
    <definedName name="IQRCreditspreadJG23" hidden="1">#REF!</definedName>
    <definedName name="IQRCreditspreadJH23" hidden="1">#REF!</definedName>
    <definedName name="IQRCreditspreadJI23" hidden="1">#REF!</definedName>
    <definedName name="IQRCreditspreadJJ23" hidden="1">#REF!</definedName>
    <definedName name="IQRCreditspreadJK23" hidden="1">#REF!</definedName>
    <definedName name="IQRCreditspreadJL23" hidden="1">#REF!</definedName>
    <definedName name="IQRCreditspreadJM23" hidden="1">#REF!</definedName>
    <definedName name="IQRCreditspreadJN23" hidden="1">#REF!</definedName>
    <definedName name="IQRCreditspreadJO23" hidden="1">#REF!</definedName>
    <definedName name="IQRCreditspreadJP23" hidden="1">#REF!</definedName>
    <definedName name="IQRCreditspreadJQ23" hidden="1">#REF!</definedName>
    <definedName name="IQRCreditspreadJR23" hidden="1">#REF!</definedName>
    <definedName name="IQRCreditspreadKH23" hidden="1">#REF!</definedName>
    <definedName name="IQRCreditspreadKI23" hidden="1">#REF!</definedName>
    <definedName name="IQRCreditspreadKJ23" hidden="1">#REF!</definedName>
    <definedName name="IQRCreditspreadKK23" hidden="1">#REF!</definedName>
    <definedName name="IQRCreditspreadKL23" hidden="1">#REF!</definedName>
    <definedName name="IQRCreditspreadKM23" hidden="1">#REF!</definedName>
    <definedName name="IQRCreditspreadKN23" hidden="1">#REF!</definedName>
    <definedName name="IQRCreditspreadKO23" hidden="1">#REF!</definedName>
    <definedName name="IQRCreditspreadKP23" hidden="1">#REF!</definedName>
    <definedName name="IQRCreditspreadKQ23" hidden="1">#REF!</definedName>
    <definedName name="IQRCreditspreadKR23" hidden="1">#REF!</definedName>
    <definedName name="IQRCreditspreadKS23" hidden="1">#REF!</definedName>
    <definedName name="IQRCreditspreadKT23" hidden="1">#REF!</definedName>
    <definedName name="IQRCreditspreadKU23" hidden="1">#REF!</definedName>
    <definedName name="IQRCreditspreadKV23" hidden="1">#REF!</definedName>
    <definedName name="IQRCreditspreadKW23" hidden="1">#REF!</definedName>
    <definedName name="IQRCreditspreadKX23" hidden="1">#REF!</definedName>
    <definedName name="IQRCreditspreadKY23" hidden="1">#REF!</definedName>
    <definedName name="IQRCreditspreadKZ23" hidden="1">#REF!</definedName>
    <definedName name="IQRCreditspreadLA23" hidden="1">#REF!</definedName>
    <definedName name="IQRCreditspreadLQ23" hidden="1">#REF!</definedName>
    <definedName name="IQRCreditspreadLR23" hidden="1">#REF!</definedName>
    <definedName name="IQRCreditspreadLS23" hidden="1">#REF!</definedName>
    <definedName name="IQRCreditspreadLT23" hidden="1">#REF!</definedName>
    <definedName name="IQRCreditspreadLU23" hidden="1">#REF!</definedName>
    <definedName name="IQRCreditspreadLV23" hidden="1">#REF!</definedName>
    <definedName name="IQRCreditspreadLW23" hidden="1">#REF!</definedName>
    <definedName name="IQRCreditspreadLX23" hidden="1">#REF!</definedName>
    <definedName name="IQRCreditspreadLY23" hidden="1">#REF!</definedName>
    <definedName name="IQRCreditspreadLZ23" hidden="1">#REF!</definedName>
    <definedName name="IQRCreditspreadMA23" hidden="1">#REF!</definedName>
    <definedName name="IQRCreditspreadMB23" hidden="1">#REF!</definedName>
    <definedName name="IQRCreditspreadMC23" hidden="1">#REF!</definedName>
    <definedName name="IQRCreditspreadMD23" hidden="1">#REF!</definedName>
    <definedName name="IQRCreditspreadME23" hidden="1">#REF!</definedName>
    <definedName name="IQRCreditspreadMF23" hidden="1">#REF!</definedName>
    <definedName name="IQRCreditspreadMG23" hidden="1">#REF!</definedName>
    <definedName name="IQRCreditspreadMH23" hidden="1">#REF!</definedName>
    <definedName name="IQRCreditspreadMI23" hidden="1">#REF!</definedName>
    <definedName name="IQRCreditspreadMJ23" hidden="1">#REF!</definedName>
    <definedName name="IQRCreditspreadMZ23" hidden="1">#REF!</definedName>
    <definedName name="IQRCreditspreadN23" hidden="1">#REF!</definedName>
    <definedName name="IQRCreditspreadNA23" hidden="1">#REF!</definedName>
    <definedName name="IQRCreditspreadNB23" hidden="1">#REF!</definedName>
    <definedName name="IQRCreditspreadNC23" hidden="1">#REF!</definedName>
    <definedName name="IQRCreditspreadND23" hidden="1">#REF!</definedName>
    <definedName name="IQRCreditspreadNE23" hidden="1">#REF!</definedName>
    <definedName name="IQRCreditspreadNF23" hidden="1">#REF!</definedName>
    <definedName name="IQRCreditspreadNG23" hidden="1">#REF!</definedName>
    <definedName name="IQRCreditspreadNH23" hidden="1">#REF!</definedName>
    <definedName name="IQRCreditspreadNI23" hidden="1">#REF!</definedName>
    <definedName name="IQRCreditspreadNJ23" hidden="1">#REF!</definedName>
    <definedName name="IQRCreditspreadNK23" hidden="1">#REF!</definedName>
    <definedName name="IQRCreditspreadNL23" hidden="1">#REF!</definedName>
    <definedName name="IQRCreditspreadNM23" hidden="1">#REF!</definedName>
    <definedName name="IQRCreditspreadNN23" hidden="1">#REF!</definedName>
    <definedName name="IQRCreditspreadNO23" hidden="1">#REF!</definedName>
    <definedName name="IQRCreditspreadNP23" hidden="1">#REF!</definedName>
    <definedName name="IQRCreditspreadNQ23" hidden="1">#REF!</definedName>
    <definedName name="IQRCreditspreadNR23" hidden="1">#REF!</definedName>
    <definedName name="IQRCreditspreadNS23" hidden="1">#REF!</definedName>
    <definedName name="IQRCreditspreadO23" hidden="1">#REF!</definedName>
    <definedName name="IQRCreditspreadOI23" hidden="1">#REF!</definedName>
    <definedName name="IQRCreditspreadOJ23" hidden="1">#REF!</definedName>
    <definedName name="IQRCreditspreadOK23" hidden="1">#REF!</definedName>
    <definedName name="IQRCreditspreadOL23" hidden="1">#REF!</definedName>
    <definedName name="IQRCreditspreadOM23" hidden="1">#REF!</definedName>
    <definedName name="IQRCreditspreadON23" hidden="1">#REF!</definedName>
    <definedName name="IQRCreditspreadOO23" hidden="1">#REF!</definedName>
    <definedName name="IQRCreditspreadOP23" hidden="1">#REF!</definedName>
    <definedName name="IQRCreditspreadOQ23" hidden="1">#REF!</definedName>
    <definedName name="IQRCreditspreadOR23" hidden="1">#REF!</definedName>
    <definedName name="IQRCreditspreadOS23" hidden="1">#REF!</definedName>
    <definedName name="IQRCreditspreadOT23" hidden="1">#REF!</definedName>
    <definedName name="IQRCreditspreadOU23" hidden="1">#REF!</definedName>
    <definedName name="IQRCreditspreadOV23" hidden="1">#REF!</definedName>
    <definedName name="IQRCreditspreadOW23" hidden="1">#REF!</definedName>
    <definedName name="IQRCreditspreadOX23" hidden="1">#REF!</definedName>
    <definedName name="IQRCreditspreadOY23" hidden="1">#REF!</definedName>
    <definedName name="IQRCreditspreadOZ23" hidden="1">#REF!</definedName>
    <definedName name="IQRCreditspreadP23" hidden="1">#REF!</definedName>
    <definedName name="IQRCreditspreadPA23" hidden="1">#REF!</definedName>
    <definedName name="IQRCreditspreadPB23" hidden="1">#REF!</definedName>
    <definedName name="IQRCreditspreadPR23" hidden="1">#REF!</definedName>
    <definedName name="IQRCreditspreadPS23" hidden="1">#REF!</definedName>
    <definedName name="IQRCreditspreadPT23" hidden="1">#REF!</definedName>
    <definedName name="IQRCreditspreadPU23" hidden="1">#REF!</definedName>
    <definedName name="IQRCreditspreadPV23" hidden="1">#REF!</definedName>
    <definedName name="IQRCreditspreadPW23" hidden="1">#REF!</definedName>
    <definedName name="IQRCreditspreadPX23" hidden="1">#REF!</definedName>
    <definedName name="IQRCreditspreadPY23" hidden="1">#REF!</definedName>
    <definedName name="IQRCreditspreadPZ23" hidden="1">#REF!</definedName>
    <definedName name="IQRCreditspreadQ23" hidden="1">#REF!</definedName>
    <definedName name="IQRCreditspreadQA23" hidden="1">#REF!</definedName>
    <definedName name="IQRCreditspreadQB23" hidden="1">#REF!</definedName>
    <definedName name="IQRCreditspreadQC23" hidden="1">#REF!</definedName>
    <definedName name="IQRCreditspreadQD23" hidden="1">#REF!</definedName>
    <definedName name="IQRCreditspreadQE23" hidden="1">#REF!</definedName>
    <definedName name="IQRCreditspreadQF23" hidden="1">#REF!</definedName>
    <definedName name="IQRCreditspreadQG23" hidden="1">#REF!</definedName>
    <definedName name="IQRCreditspreadQH23" hidden="1">#REF!</definedName>
    <definedName name="IQRCreditspreadQI23" hidden="1">#REF!</definedName>
    <definedName name="IQRCreditspreadQJ23" hidden="1">#REF!</definedName>
    <definedName name="IQRCreditspreadQK23" hidden="1">#REF!</definedName>
    <definedName name="IQRCreditspreadR23" hidden="1">#REF!</definedName>
    <definedName name="IQRCreditspreadRA23" hidden="1">#REF!</definedName>
    <definedName name="IQRCreditspreadRB23" hidden="1">#REF!</definedName>
    <definedName name="IQRCreditspreadRC23" hidden="1">#REF!</definedName>
    <definedName name="IQRCreditspreadRD23" hidden="1">#REF!</definedName>
    <definedName name="IQRCreditspreadRE23" hidden="1">#REF!</definedName>
    <definedName name="IQRCreditspreadRF23" hidden="1">#REF!</definedName>
    <definedName name="IQRCreditspreadRG23" hidden="1">#REF!</definedName>
    <definedName name="IQRCreditspreadRH23" hidden="1">#REF!</definedName>
    <definedName name="IQRCreditspreadRI23" hidden="1">#REF!</definedName>
    <definedName name="IQRCreditspreadRJ23" hidden="1">#REF!</definedName>
    <definedName name="IQRCreditspreadRK23" hidden="1">#REF!</definedName>
    <definedName name="IQRCreditspreadRL23" hidden="1">#REF!</definedName>
    <definedName name="IQRCreditspreadRM23" hidden="1">#REF!</definedName>
    <definedName name="IQRCreditspreadRN23" hidden="1">#REF!</definedName>
    <definedName name="IQRCreditspreadRO23" hidden="1">#REF!</definedName>
    <definedName name="IQRCreditspreadRP23" hidden="1">#REF!</definedName>
    <definedName name="IQRCreditspreadRQ23" hidden="1">#REF!</definedName>
    <definedName name="IQRCreditspreadRR23" hidden="1">#REF!</definedName>
    <definedName name="IQRCreditspreadRS23" hidden="1">#REF!</definedName>
    <definedName name="IQRCreditspreadRT23" hidden="1">#REF!</definedName>
    <definedName name="IQRCreditspreadS23" hidden="1">#REF!</definedName>
    <definedName name="IQRCreditspreadSJ23" hidden="1">#REF!</definedName>
    <definedName name="IQRCreditspreadSK23" hidden="1">#REF!</definedName>
    <definedName name="IQRCreditspreadSL23" hidden="1">#REF!</definedName>
    <definedName name="IQRCreditspreadSM23" hidden="1">#REF!</definedName>
    <definedName name="IQRCreditspreadSN23" hidden="1">#REF!</definedName>
    <definedName name="IQRCreditspreadSO23" hidden="1">#REF!</definedName>
    <definedName name="IQRCreditspreadSP23" hidden="1">#REF!</definedName>
    <definedName name="IQRCreditspreadSQ23" hidden="1">#REF!</definedName>
    <definedName name="IQRCreditspreadSR23" hidden="1">#REF!</definedName>
    <definedName name="IQRCreditspreadSS23" hidden="1">#REF!</definedName>
    <definedName name="IQRCreditspreadST23" hidden="1">#REF!</definedName>
    <definedName name="IQRCreditspreadSU23" hidden="1">#REF!</definedName>
    <definedName name="IQRCreditspreadSV23" hidden="1">#REF!</definedName>
    <definedName name="IQRCreditspreadSW23" hidden="1">#REF!</definedName>
    <definedName name="IQRCreditspreadSX23" hidden="1">#REF!</definedName>
    <definedName name="IQRCreditspreadSY23" hidden="1">#REF!</definedName>
    <definedName name="IQRCreditspreadSZ23" hidden="1">#REF!</definedName>
    <definedName name="IQRCreditspreadT23" hidden="1">#REF!</definedName>
    <definedName name="IQRCreditspreadTA23" hidden="1">#REF!</definedName>
    <definedName name="IQRCreditspreadTB23" hidden="1">#REF!</definedName>
    <definedName name="IQRCreditspreadTC23" hidden="1">#REF!</definedName>
    <definedName name="IQRCreditspreadTS23" hidden="1">#REF!</definedName>
    <definedName name="IQRCreditspreadTT23" hidden="1">#REF!</definedName>
    <definedName name="IQRCreditspreadTU23" hidden="1">#REF!</definedName>
    <definedName name="IQRCreditspreadTV23" hidden="1">#REF!</definedName>
    <definedName name="IQRCreditspreadTW23" hidden="1">#REF!</definedName>
    <definedName name="IQRCreditspreadTX23" hidden="1">#REF!</definedName>
    <definedName name="IQRCreditspreadTY23" hidden="1">#REF!</definedName>
    <definedName name="IQRCreditspreadTZ23" hidden="1">#REF!</definedName>
    <definedName name="IQRCreditspreadU23" hidden="1">#REF!</definedName>
    <definedName name="IQRCreditspreadUA23" hidden="1">#REF!</definedName>
    <definedName name="IQRCreditspreadUB23" hidden="1">#REF!</definedName>
    <definedName name="IQRCreditspreadUC23" hidden="1">#REF!</definedName>
    <definedName name="IQRCreditspreadUD23" hidden="1">#REF!</definedName>
    <definedName name="IQRCreditspreadUE23" hidden="1">#REF!</definedName>
    <definedName name="IQRCreditspreadUF23" hidden="1">#REF!</definedName>
    <definedName name="IQRCreditspreadUG23" hidden="1">#REF!</definedName>
    <definedName name="IQRCreditspreadUH23" hidden="1">#REF!</definedName>
    <definedName name="IQRCreditspreadUI23" hidden="1">#REF!</definedName>
    <definedName name="IQRCreditspreadUJ23" hidden="1">#REF!</definedName>
    <definedName name="IQRCreditspreadUK23" hidden="1">#REF!</definedName>
    <definedName name="IQRCreditspreadUL23" hidden="1">#REF!</definedName>
    <definedName name="IQRCreditspreadV23" hidden="1">#REF!</definedName>
    <definedName name="IQRCreditspreadVB23" hidden="1">#REF!</definedName>
    <definedName name="IQRCreditspreadVC23" hidden="1">#REF!</definedName>
    <definedName name="IQRCreditspreadVD23" hidden="1">#REF!</definedName>
    <definedName name="IQRCreditspreadVE23" hidden="1">#REF!</definedName>
    <definedName name="IQRCreditspreadVF23" hidden="1">#REF!</definedName>
    <definedName name="IQRCreditspreadVG23" hidden="1">#REF!</definedName>
    <definedName name="IQRCreditspreadVH23" hidden="1">#REF!</definedName>
    <definedName name="IQRCreditspreadVI23" hidden="1">#REF!</definedName>
    <definedName name="IQRCreditspreadVJ23" hidden="1">#REF!</definedName>
    <definedName name="IQRCreditspreadVK23" hidden="1">#REF!</definedName>
    <definedName name="IQRCreditspreadVL23" hidden="1">#REF!</definedName>
    <definedName name="IQRCreditspreadVM23" hidden="1">#REF!</definedName>
    <definedName name="IQRCreditspreadVN23" hidden="1">#REF!</definedName>
    <definedName name="IQRCreditspreadVO23" hidden="1">#REF!</definedName>
    <definedName name="IQRCreditspreadVP23" hidden="1">#REF!</definedName>
    <definedName name="IQRCreditspreadVQ23" hidden="1">#REF!</definedName>
    <definedName name="IQRCreditspreadVR23" hidden="1">#REF!</definedName>
    <definedName name="IQRCreditspreadVS23" hidden="1">#REF!</definedName>
    <definedName name="IQRCreditspreadVT23" hidden="1">#REF!</definedName>
    <definedName name="IQRCreditspreadVU23" hidden="1">#REF!</definedName>
    <definedName name="IQRCreditspreadW23" hidden="1">#REF!</definedName>
    <definedName name="IQRCreditspreadWK23" hidden="1">#REF!</definedName>
    <definedName name="IQRCreditspreadWL23" hidden="1">#REF!</definedName>
    <definedName name="IQRCreditspreadWM23" hidden="1">#REF!</definedName>
    <definedName name="IQRCreditspreadWN23" hidden="1">#REF!</definedName>
    <definedName name="IQRCreditspreadWO23" hidden="1">#REF!</definedName>
    <definedName name="IQRCreditspreadWP23" hidden="1">#REF!</definedName>
    <definedName name="IQRCreditspreadWQ23" hidden="1">#REF!</definedName>
    <definedName name="IQRCreditspreadWR23" hidden="1">#REF!</definedName>
    <definedName name="IQRCreditspreadWS23" hidden="1">#REF!</definedName>
    <definedName name="IQRCreditspreadWT23" hidden="1">#REF!</definedName>
    <definedName name="IQRCreditspreadWU23" hidden="1">#REF!</definedName>
    <definedName name="IQRCreditspreadWV23" hidden="1">#REF!</definedName>
    <definedName name="IQRCreditspreadWW23" hidden="1">#REF!</definedName>
    <definedName name="IQRCreditspreadWX23" hidden="1">#REF!</definedName>
    <definedName name="IQRCreditspreadWY23" hidden="1">#REF!</definedName>
    <definedName name="IQRCreditspreadWZ23" hidden="1">#REF!</definedName>
    <definedName name="IQRCreditspreadX23" hidden="1">#REF!</definedName>
    <definedName name="IQRCreditspreadXA23" hidden="1">#REF!</definedName>
    <definedName name="IQRCreditspreadXB23" hidden="1">#REF!</definedName>
    <definedName name="IQRCreditspreadXC23" hidden="1">#REF!</definedName>
    <definedName name="IQRCreditspreadXD23" hidden="1">#REF!</definedName>
    <definedName name="IQRCreditspreadXT23" hidden="1">#REF!</definedName>
    <definedName name="IQRCreditspreadXU23" hidden="1">#REF!</definedName>
    <definedName name="IQRCreditspreadXV23" hidden="1">#REF!</definedName>
    <definedName name="IQRCreditspreadXW23" hidden="1">#REF!</definedName>
    <definedName name="IQRCreditspreadXX23" hidden="1">#REF!</definedName>
    <definedName name="IQRCreditspreadXY23" hidden="1">#REF!</definedName>
    <definedName name="IQRCreditspreadXZ23" hidden="1">#REF!</definedName>
    <definedName name="IQRCreditspreadY23" hidden="1">#REF!</definedName>
    <definedName name="IQRCreditspreadYA23" hidden="1">#REF!</definedName>
    <definedName name="IQRCreditspreadYB23" hidden="1">#REF!</definedName>
    <definedName name="IQRCreditspreadYC23" hidden="1">#REF!</definedName>
    <definedName name="IQRCreditspreadYD23" hidden="1">#REF!</definedName>
    <definedName name="IQRCreditspreadYE23" hidden="1">#REF!</definedName>
    <definedName name="IQRCreditspreadYF23" hidden="1">#REF!</definedName>
    <definedName name="IQRCreditspreadYG23" hidden="1">#REF!</definedName>
    <definedName name="IQRCreditspreadYH23" hidden="1">#REF!</definedName>
    <definedName name="IQRCreditspreadYI23" hidden="1">#REF!</definedName>
    <definedName name="IQRCreditspreadYJ23" hidden="1">#REF!</definedName>
    <definedName name="IQRCreditspreadYK23" hidden="1">#REF!</definedName>
    <definedName name="IQRCreditspreadYL23" hidden="1">#REF!</definedName>
    <definedName name="IQRCreditspreadYM23" hidden="1">#REF!</definedName>
    <definedName name="IQRCreditspreadZ23" hidden="1">#REF!</definedName>
    <definedName name="IQRCreditspreadZC23" hidden="1">#REF!</definedName>
    <definedName name="IQRCreditspreadZD23" hidden="1">#REF!</definedName>
    <definedName name="IQRCreditspreadZE23" hidden="1">#REF!</definedName>
    <definedName name="IQRCreditspreadZF23" hidden="1">#REF!</definedName>
    <definedName name="IQRCreditspreadZG23" hidden="1">#REF!</definedName>
    <definedName name="IQRCreditspreadZH23" hidden="1">#REF!</definedName>
    <definedName name="IQRCreditspreadZI23" hidden="1">#REF!</definedName>
    <definedName name="IQRCreditspreadZJ23" hidden="1">#REF!</definedName>
    <definedName name="IQRCreditspreadZK23" hidden="1">#REF!</definedName>
    <definedName name="IQRCreditspreadZL23" hidden="1">#REF!</definedName>
    <definedName name="IQRCreditspreadZM23" hidden="1">#REF!</definedName>
    <definedName name="IQRCreditspreadZN23" hidden="1">#REF!</definedName>
    <definedName name="IQRCreditspreadZO23" hidden="1">#REF!</definedName>
    <definedName name="IQRCreditspreadZP23" hidden="1">#REF!</definedName>
    <definedName name="IQRCreditspreadZQ23" hidden="1">#REF!</definedName>
    <definedName name="IQRCreditspreadZR23" hidden="1">#REF!</definedName>
    <definedName name="IQRCreditspreadZS23" hidden="1">#REF!</definedName>
    <definedName name="IQRCreditspreadZT23" hidden="1">#REF!</definedName>
    <definedName name="IQRCreditspreadZU23" hidden="1">#REF!</definedName>
    <definedName name="IQRCreditspreadZV23" hidden="1">#REF!</definedName>
    <definedName name="IQRCurrencyRatingAS41" hidden="1">#REF!</definedName>
    <definedName name="IQRCurrencyRatingAX41" hidden="1">#REF!</definedName>
    <definedName name="IQRCurrencyRatingAX42" hidden="1">#REF!</definedName>
    <definedName name="IQRCurrencyRatingBN41" hidden="1">#REF!</definedName>
    <definedName name="IQRCurrencyRatingBS41" hidden="1">#REF!</definedName>
    <definedName name="IQRCurrencyRatingBS42" hidden="1">#REF!</definedName>
    <definedName name="IQRCurrentCompsO6" hidden="1">#REF!</definedName>
    <definedName name="IQRCurrRatingAS41" hidden="1">#REF!</definedName>
    <definedName name="IQRCurrRatingBN41" hidden="1">#REF!</definedName>
    <definedName name="IQRD10" hidden="1">#REF!</definedName>
    <definedName name="IQRD11" hidden="1">#REF!</definedName>
    <definedName name="IQRD12" hidden="1">#REF!</definedName>
    <definedName name="IQRD13" hidden="1">#REF!</definedName>
    <definedName name="IQRD14" hidden="1">#REF!</definedName>
    <definedName name="IQRD15" hidden="1">"$D$16:$D$17"</definedName>
    <definedName name="IQRD16" hidden="1">#REF!</definedName>
    <definedName name="IQRD17" hidden="1">#REF!</definedName>
    <definedName name="IQRD18" hidden="1">#REF!</definedName>
    <definedName name="IQRD19" hidden="1">#REF!</definedName>
    <definedName name="IQRD2" hidden="1">"$D$3:$D$62"</definedName>
    <definedName name="IQRD20" hidden="1">#REF!</definedName>
    <definedName name="IQRD21" hidden="1">#REF!</definedName>
    <definedName name="IQRD22" hidden="1">#REF!</definedName>
    <definedName name="IQRD23" hidden="1">#REF!</definedName>
    <definedName name="IQRD24" hidden="1">"$D$25"</definedName>
    <definedName name="IQRD25" hidden="1">#REF!</definedName>
    <definedName name="IQRD26" hidden="1">#REF!</definedName>
    <definedName name="IQRD27" hidden="1">#REF!</definedName>
    <definedName name="IQRD28" hidden="1">#REF!</definedName>
    <definedName name="IQRD29" hidden="1">#REF!</definedName>
    <definedName name="IQRD3" hidden="1">"$D$4:$D$253"</definedName>
    <definedName name="IQRD30" hidden="1">#REF!</definedName>
    <definedName name="IQRD31" hidden="1">#REF!</definedName>
    <definedName name="IQRD32" hidden="1">#REF!</definedName>
    <definedName name="IQRD33" hidden="1">#REF!</definedName>
    <definedName name="IQRD34" hidden="1">#REF!</definedName>
    <definedName name="IQRD35" hidden="1">#REF!</definedName>
    <definedName name="IQRD36" hidden="1">#REF!</definedName>
    <definedName name="IQRD37" hidden="1">#REF!</definedName>
    <definedName name="IQRD38" hidden="1">#REF!</definedName>
    <definedName name="IQRD39" hidden="1">"$D$40:$D$83"</definedName>
    <definedName name="IQRD4" hidden="1">"$D$5:$D$1262"</definedName>
    <definedName name="IQRD405" hidden="1">"$D$406:$D$658"</definedName>
    <definedName name="IQRD406" hidden="1">"$D$407:$D$659"</definedName>
    <definedName name="IQRD413" hidden="1">"$D$414:$D$666"</definedName>
    <definedName name="IQRD415" hidden="1">"$D$416:$D$668"</definedName>
    <definedName name="IQRD417" hidden="1">"$D$418:$D$670"</definedName>
    <definedName name="IQRD419" hidden="1">"$D$420:$D$672"</definedName>
    <definedName name="IQRD434" hidden="1">"$D$435:$D$687"</definedName>
    <definedName name="IQRD439" hidden="1">"$D$440:$D$692"</definedName>
    <definedName name="IQRD441" hidden="1">"$D$442:$D$694"</definedName>
    <definedName name="IQRD442" hidden="1">"$D$443:$D$695"</definedName>
    <definedName name="IQRD443" hidden="1">"$D$444:$D$696"</definedName>
    <definedName name="IQRD444" hidden="1">"$D$445:$D$697"</definedName>
    <definedName name="IQRD448" hidden="1">"$D$449:$D$701"</definedName>
    <definedName name="IQRD449" hidden="1">"$D$450:$D$702"</definedName>
    <definedName name="IQRD450" hidden="1">"$D$451:$D$703"</definedName>
    <definedName name="IQRD5" hidden="1">"$D$6:$D$259"</definedName>
    <definedName name="IQRD581" hidden="1">"$D$582:$D$834"</definedName>
    <definedName name="IQRD582" hidden="1">"$D$583:$D$835"</definedName>
    <definedName name="IQRD583" hidden="1">"$D$584:$D$836"</definedName>
    <definedName name="IQRD6" hidden="1">"$D$7:$D$258"</definedName>
    <definedName name="IQRD7" hidden="1">"$D$8"</definedName>
    <definedName name="IQRD8" hidden="1">#REF!</definedName>
    <definedName name="IQRD9" hidden="1">#REF!</definedName>
    <definedName name="IQRDebtbetaAA23" hidden="1">#REF!</definedName>
    <definedName name="IQRDebtbetaAB23" hidden="1">#REF!</definedName>
    <definedName name="IQRDebtbetaAC23" hidden="1">#REF!</definedName>
    <definedName name="IQRDebtbetaAD23" hidden="1">#REF!</definedName>
    <definedName name="IQRDebtbetaAE23" hidden="1">#REF!</definedName>
    <definedName name="IQRDebtbetaAF23" hidden="1">#REF!</definedName>
    <definedName name="IQRDebtbetaAG23" hidden="1">#REF!</definedName>
    <definedName name="IQRDebtbetaN22" hidden="1">#REF!</definedName>
    <definedName name="IQRDebtbetaN23" hidden="1">#REF!</definedName>
    <definedName name="IQRDebtbetaO22" hidden="1">#REF!</definedName>
    <definedName name="IQRDebtbetaO23" hidden="1">#REF!</definedName>
    <definedName name="IQRDebtbetaP22" hidden="1">#REF!</definedName>
    <definedName name="IQRDebtbetaP23" hidden="1">#REF!</definedName>
    <definedName name="IQRDebtbetaQ22" hidden="1">#REF!</definedName>
    <definedName name="IQRDebtbetaQ23" hidden="1">#REF!</definedName>
    <definedName name="IQRDebtbetaR23" hidden="1">#REF!</definedName>
    <definedName name="IQRDebtbetaS22" hidden="1">#REF!</definedName>
    <definedName name="IQRDebtbetaS23" hidden="1">#REF!</definedName>
    <definedName name="IQRDebtbetaT22" hidden="1">#REF!</definedName>
    <definedName name="IQRDebtbetaT23" hidden="1">#REF!</definedName>
    <definedName name="IQRDebtbetaU22" hidden="1">#REF!</definedName>
    <definedName name="IQRDebtbetaU23" hidden="1">#REF!</definedName>
    <definedName name="IQRDebtbetaV23" hidden="1">#REF!</definedName>
    <definedName name="IQRDebtbetaW23" hidden="1">#REF!</definedName>
    <definedName name="IQRDebtbetaX23" hidden="1">#REF!</definedName>
    <definedName name="IQRDebtbetaY23" hidden="1">#REF!</definedName>
    <definedName name="IQRDebtbetaZ23" hidden="1">#REF!</definedName>
    <definedName name="IQRDEratioQ16" hidden="1">#REF!</definedName>
    <definedName name="IQRDEratioQ17" hidden="1">#REF!</definedName>
    <definedName name="IQRE16" hidden="1">#REF!</definedName>
    <definedName name="IQRE18" hidden="1">"$E$19:$E$80"</definedName>
    <definedName name="IQRE19" hidden="1">"$E$20:$E$80"</definedName>
    <definedName name="IQRE24" hidden="1">"$E$25"</definedName>
    <definedName name="IQRE45" hidden="1">#REF!</definedName>
    <definedName name="IQRE49" hidden="1">"$E$50:$E$302"</definedName>
    <definedName name="IQRE6" hidden="1">"$E$7:$E$258"</definedName>
    <definedName name="IQRE7" hidden="1">"$E$8"</definedName>
    <definedName name="IQRE8" hidden="1">#REF!</definedName>
    <definedName name="IQRE81" hidden="1">"$E$82:$E$86"</definedName>
    <definedName name="IQRE88" hidden="1">"$E$89:$E$93"</definedName>
    <definedName name="IQRE9" hidden="1">"$E$10:$E$70"</definedName>
    <definedName name="IQrevisiondate" hidden="1">40877.5011458333</definedName>
    <definedName name="IQRExampleTearSheetH20" hidden="1">#REF!</definedName>
    <definedName name="IQRF24" hidden="1">"$F$25"</definedName>
    <definedName name="IQRF3" hidden="1">"$F$4:$F$253"</definedName>
    <definedName name="IQRF39" hidden="1">"$F$40:$F$61"</definedName>
    <definedName name="IQRF4" hidden="1">"$F$5:$F$254"</definedName>
    <definedName name="IQRF405" hidden="1">"$F$406:$F$658"</definedName>
    <definedName name="IQRF406" hidden="1">"$F$407:$F$659"</definedName>
    <definedName name="IQRF413" hidden="1">"$F$414:$F$666"</definedName>
    <definedName name="IQRF415" hidden="1">"$F$416:$F$668"</definedName>
    <definedName name="IQRF417" hidden="1">"$F$418:$F$670"</definedName>
    <definedName name="IQRF419" hidden="1">"$F$420:$F$672"</definedName>
    <definedName name="IQRF434" hidden="1">"$F$435:$F$687"</definedName>
    <definedName name="IQRF439" hidden="1">"$F$440:$F$692"</definedName>
    <definedName name="IQRF441" hidden="1">"$F$442:$F$694"</definedName>
    <definedName name="IQRF442" hidden="1">"$F$443:$F$695"</definedName>
    <definedName name="IQRF443" hidden="1">"$F$444:$F$696"</definedName>
    <definedName name="IQRF444" hidden="1">"$F$445:$F$697"</definedName>
    <definedName name="IQRF448" hidden="1">"$F$449:$F$701"</definedName>
    <definedName name="IQRF449" hidden="1">"$F$450:$F$702"</definedName>
    <definedName name="IQRF450" hidden="1">"$F$451:$F$703"</definedName>
    <definedName name="IQRF5" hidden="1">"$F$6:$F$255"</definedName>
    <definedName name="IQRF581" hidden="1">"$F$582:$F$834"</definedName>
    <definedName name="IQRF582" hidden="1">"$F$583:$F$835"</definedName>
    <definedName name="IQRF583" hidden="1">"$F$584:$F$836"</definedName>
    <definedName name="IQRF6" hidden="1">"$F$7:$F$256"</definedName>
    <definedName name="IQRF7" hidden="1">"$F$8"</definedName>
    <definedName name="IQRF81" hidden="1">"$F$82:$F$86"</definedName>
    <definedName name="IQRFinancialCollectionP15" hidden="1">#REF!</definedName>
    <definedName name="IQRFinancialCollectionQ15" hidden="1">#REF!</definedName>
    <definedName name="IQRFinancialCollectionTemplateAH5" hidden="1">#REF!</definedName>
    <definedName name="IQRFinancialCollectionTemplateP15" hidden="1">#REF!</definedName>
    <definedName name="IQRFinancialCollectionTemplateQ15" hidden="1">#REF!</definedName>
    <definedName name="IQRFinancialCollectionTemplateV15" hidden="1">#REF!</definedName>
    <definedName name="IQRFinancialCollectionTemplateV5" hidden="1">#REF!</definedName>
    <definedName name="IQRFullCurveTransparencyAA32" hidden="1">#REF!</definedName>
    <definedName name="IQRFullCurveTransparencyAZ77" hidden="1">#REF!</definedName>
    <definedName name="IQRFullCurveTransparencyBC77" hidden="1">#REF!</definedName>
    <definedName name="IQRFullCurveTransparencyBD77" hidden="1">#REF!</definedName>
    <definedName name="IQRFullCurveTransparencyBE77" hidden="1">#REF!</definedName>
    <definedName name="IQRFullCurveTransparencyBF77" hidden="1">#REF!</definedName>
    <definedName name="IQRFullCurveTransparencyC32" hidden="1">#REF!</definedName>
    <definedName name="IQRFullCurveTransparencyC38" hidden="1">#REF!</definedName>
    <definedName name="IQRFullCurveTransparencyD32" hidden="1">#REF!</definedName>
    <definedName name="IQRFullCurveTransparencyD38" hidden="1">#REF!</definedName>
    <definedName name="IQRFullCurveTransparencyE32" hidden="1">#REF!</definedName>
    <definedName name="IQRFullCurveTransparencyE38" hidden="1">#REF!</definedName>
    <definedName name="IQRFullCurveTransparencyF32" hidden="1">#REF!</definedName>
    <definedName name="IQRFullCurveTransparencyF38" hidden="1">#REF!</definedName>
    <definedName name="IQRFundamentaldatenB121" hidden="1">#REF!</definedName>
    <definedName name="IQRFundamentaldatenB149" hidden="1">#REF!</definedName>
    <definedName name="IQRFundamentaldatenB177" hidden="1">#REF!</definedName>
    <definedName name="IQRFundamentaldatenB205" hidden="1">#REF!</definedName>
    <definedName name="IQRFundamentaldatenB233" hidden="1">#REF!</definedName>
    <definedName name="IQRFundamentaldatenB261" hidden="1">#REF!</definedName>
    <definedName name="IQRFundamentaldatenB289" hidden="1">#REF!</definedName>
    <definedName name="IQRFundamentaldatenB317" hidden="1">#REF!</definedName>
    <definedName name="IQRFundamentaldatenB345" hidden="1">#REF!</definedName>
    <definedName name="IQRFundamentaldatenB37" hidden="1">#REF!</definedName>
    <definedName name="IQRFundamentaldatenB65" hidden="1">#REF!</definedName>
    <definedName name="IQRFundamentaldatenB9" hidden="1">#REF!</definedName>
    <definedName name="IQRFundamentaldatenB93" hidden="1">#REF!</definedName>
    <definedName name="IQRFundamentaldatenJ121" hidden="1">#REF!</definedName>
    <definedName name="IQRFundamentaldatenJ149" hidden="1">#REF!</definedName>
    <definedName name="IQRFundamentaldatenJ177" hidden="1">#REF!</definedName>
    <definedName name="IQRFundamentaldatenJ205" hidden="1">#REF!</definedName>
    <definedName name="IQRFundamentaldatenJ233" hidden="1">#REF!</definedName>
    <definedName name="IQRFundamentaldatenJ261" hidden="1">#REF!</definedName>
    <definedName name="IQRFundamentaldatenJ289" hidden="1">#REF!</definedName>
    <definedName name="IQRFundamentaldatenJ317" hidden="1">#REF!</definedName>
    <definedName name="IQRFundamentaldatenJ345" hidden="1">#REF!</definedName>
    <definedName name="IQRFundamentaldatenJ37" hidden="1">#REF!</definedName>
    <definedName name="IQRFundamentaldatenJ65" hidden="1">#REF!</definedName>
    <definedName name="IQRFundamentaldatenJ9" hidden="1">#REF!</definedName>
    <definedName name="IQRFundamentaldatenJ93" hidden="1">#REF!</definedName>
    <definedName name="IQRFundamentaldatenR121" hidden="1">#REF!</definedName>
    <definedName name="IQRFundamentaldatenR149" hidden="1">#REF!</definedName>
    <definedName name="IQRFundamentaldatenR177" hidden="1">#REF!</definedName>
    <definedName name="IQRFundamentaldatenR205" hidden="1">#REF!</definedName>
    <definedName name="IQRFundamentaldatenR233" hidden="1">#REF!</definedName>
    <definedName name="IQRFundamentaldatenR261" hidden="1">#REF!</definedName>
    <definedName name="IQRFundamentaldatenR289" hidden="1">#REF!</definedName>
    <definedName name="IQRFundamentaldatenR317" hidden="1">#REF!</definedName>
    <definedName name="IQRFundamentaldatenR345" hidden="1">#REF!</definedName>
    <definedName name="IQRFundamentaldatenR37" hidden="1">#REF!</definedName>
    <definedName name="IQRFundamentaldatenR373" hidden="1">#REF!</definedName>
    <definedName name="IQRFundamentaldatenR65" hidden="1">#REF!</definedName>
    <definedName name="IQRFundamentaldatenR9" hidden="1">#REF!</definedName>
    <definedName name="IQRFundamentaldatenR93" hidden="1">#REF!</definedName>
    <definedName name="IQRFuturesDataA10" hidden="1">#REF!</definedName>
    <definedName name="IQRFuturesTrendsAG3" hidden="1">#REF!</definedName>
    <definedName name="IQRFuturesTrendsT1" hidden="1">#REF!</definedName>
    <definedName name="IQRFXFuturesSummaryP164" hidden="1">#REF!</definedName>
    <definedName name="IQRG24" hidden="1">"$G$25"</definedName>
    <definedName name="IQRG3" hidden="1">"$G$4:$G$253"</definedName>
    <definedName name="IQRG4" hidden="1">"$G$5:$G$254"</definedName>
    <definedName name="IQRG5" hidden="1">"$G$6:$G$511"</definedName>
    <definedName name="IQRG6" hidden="1">"$G$7:$G$256"</definedName>
    <definedName name="IQRG7" hidden="1">"$G$8"</definedName>
    <definedName name="IQRG81" hidden="1">"$G$82:$G$86"</definedName>
    <definedName name="IQRGSKH20" hidden="1">#REF!</definedName>
    <definedName name="IQRH12" hidden="1">"$H$13:$H$36"</definedName>
    <definedName name="IQRH13" hidden="1">"$H$14:$H$264"</definedName>
    <definedName name="IQRH21" hidden="1">"$H$22"</definedName>
    <definedName name="IQRH24" hidden="1">"$H$25"</definedName>
    <definedName name="IQRH3" hidden="1">"$H$4:$H$253"</definedName>
    <definedName name="IQRH405" hidden="1">"$H$406:$H$658"</definedName>
    <definedName name="IQRH406" hidden="1">"$H$407:$H$659"</definedName>
    <definedName name="IQRH41" hidden="1">"$H$42"</definedName>
    <definedName name="IQRH413" hidden="1">"$H$414:$H$666"</definedName>
    <definedName name="IQRH415" hidden="1">"$H$416:$H$668"</definedName>
    <definedName name="IQRH417" hidden="1">"$H$418:$H$670"</definedName>
    <definedName name="IQRH419" hidden="1">"$H$420:$H$672"</definedName>
    <definedName name="IQRH434" hidden="1">"$H$435:$H$687"</definedName>
    <definedName name="IQRH439" hidden="1">"$H$440:$H$692"</definedName>
    <definedName name="IQRH441" hidden="1">"$H$442:$H$694"</definedName>
    <definedName name="IQRH442" hidden="1">"$H$443:$H$695"</definedName>
    <definedName name="IQRH443" hidden="1">"$H$444:$H$696"</definedName>
    <definedName name="IQRH444" hidden="1">"$H$445:$H$697"</definedName>
    <definedName name="IQRH448" hidden="1">"$H$449:$H$701"</definedName>
    <definedName name="IQRH449" hidden="1">"$H$450:$H$702"</definedName>
    <definedName name="IQRH450" hidden="1">"$H$451:$H$703"</definedName>
    <definedName name="IQRH5" hidden="1">"$H$6:$H$256"</definedName>
    <definedName name="IQRH581" hidden="1">"$H$582:$H$834"</definedName>
    <definedName name="IQRH582" hidden="1">"$H$583:$H$835"</definedName>
    <definedName name="IQRH583" hidden="1">"$H$584:$H$836"</definedName>
    <definedName name="IQRH59" hidden="1">"$H$60"</definedName>
    <definedName name="IQRH6" hidden="1">"$H$7:$H$112"</definedName>
    <definedName name="IQRH7" hidden="1">"$H$8"</definedName>
    <definedName name="IQRH8" hidden="1">#REF!</definedName>
    <definedName name="IQRH81" hidden="1">"$H$82:$H$86"</definedName>
    <definedName name="IQRH9" hidden="1">#REF!</definedName>
    <definedName name="IQRHandelsdatenO13" hidden="1">#REF!</definedName>
    <definedName name="IQRHandelsdatenP13" hidden="1">#REF!</definedName>
    <definedName name="IQRHistoricalOwnershipA14" hidden="1">#REF!</definedName>
    <definedName name="IQRHistoricalOwnershipAA14" hidden="1">#REF!</definedName>
    <definedName name="IQRHistoricalOwnershipB14" hidden="1">#REF!</definedName>
    <definedName name="IQRHistoricalOwnershipE14" hidden="1">#REF!</definedName>
    <definedName name="IQRHistoricalOwnershipG14" hidden="1">#REF!</definedName>
    <definedName name="IQRHistoricalOwnershipI14" hidden="1">#REF!</definedName>
    <definedName name="IQRHistoricalOwnershipK14" hidden="1">#REF!</definedName>
    <definedName name="IQRHistoricalOwnershipM14" hidden="1">#REF!</definedName>
    <definedName name="IQRHistoricalOwnershipO14" hidden="1">#REF!</definedName>
    <definedName name="IQRHistoricalOwnershipQ14" hidden="1">#REF!</definedName>
    <definedName name="IQRHistoricalOwnershipS14" hidden="1">#REF!</definedName>
    <definedName name="IQRHistoricalOwnershipU14" hidden="1">#REF!</definedName>
    <definedName name="IQRHistoricalOwnershipW14" hidden="1">#REF!</definedName>
    <definedName name="IQRHistoricalOwnershipY14" hidden="1">#REF!</definedName>
    <definedName name="IQRI12" hidden="1">"$I$13:$I$36"</definedName>
    <definedName name="IQRI2" hidden="1">"$I$3:$I$66"</definedName>
    <definedName name="IQRI21" hidden="1">"$I$22"</definedName>
    <definedName name="IQRI24" hidden="1">"$I$25"</definedName>
    <definedName name="IQRI39" hidden="1">"$I$40:$I$61"</definedName>
    <definedName name="IQRI5" hidden="1">"$I$6:$I$511"</definedName>
    <definedName name="IQRI6" hidden="1">"$I$7:$I$112"</definedName>
    <definedName name="IQRI7" hidden="1">"$I$8"</definedName>
    <definedName name="IQRI81" hidden="1">"$I$82:$I$86"</definedName>
    <definedName name="IQRIdentifierLookupI13" hidden="1">#REF!</definedName>
    <definedName name="IQRIdentifierLookupJ13" hidden="1">#REF!</definedName>
    <definedName name="IQRIdentifiersA7" hidden="1">#REF!</definedName>
    <definedName name="IQRIdentifiersH10" hidden="1">#REF!</definedName>
    <definedName name="IQRIdentifiersH100" hidden="1">#REF!</definedName>
    <definedName name="IQRIdentifiersH101" hidden="1">#REF!</definedName>
    <definedName name="IQRIdentifiersH102" hidden="1">#REF!</definedName>
    <definedName name="IQRIdentifiersH103" hidden="1">#REF!</definedName>
    <definedName name="IQRIdentifiersH104" hidden="1">#REF!</definedName>
    <definedName name="IQRIdentifiersH105" hidden="1">#REF!</definedName>
    <definedName name="IQRIdentifiersH106" hidden="1">#REF!</definedName>
    <definedName name="IQRIdentifiersH107" hidden="1">#REF!</definedName>
    <definedName name="IQRIdentifiersH108" hidden="1">#REF!</definedName>
    <definedName name="IQRIdentifiersH109" hidden="1">#REF!</definedName>
    <definedName name="IQRIdentifiersH11" hidden="1">#REF!</definedName>
    <definedName name="IQRIdentifiersH110" hidden="1">#REF!</definedName>
    <definedName name="IQRIdentifiersH111" hidden="1">#REF!</definedName>
    <definedName name="IQRIdentifiersH112" hidden="1">#REF!</definedName>
    <definedName name="IQRIdentifiersH113" hidden="1">#REF!</definedName>
    <definedName name="IQRIdentifiersH114" hidden="1">#REF!</definedName>
    <definedName name="IQRIdentifiersH115" hidden="1">#REF!</definedName>
    <definedName name="IQRIdentifiersH116" hidden="1">#REF!</definedName>
    <definedName name="IQRIdentifiersH117" hidden="1">#REF!</definedName>
    <definedName name="IQRIdentifiersH118" hidden="1">#REF!</definedName>
    <definedName name="IQRIdentifiersH119" hidden="1">#REF!</definedName>
    <definedName name="IQRIdentifiersH12" hidden="1">#REF!</definedName>
    <definedName name="IQRIdentifiersH120" hidden="1">#REF!</definedName>
    <definedName name="IQRIdentifiersH121" hidden="1">#REF!</definedName>
    <definedName name="IQRIdentifiersH122" hidden="1">#REF!</definedName>
    <definedName name="IQRIdentifiersH123" hidden="1">#REF!</definedName>
    <definedName name="IQRIdentifiersH124" hidden="1">#REF!</definedName>
    <definedName name="IQRIdentifiersH125" hidden="1">#REF!</definedName>
    <definedName name="IQRIdentifiersH126" hidden="1">#REF!</definedName>
    <definedName name="IQRIdentifiersH127" hidden="1">#REF!</definedName>
    <definedName name="IQRIdentifiersH128" hidden="1">#REF!</definedName>
    <definedName name="IQRIdentifiersH129" hidden="1">#REF!</definedName>
    <definedName name="IQRIdentifiersH13" hidden="1">#REF!</definedName>
    <definedName name="IQRIdentifiersH130" hidden="1">#REF!</definedName>
    <definedName name="IQRIdentifiersH131" hidden="1">#REF!</definedName>
    <definedName name="IQRIdentifiersH132" hidden="1">#REF!</definedName>
    <definedName name="IQRIdentifiersH133" hidden="1">#REF!</definedName>
    <definedName name="IQRIdentifiersH134" hidden="1">#REF!</definedName>
    <definedName name="IQRIdentifiersH135" hidden="1">#REF!</definedName>
    <definedName name="IQRIdentifiersH136" hidden="1">#REF!</definedName>
    <definedName name="IQRIdentifiersH137" hidden="1">#REF!</definedName>
    <definedName name="IQRIdentifiersH138" hidden="1">#REF!</definedName>
    <definedName name="IQRIdentifiersH139" hidden="1">#REF!</definedName>
    <definedName name="IQRIdentifiersH14" hidden="1">#REF!</definedName>
    <definedName name="IQRIdentifiersH140" hidden="1">#REF!</definedName>
    <definedName name="IQRIdentifiersH141" hidden="1">#REF!</definedName>
    <definedName name="IQRIdentifiersH142" hidden="1">#REF!</definedName>
    <definedName name="IQRIdentifiersH143" hidden="1">#REF!</definedName>
    <definedName name="IQRIdentifiersH144" hidden="1">#REF!</definedName>
    <definedName name="IQRIdentifiersH145" hidden="1">#REF!</definedName>
    <definedName name="IQRIdentifiersH146" hidden="1">#REF!</definedName>
    <definedName name="IQRIdentifiersH147" hidden="1">#REF!</definedName>
    <definedName name="IQRIdentifiersH148" hidden="1">#REF!</definedName>
    <definedName name="IQRIdentifiersH149" hidden="1">#REF!</definedName>
    <definedName name="IQRIdentifiersH15" hidden="1">#REF!</definedName>
    <definedName name="IQRIdentifiersH150" hidden="1">#REF!</definedName>
    <definedName name="IQRIdentifiersH151" hidden="1">#REF!</definedName>
    <definedName name="IQRIdentifiersH152" hidden="1">#REF!</definedName>
    <definedName name="IQRIdentifiersH153" hidden="1">#REF!</definedName>
    <definedName name="IQRIdentifiersH154" hidden="1">#REF!</definedName>
    <definedName name="IQRIdentifiersH155" hidden="1">#REF!</definedName>
    <definedName name="IQRIdentifiersH156" hidden="1">#REF!</definedName>
    <definedName name="IQRIdentifiersH157" hidden="1">#REF!</definedName>
    <definedName name="IQRIdentifiersH158" hidden="1">#REF!</definedName>
    <definedName name="IQRIdentifiersH159" hidden="1">#REF!</definedName>
    <definedName name="IQRIdentifiersH16" hidden="1">#REF!</definedName>
    <definedName name="IQRIdentifiersH160" hidden="1">#REF!</definedName>
    <definedName name="IQRIdentifiersH161" hidden="1">#REF!</definedName>
    <definedName name="IQRIdentifiersH162" hidden="1">#REF!</definedName>
    <definedName name="IQRIdentifiersH163" hidden="1">#REF!</definedName>
    <definedName name="IQRIdentifiersH164" hidden="1">#REF!</definedName>
    <definedName name="IQRIdentifiersH165" hidden="1">#REF!</definedName>
    <definedName name="IQRIdentifiersH166" hidden="1">#REF!</definedName>
    <definedName name="IQRIdentifiersH167" hidden="1">#REF!</definedName>
    <definedName name="IQRIdentifiersH168" hidden="1">#REF!</definedName>
    <definedName name="IQRIdentifiersH169" hidden="1">#REF!</definedName>
    <definedName name="IQRIdentifiersH17" hidden="1">#REF!</definedName>
    <definedName name="IQRIdentifiersH170" hidden="1">#REF!</definedName>
    <definedName name="IQRIdentifiersH171" hidden="1">#REF!</definedName>
    <definedName name="IQRIdentifiersH172" hidden="1">#REF!</definedName>
    <definedName name="IQRIdentifiersH173" hidden="1">#REF!</definedName>
    <definedName name="IQRIdentifiersH174" hidden="1">#REF!</definedName>
    <definedName name="IQRIdentifiersH175" hidden="1">#REF!</definedName>
    <definedName name="IQRIdentifiersH176" hidden="1">#REF!</definedName>
    <definedName name="IQRIdentifiersH177" hidden="1">#REF!</definedName>
    <definedName name="IQRIdentifiersH178" hidden="1">#REF!</definedName>
    <definedName name="IQRIdentifiersH179" hidden="1">#REF!</definedName>
    <definedName name="IQRIdentifiersH18" hidden="1">#REF!</definedName>
    <definedName name="IQRIdentifiersH180" hidden="1">#REF!</definedName>
    <definedName name="IQRIdentifiersH181" hidden="1">#REF!</definedName>
    <definedName name="IQRIdentifiersH182" hidden="1">#REF!</definedName>
    <definedName name="IQRIdentifiersH183" hidden="1">#REF!</definedName>
    <definedName name="IQRIdentifiersH184" hidden="1">#REF!</definedName>
    <definedName name="IQRIdentifiersH185" hidden="1">#REF!</definedName>
    <definedName name="IQRIdentifiersH186" hidden="1">#REF!</definedName>
    <definedName name="IQRIdentifiersH187" hidden="1">#REF!</definedName>
    <definedName name="IQRIdentifiersH188" hidden="1">#REF!</definedName>
    <definedName name="IQRIdentifiersH189" hidden="1">#REF!</definedName>
    <definedName name="IQRIdentifiersH19" hidden="1">#REF!</definedName>
    <definedName name="IQRIdentifiersH190" hidden="1">#REF!</definedName>
    <definedName name="IQRIdentifiersH191" hidden="1">#REF!</definedName>
    <definedName name="IQRIdentifiersH192" hidden="1">#REF!</definedName>
    <definedName name="IQRIdentifiersH193" hidden="1">#REF!</definedName>
    <definedName name="IQRIdentifiersH194" hidden="1">#REF!</definedName>
    <definedName name="IQRIdentifiersH195" hidden="1">#REF!</definedName>
    <definedName name="IQRIdentifiersH196" hidden="1">#REF!</definedName>
    <definedName name="IQRIdentifiersH197" hidden="1">#REF!</definedName>
    <definedName name="IQRIdentifiersH198" hidden="1">#REF!</definedName>
    <definedName name="IQRIdentifiersH199" hidden="1">#REF!</definedName>
    <definedName name="IQRIdentifiersH20" hidden="1">#REF!</definedName>
    <definedName name="IQRIdentifiersH200" hidden="1">#REF!</definedName>
    <definedName name="IQRIdentifiersH201" hidden="1">#REF!</definedName>
    <definedName name="IQRIdentifiersH202" hidden="1">#REF!</definedName>
    <definedName name="IQRIdentifiersH203" hidden="1">#REF!</definedName>
    <definedName name="IQRIdentifiersH204" hidden="1">#REF!</definedName>
    <definedName name="IQRIdentifiersH205" hidden="1">#REF!</definedName>
    <definedName name="IQRIdentifiersH206" hidden="1">#REF!</definedName>
    <definedName name="IQRIdentifiersH207" hidden="1">#REF!</definedName>
    <definedName name="IQRIdentifiersH208" hidden="1">#REF!</definedName>
    <definedName name="IQRIdentifiersH209" hidden="1">#REF!</definedName>
    <definedName name="IQRIdentifiersH21" hidden="1">#REF!</definedName>
    <definedName name="IQRIdentifiersH210" hidden="1">#REF!</definedName>
    <definedName name="IQRIdentifiersH211" hidden="1">#REF!</definedName>
    <definedName name="IQRIdentifiersH212" hidden="1">#REF!</definedName>
    <definedName name="IQRIdentifiersH213" hidden="1">#REF!</definedName>
    <definedName name="IQRIdentifiersH214" hidden="1">#REF!</definedName>
    <definedName name="IQRIdentifiersH215" hidden="1">#REF!</definedName>
    <definedName name="IQRIdentifiersH216" hidden="1">#REF!</definedName>
    <definedName name="IQRIdentifiersH217" hidden="1">#REF!</definedName>
    <definedName name="IQRIdentifiersH218" hidden="1">#REF!</definedName>
    <definedName name="IQRIdentifiersH219" hidden="1">#REF!</definedName>
    <definedName name="IQRIdentifiersH22" hidden="1">#REF!</definedName>
    <definedName name="IQRIdentifiersH220" hidden="1">#REF!</definedName>
    <definedName name="IQRIdentifiersH221" hidden="1">#REF!</definedName>
    <definedName name="IQRIdentifiersH222" hidden="1">#REF!</definedName>
    <definedName name="IQRIdentifiersH223" hidden="1">#REF!</definedName>
    <definedName name="IQRIdentifiersH224" hidden="1">#REF!</definedName>
    <definedName name="IQRIdentifiersH225" hidden="1">#REF!</definedName>
    <definedName name="IQRIdentifiersH226" hidden="1">#REF!</definedName>
    <definedName name="IQRIdentifiersH227" hidden="1">#REF!</definedName>
    <definedName name="IQRIdentifiersH228" hidden="1">#REF!</definedName>
    <definedName name="IQRIdentifiersH229" hidden="1">#REF!</definedName>
    <definedName name="IQRIdentifiersH23" hidden="1">#REF!</definedName>
    <definedName name="IQRIdentifiersH230" hidden="1">#REF!</definedName>
    <definedName name="IQRIdentifiersH231" hidden="1">#REF!</definedName>
    <definedName name="IQRIdentifiersH232" hidden="1">#REF!</definedName>
    <definedName name="IQRIdentifiersH233" hidden="1">#REF!</definedName>
    <definedName name="IQRIdentifiersH234" hidden="1">#REF!</definedName>
    <definedName name="IQRIdentifiersH235" hidden="1">#REF!</definedName>
    <definedName name="IQRIdentifiersH236" hidden="1">#REF!</definedName>
    <definedName name="IQRIdentifiersH237" hidden="1">#REF!</definedName>
    <definedName name="IQRIdentifiersH238" hidden="1">#REF!</definedName>
    <definedName name="IQRIdentifiersH239" hidden="1">#REF!</definedName>
    <definedName name="IQRIdentifiersH24" hidden="1">#REF!</definedName>
    <definedName name="IQRIdentifiersH240" hidden="1">#REF!</definedName>
    <definedName name="IQRIdentifiersH241" hidden="1">#REF!</definedName>
    <definedName name="IQRIdentifiersH242" hidden="1">#REF!</definedName>
    <definedName name="IQRIdentifiersH243" hidden="1">#REF!</definedName>
    <definedName name="IQRIdentifiersH244" hidden="1">#REF!</definedName>
    <definedName name="IQRIdentifiersH245" hidden="1">#REF!</definedName>
    <definedName name="IQRIdentifiersH246" hidden="1">#REF!</definedName>
    <definedName name="IQRIdentifiersH247" hidden="1">#REF!</definedName>
    <definedName name="IQRIdentifiersH248" hidden="1">#REF!</definedName>
    <definedName name="IQRIdentifiersH249" hidden="1">#REF!</definedName>
    <definedName name="IQRIdentifiersH25" hidden="1">#REF!</definedName>
    <definedName name="IQRIdentifiersH250" hidden="1">#REF!</definedName>
    <definedName name="IQRIdentifiersH251" hidden="1">#REF!</definedName>
    <definedName name="IQRIdentifiersH252" hidden="1">#REF!</definedName>
    <definedName name="IQRIdentifiersH253" hidden="1">#REF!</definedName>
    <definedName name="IQRIdentifiersH254" hidden="1">#REF!</definedName>
    <definedName name="IQRIdentifiersH255" hidden="1">#REF!</definedName>
    <definedName name="IQRIdentifiersH256" hidden="1">#REF!</definedName>
    <definedName name="IQRIdentifiersH257" hidden="1">#REF!</definedName>
    <definedName name="IQRIdentifiersH258" hidden="1">#REF!</definedName>
    <definedName name="IQRIdentifiersH259" hidden="1">#REF!</definedName>
    <definedName name="IQRIdentifiersH26" hidden="1">#REF!</definedName>
    <definedName name="IQRIdentifiersH260" hidden="1">#REF!</definedName>
    <definedName name="IQRIdentifiersH261" hidden="1">#REF!</definedName>
    <definedName name="IQRIdentifiersH262" hidden="1">#REF!</definedName>
    <definedName name="IQRIdentifiersH263" hidden="1">#REF!</definedName>
    <definedName name="IQRIdentifiersH264" hidden="1">#REF!</definedName>
    <definedName name="IQRIdentifiersH265" hidden="1">#REF!</definedName>
    <definedName name="IQRIdentifiersH266" hidden="1">#REF!</definedName>
    <definedName name="IQRIdentifiersH267" hidden="1">#REF!</definedName>
    <definedName name="IQRIdentifiersH268" hidden="1">#REF!</definedName>
    <definedName name="IQRIdentifiersH269" hidden="1">#REF!</definedName>
    <definedName name="IQRIdentifiersH27" hidden="1">#REF!</definedName>
    <definedName name="IQRIdentifiersH270" hidden="1">#REF!</definedName>
    <definedName name="IQRIdentifiersH271" hidden="1">#REF!</definedName>
    <definedName name="IQRIdentifiersH272" hidden="1">#REF!</definedName>
    <definedName name="IQRIdentifiersH273" hidden="1">#REF!</definedName>
    <definedName name="IQRIdentifiersH274" hidden="1">#REF!</definedName>
    <definedName name="IQRIdentifiersH275" hidden="1">#REF!</definedName>
    <definedName name="IQRIdentifiersH276" hidden="1">#REF!</definedName>
    <definedName name="IQRIdentifiersH277" hidden="1">#REF!</definedName>
    <definedName name="IQRIdentifiersH278" hidden="1">#REF!</definedName>
    <definedName name="IQRIdentifiersH279" hidden="1">#REF!</definedName>
    <definedName name="IQRIdentifiersH28" hidden="1">#REF!</definedName>
    <definedName name="IQRIdentifiersH280" hidden="1">#REF!</definedName>
    <definedName name="IQRIdentifiersH281" hidden="1">#REF!</definedName>
    <definedName name="IQRIdentifiersH282" hidden="1">#REF!</definedName>
    <definedName name="IQRIdentifiersH283" hidden="1">#REF!</definedName>
    <definedName name="IQRIdentifiersH284" hidden="1">#REF!</definedName>
    <definedName name="IQRIdentifiersH285" hidden="1">#REF!</definedName>
    <definedName name="IQRIdentifiersH286" hidden="1">#REF!</definedName>
    <definedName name="IQRIdentifiersH287" hidden="1">#REF!</definedName>
    <definedName name="IQRIdentifiersH288" hidden="1">#REF!</definedName>
    <definedName name="IQRIdentifiersH289" hidden="1">#REF!</definedName>
    <definedName name="IQRIdentifiersH29" hidden="1">#REF!</definedName>
    <definedName name="IQRIdentifiersH290" hidden="1">#REF!</definedName>
    <definedName name="IQRIdentifiersH291" hidden="1">#REF!</definedName>
    <definedName name="IQRIdentifiersH292" hidden="1">#REF!</definedName>
    <definedName name="IQRIdentifiersH293" hidden="1">#REF!</definedName>
    <definedName name="IQRIdentifiersH294" hidden="1">#REF!</definedName>
    <definedName name="IQRIdentifiersH295" hidden="1">#REF!</definedName>
    <definedName name="IQRIdentifiersH296" hidden="1">#REF!</definedName>
    <definedName name="IQRIdentifiersH297" hidden="1">#REF!</definedName>
    <definedName name="IQRIdentifiersH298" hidden="1">#REF!</definedName>
    <definedName name="IQRIdentifiersH299" hidden="1">#REF!</definedName>
    <definedName name="IQRIdentifiersH30" hidden="1">#REF!</definedName>
    <definedName name="IQRIdentifiersH300" hidden="1">#REF!</definedName>
    <definedName name="IQRIdentifiersH301" hidden="1">#REF!</definedName>
    <definedName name="IQRIdentifiersH302" hidden="1">#REF!</definedName>
    <definedName name="IQRIdentifiersH303" hidden="1">#REF!</definedName>
    <definedName name="IQRIdentifiersH304" hidden="1">#REF!</definedName>
    <definedName name="IQRIdentifiersH305" hidden="1">#REF!</definedName>
    <definedName name="IQRIdentifiersH306" hidden="1">#REF!</definedName>
    <definedName name="IQRIdentifiersH307" hidden="1">#REF!</definedName>
    <definedName name="IQRIdentifiersH308" hidden="1">#REF!</definedName>
    <definedName name="IQRIdentifiersH309" hidden="1">#REF!</definedName>
    <definedName name="IQRIdentifiersH31" hidden="1">#REF!</definedName>
    <definedName name="IQRIdentifiersH310" hidden="1">#REF!</definedName>
    <definedName name="IQRIdentifiersH311" hidden="1">#REF!</definedName>
    <definedName name="IQRIdentifiersH312" hidden="1">#REF!</definedName>
    <definedName name="IQRIdentifiersH313" hidden="1">#REF!</definedName>
    <definedName name="IQRIdentifiersH314" hidden="1">#REF!</definedName>
    <definedName name="IQRIdentifiersH315" hidden="1">#REF!</definedName>
    <definedName name="IQRIdentifiersH316" hidden="1">#REF!</definedName>
    <definedName name="IQRIdentifiersH317" hidden="1">#REF!</definedName>
    <definedName name="IQRIdentifiersH318" hidden="1">#REF!</definedName>
    <definedName name="IQRIdentifiersH319" hidden="1">#REF!</definedName>
    <definedName name="IQRIdentifiersH32" hidden="1">#REF!</definedName>
    <definedName name="IQRIdentifiersH320" hidden="1">#REF!</definedName>
    <definedName name="IQRIdentifiersH321" hidden="1">#REF!</definedName>
    <definedName name="IQRIdentifiersH322" hidden="1">#REF!</definedName>
    <definedName name="IQRIdentifiersH323" hidden="1">#REF!</definedName>
    <definedName name="IQRIdentifiersH324" hidden="1">#REF!</definedName>
    <definedName name="IQRIdentifiersH325" hidden="1">#REF!</definedName>
    <definedName name="IQRIdentifiersH326" hidden="1">#REF!</definedName>
    <definedName name="IQRIdentifiersH327" hidden="1">#REF!</definedName>
    <definedName name="IQRIdentifiersH328" hidden="1">#REF!</definedName>
    <definedName name="IQRIdentifiersH329" hidden="1">#REF!</definedName>
    <definedName name="IQRIdentifiersH33" hidden="1">#REF!</definedName>
    <definedName name="IQRIdentifiersH330" hidden="1">#REF!</definedName>
    <definedName name="IQRIdentifiersH331" hidden="1">#REF!</definedName>
    <definedName name="IQRIdentifiersH332" hidden="1">#REF!</definedName>
    <definedName name="IQRIdentifiersH333" hidden="1">#REF!</definedName>
    <definedName name="IQRIdentifiersH334" hidden="1">#REF!</definedName>
    <definedName name="IQRIdentifiersH335" hidden="1">#REF!</definedName>
    <definedName name="IQRIdentifiersH336" hidden="1">#REF!</definedName>
    <definedName name="IQRIdentifiersH337" hidden="1">#REF!</definedName>
    <definedName name="IQRIdentifiersH338" hidden="1">#REF!</definedName>
    <definedName name="IQRIdentifiersH339" hidden="1">#REF!</definedName>
    <definedName name="IQRIdentifiersH34" hidden="1">#REF!</definedName>
    <definedName name="IQRIdentifiersH340" hidden="1">#REF!</definedName>
    <definedName name="IQRIdentifiersH341" hidden="1">#REF!</definedName>
    <definedName name="IQRIdentifiersH342" hidden="1">#REF!</definedName>
    <definedName name="IQRIdentifiersH343" hidden="1">#REF!</definedName>
    <definedName name="IQRIdentifiersH344" hidden="1">#REF!</definedName>
    <definedName name="IQRIdentifiersH345" hidden="1">#REF!</definedName>
    <definedName name="IQRIdentifiersH346" hidden="1">#REF!</definedName>
    <definedName name="IQRIdentifiersH347" hidden="1">#REF!</definedName>
    <definedName name="IQRIdentifiersH348" hidden="1">#REF!</definedName>
    <definedName name="IQRIdentifiersH349" hidden="1">#REF!</definedName>
    <definedName name="IQRIdentifiersH35" hidden="1">#REF!</definedName>
    <definedName name="IQRIdentifiersH350" hidden="1">#REF!</definedName>
    <definedName name="IQRIdentifiersH351" hidden="1">#REF!</definedName>
    <definedName name="IQRIdentifiersH352" hidden="1">#REF!</definedName>
    <definedName name="IQRIdentifiersH353" hidden="1">#REF!</definedName>
    <definedName name="IQRIdentifiersH354" hidden="1">#REF!</definedName>
    <definedName name="IQRIdentifiersH355" hidden="1">#REF!</definedName>
    <definedName name="IQRIdentifiersH356" hidden="1">#REF!</definedName>
    <definedName name="IQRIdentifiersH357" hidden="1">#REF!</definedName>
    <definedName name="IQRIdentifiersH358" hidden="1">#REF!</definedName>
    <definedName name="IQRIdentifiersH359" hidden="1">#REF!</definedName>
    <definedName name="IQRIdentifiersH36" hidden="1">#REF!</definedName>
    <definedName name="IQRIdentifiersH360" hidden="1">#REF!</definedName>
    <definedName name="IQRIdentifiersH361" hidden="1">#REF!</definedName>
    <definedName name="IQRIdentifiersH362" hidden="1">#REF!</definedName>
    <definedName name="IQRIdentifiersH363" hidden="1">#REF!</definedName>
    <definedName name="IQRIdentifiersH364" hidden="1">#REF!</definedName>
    <definedName name="IQRIdentifiersH365" hidden="1">#REF!</definedName>
    <definedName name="IQRIdentifiersH366" hidden="1">#REF!</definedName>
    <definedName name="IQRIdentifiersH367" hidden="1">#REF!</definedName>
    <definedName name="IQRIdentifiersH368" hidden="1">#REF!</definedName>
    <definedName name="IQRIdentifiersH369" hidden="1">#REF!</definedName>
    <definedName name="IQRIdentifiersH37" hidden="1">#REF!</definedName>
    <definedName name="IQRIdentifiersH370" hidden="1">#REF!</definedName>
    <definedName name="IQRIdentifiersH371" hidden="1">#REF!</definedName>
    <definedName name="IQRIdentifiersH372" hidden="1">#REF!</definedName>
    <definedName name="IQRIdentifiersH373" hidden="1">#REF!</definedName>
    <definedName name="IQRIdentifiersH374" hidden="1">#REF!</definedName>
    <definedName name="IQRIdentifiersH375" hidden="1">#REF!</definedName>
    <definedName name="IQRIdentifiersH376" hidden="1">#REF!</definedName>
    <definedName name="IQRIdentifiersH377" hidden="1">#REF!</definedName>
    <definedName name="IQRIdentifiersH378" hidden="1">#REF!</definedName>
    <definedName name="IQRIdentifiersH379" hidden="1">#REF!</definedName>
    <definedName name="IQRIdentifiersH38" hidden="1">#REF!</definedName>
    <definedName name="IQRIdentifiersH380" hidden="1">#REF!</definedName>
    <definedName name="IQRIdentifiersH381" hidden="1">#REF!</definedName>
    <definedName name="IQRIdentifiersH382" hidden="1">#REF!</definedName>
    <definedName name="IQRIdentifiersH383" hidden="1">#REF!</definedName>
    <definedName name="IQRIdentifiersH384" hidden="1">#REF!</definedName>
    <definedName name="IQRIdentifiersH385" hidden="1">#REF!</definedName>
    <definedName name="IQRIdentifiersH386" hidden="1">#REF!</definedName>
    <definedName name="IQRIdentifiersH387" hidden="1">#REF!</definedName>
    <definedName name="IQRIdentifiersH388" hidden="1">#REF!</definedName>
    <definedName name="IQRIdentifiersH389" hidden="1">#REF!</definedName>
    <definedName name="IQRIdentifiersH39" hidden="1">#REF!</definedName>
    <definedName name="IQRIdentifiersH390" hidden="1">#REF!</definedName>
    <definedName name="IQRIdentifiersH391" hidden="1">#REF!</definedName>
    <definedName name="IQRIdentifiersH392" hidden="1">#REF!</definedName>
    <definedName name="IQRIdentifiersH393" hidden="1">#REF!</definedName>
    <definedName name="IQRIdentifiersH394" hidden="1">#REF!</definedName>
    <definedName name="IQRIdentifiersH395" hidden="1">#REF!</definedName>
    <definedName name="IQRIdentifiersH396" hidden="1">#REF!</definedName>
    <definedName name="IQRIdentifiersH397" hidden="1">#REF!</definedName>
    <definedName name="IQRIdentifiersH398" hidden="1">#REF!</definedName>
    <definedName name="IQRIdentifiersH399" hidden="1">#REF!</definedName>
    <definedName name="IQRIdentifiersH40" hidden="1">#REF!</definedName>
    <definedName name="IQRIdentifiersH400" hidden="1">#REF!</definedName>
    <definedName name="IQRIdentifiersH401" hidden="1">#REF!</definedName>
    <definedName name="IQRIdentifiersH402" hidden="1">#REF!</definedName>
    <definedName name="IQRIdentifiersH403" hidden="1">#REF!</definedName>
    <definedName name="IQRIdentifiersH404" hidden="1">#REF!</definedName>
    <definedName name="IQRIdentifiersH405" hidden="1">#REF!</definedName>
    <definedName name="IQRIdentifiersH406" hidden="1">#REF!</definedName>
    <definedName name="IQRIdentifiersH407" hidden="1">#REF!</definedName>
    <definedName name="IQRIdentifiersH408" hidden="1">#REF!</definedName>
    <definedName name="IQRIdentifiersH409" hidden="1">#REF!</definedName>
    <definedName name="IQRIdentifiersH41" hidden="1">#REF!</definedName>
    <definedName name="IQRIdentifiersH410" hidden="1">#REF!</definedName>
    <definedName name="IQRIdentifiersH411" hidden="1">#REF!</definedName>
    <definedName name="IQRIdentifiersH412" hidden="1">#REF!</definedName>
    <definedName name="IQRIdentifiersH413" hidden="1">#REF!</definedName>
    <definedName name="IQRIdentifiersH414" hidden="1">#REF!</definedName>
    <definedName name="IQRIdentifiersH415" hidden="1">#REF!</definedName>
    <definedName name="IQRIdentifiersH416" hidden="1">#REF!</definedName>
    <definedName name="IQRIdentifiersH417" hidden="1">#REF!</definedName>
    <definedName name="IQRIdentifiersH418" hidden="1">#REF!</definedName>
    <definedName name="IQRIdentifiersH419" hidden="1">#REF!</definedName>
    <definedName name="IQRIdentifiersH42" hidden="1">#REF!</definedName>
    <definedName name="IQRIdentifiersH420" hidden="1">#REF!</definedName>
    <definedName name="IQRIdentifiersH421" hidden="1">#REF!</definedName>
    <definedName name="IQRIdentifiersH422" hidden="1">#REF!</definedName>
    <definedName name="IQRIdentifiersH423" hidden="1">#REF!</definedName>
    <definedName name="IQRIdentifiersH424" hidden="1">#REF!</definedName>
    <definedName name="IQRIdentifiersH425" hidden="1">#REF!</definedName>
    <definedName name="IQRIdentifiersH426" hidden="1">#REF!</definedName>
    <definedName name="IQRIdentifiersH427" hidden="1">#REF!</definedName>
    <definedName name="IQRIdentifiersH428" hidden="1">#REF!</definedName>
    <definedName name="IQRIdentifiersH429" hidden="1">#REF!</definedName>
    <definedName name="IQRIdentifiersH43" hidden="1">#REF!</definedName>
    <definedName name="IQRIdentifiersH430" hidden="1">#REF!</definedName>
    <definedName name="IQRIdentifiersH431" hidden="1">#REF!</definedName>
    <definedName name="IQRIdentifiersH432" hidden="1">#REF!</definedName>
    <definedName name="IQRIdentifiersH433" hidden="1">#REF!</definedName>
    <definedName name="IQRIdentifiersH434" hidden="1">#REF!</definedName>
    <definedName name="IQRIdentifiersH435" hidden="1">#REF!</definedName>
    <definedName name="IQRIdentifiersH436" hidden="1">#REF!</definedName>
    <definedName name="IQRIdentifiersH437" hidden="1">#REF!</definedName>
    <definedName name="IQRIdentifiersH438" hidden="1">#REF!</definedName>
    <definedName name="IQRIdentifiersH439" hidden="1">#REF!</definedName>
    <definedName name="IQRIdentifiersH44" hidden="1">#REF!</definedName>
    <definedName name="IQRIdentifiersH440" hidden="1">#REF!</definedName>
    <definedName name="IQRIdentifiersH441" hidden="1">#REF!</definedName>
    <definedName name="IQRIdentifiersH442" hidden="1">#REF!</definedName>
    <definedName name="IQRIdentifiersH443" hidden="1">#REF!</definedName>
    <definedName name="IQRIdentifiersH444" hidden="1">#REF!</definedName>
    <definedName name="IQRIdentifiersH445" hidden="1">#REF!</definedName>
    <definedName name="IQRIdentifiersH446" hidden="1">#REF!</definedName>
    <definedName name="IQRIdentifiersH447" hidden="1">#REF!</definedName>
    <definedName name="IQRIdentifiersH448" hidden="1">#REF!</definedName>
    <definedName name="IQRIdentifiersH449" hidden="1">#REF!</definedName>
    <definedName name="IQRIdentifiersH45" hidden="1">#REF!</definedName>
    <definedName name="IQRIdentifiersH450" hidden="1">#REF!</definedName>
    <definedName name="IQRIdentifiersH451" hidden="1">#REF!</definedName>
    <definedName name="IQRIdentifiersH452" hidden="1">#REF!</definedName>
    <definedName name="IQRIdentifiersH453" hidden="1">#REF!</definedName>
    <definedName name="IQRIdentifiersH454" hidden="1">#REF!</definedName>
    <definedName name="IQRIdentifiersH455" hidden="1">#REF!</definedName>
    <definedName name="IQRIdentifiersH456" hidden="1">#REF!</definedName>
    <definedName name="IQRIdentifiersH457" hidden="1">#REF!</definedName>
    <definedName name="IQRIdentifiersH458" hidden="1">#REF!</definedName>
    <definedName name="IQRIdentifiersH459" hidden="1">#REF!</definedName>
    <definedName name="IQRIdentifiersH46" hidden="1">#REF!</definedName>
    <definedName name="IQRIdentifiersH460" hidden="1">#REF!</definedName>
    <definedName name="IQRIdentifiersH461" hidden="1">#REF!</definedName>
    <definedName name="IQRIdentifiersH462" hidden="1">#REF!</definedName>
    <definedName name="IQRIdentifiersH463" hidden="1">#REF!</definedName>
    <definedName name="IQRIdentifiersH464" hidden="1">#REF!</definedName>
    <definedName name="IQRIdentifiersH465" hidden="1">#REF!</definedName>
    <definedName name="IQRIdentifiersH466" hidden="1">#REF!</definedName>
    <definedName name="IQRIdentifiersH467" hidden="1">#REF!</definedName>
    <definedName name="IQRIdentifiersH468" hidden="1">#REF!</definedName>
    <definedName name="IQRIdentifiersH469" hidden="1">#REF!</definedName>
    <definedName name="IQRIdentifiersH47" hidden="1">#REF!</definedName>
    <definedName name="IQRIdentifiersH470" hidden="1">#REF!</definedName>
    <definedName name="IQRIdentifiersH471" hidden="1">#REF!</definedName>
    <definedName name="IQRIdentifiersH472" hidden="1">#REF!</definedName>
    <definedName name="IQRIdentifiersH473" hidden="1">#REF!</definedName>
    <definedName name="IQRIdentifiersH474" hidden="1">#REF!</definedName>
    <definedName name="IQRIdentifiersH475" hidden="1">#REF!</definedName>
    <definedName name="IQRIdentifiersH476" hidden="1">#REF!</definedName>
    <definedName name="IQRIdentifiersH477" hidden="1">#REF!</definedName>
    <definedName name="IQRIdentifiersH478" hidden="1">#REF!</definedName>
    <definedName name="IQRIdentifiersH479" hidden="1">#REF!</definedName>
    <definedName name="IQRIdentifiersH48" hidden="1">#REF!</definedName>
    <definedName name="IQRIdentifiersH480" hidden="1">#REF!</definedName>
    <definedName name="IQRIdentifiersH481" hidden="1">#REF!</definedName>
    <definedName name="IQRIdentifiersH482" hidden="1">#REF!</definedName>
    <definedName name="IQRIdentifiersH483" hidden="1">#REF!</definedName>
    <definedName name="IQRIdentifiersH484" hidden="1">#REF!</definedName>
    <definedName name="IQRIdentifiersH485" hidden="1">#REF!</definedName>
    <definedName name="IQRIdentifiersH486" hidden="1">#REF!</definedName>
    <definedName name="IQRIdentifiersH487" hidden="1">#REF!</definedName>
    <definedName name="IQRIdentifiersH488" hidden="1">#REF!</definedName>
    <definedName name="IQRIdentifiersH489" hidden="1">#REF!</definedName>
    <definedName name="IQRIdentifiersH49" hidden="1">#REF!</definedName>
    <definedName name="IQRIdentifiersH490" hidden="1">#REF!</definedName>
    <definedName name="IQRIdentifiersH491" hidden="1">#REF!</definedName>
    <definedName name="IQRIdentifiersH492" hidden="1">#REF!</definedName>
    <definedName name="IQRIdentifiersH493" hidden="1">#REF!</definedName>
    <definedName name="IQRIdentifiersH494" hidden="1">#REF!</definedName>
    <definedName name="IQRIdentifiersH495" hidden="1">#REF!</definedName>
    <definedName name="IQRIdentifiersH496" hidden="1">#REF!</definedName>
    <definedName name="IQRIdentifiersH497" hidden="1">#REF!</definedName>
    <definedName name="IQRIdentifiersH498" hidden="1">#REF!</definedName>
    <definedName name="IQRIdentifiersH499" hidden="1">#REF!</definedName>
    <definedName name="IQRIdentifiersH50" hidden="1">#REF!</definedName>
    <definedName name="IQRIdentifiersH500" hidden="1">#REF!</definedName>
    <definedName name="IQRIdentifiersH501" hidden="1">#REF!</definedName>
    <definedName name="IQRIdentifiersH502" hidden="1">#REF!</definedName>
    <definedName name="IQRIdentifiersH503" hidden="1">#REF!</definedName>
    <definedName name="IQRIdentifiersH504" hidden="1">#REF!</definedName>
    <definedName name="IQRIdentifiersH505" hidden="1">#REF!</definedName>
    <definedName name="IQRIdentifiersH506" hidden="1">#REF!</definedName>
    <definedName name="IQRIdentifiersH507" hidden="1">#REF!</definedName>
    <definedName name="IQRIdentifiersH51" hidden="1">#REF!</definedName>
    <definedName name="IQRIdentifiersH52" hidden="1">#REF!</definedName>
    <definedName name="IQRIdentifiersH53" hidden="1">#REF!</definedName>
    <definedName name="IQRIdentifiersH54" hidden="1">#REF!</definedName>
    <definedName name="IQRIdentifiersH55" hidden="1">#REF!</definedName>
    <definedName name="IQRIdentifiersH56" hidden="1">#REF!</definedName>
    <definedName name="IQRIdentifiersH57" hidden="1">#REF!</definedName>
    <definedName name="IQRIdentifiersH58" hidden="1">#REF!</definedName>
    <definedName name="IQRIdentifiersH59" hidden="1">#REF!</definedName>
    <definedName name="IQRIdentifiersH60" hidden="1">#REF!</definedName>
    <definedName name="IQRIdentifiersH61" hidden="1">#REF!</definedName>
    <definedName name="IQRIdentifiersH62" hidden="1">#REF!</definedName>
    <definedName name="IQRIdentifiersH63" hidden="1">#REF!</definedName>
    <definedName name="IQRIdentifiersH64" hidden="1">#REF!</definedName>
    <definedName name="IQRIdentifiersH65" hidden="1">#REF!</definedName>
    <definedName name="IQRIdentifiersH66" hidden="1">#REF!</definedName>
    <definedName name="IQRIdentifiersH67" hidden="1">#REF!</definedName>
    <definedName name="IQRIdentifiersH68" hidden="1">#REF!</definedName>
    <definedName name="IQRIdentifiersH69" hidden="1">#REF!</definedName>
    <definedName name="IQRIdentifiersH70" hidden="1">#REF!</definedName>
    <definedName name="IQRIdentifiersH71" hidden="1">#REF!</definedName>
    <definedName name="IQRIdentifiersH72" hidden="1">#REF!</definedName>
    <definedName name="IQRIdentifiersH73" hidden="1">#REF!</definedName>
    <definedName name="IQRIdentifiersH74" hidden="1">#REF!</definedName>
    <definedName name="IQRIdentifiersH75" hidden="1">#REF!</definedName>
    <definedName name="IQRIdentifiersH76" hidden="1">#REF!</definedName>
    <definedName name="IQRIdentifiersH77" hidden="1">#REF!</definedName>
    <definedName name="IQRIdentifiersH78" hidden="1">#REF!</definedName>
    <definedName name="IQRIdentifiersH79" hidden="1">#REF!</definedName>
    <definedName name="IQRIdentifiersH8" hidden="1">#REF!</definedName>
    <definedName name="IQRIdentifiersH80" hidden="1">#REF!</definedName>
    <definedName name="IQRIdentifiersH81" hidden="1">#REF!</definedName>
    <definedName name="IQRIdentifiersH82" hidden="1">#REF!</definedName>
    <definedName name="IQRIdentifiersH83" hidden="1">#REF!</definedName>
    <definedName name="IQRIdentifiersH84" hidden="1">#REF!</definedName>
    <definedName name="IQRIdentifiersH85" hidden="1">#REF!</definedName>
    <definedName name="IQRIdentifiersH86" hidden="1">#REF!</definedName>
    <definedName name="IQRIdentifiersH87" hidden="1">#REF!</definedName>
    <definedName name="IQRIdentifiersH88" hidden="1">#REF!</definedName>
    <definedName name="IQRIdentifiersH89" hidden="1">#REF!</definedName>
    <definedName name="IQRIdentifiersH9" hidden="1">#REF!</definedName>
    <definedName name="IQRIdentifiersH90" hidden="1">#REF!</definedName>
    <definedName name="IQRIdentifiersH91" hidden="1">#REF!</definedName>
    <definedName name="IQRIdentifiersH92" hidden="1">#REF!</definedName>
    <definedName name="IQRIdentifiersH93" hidden="1">#REF!</definedName>
    <definedName name="IQRIdentifiersH94" hidden="1">#REF!</definedName>
    <definedName name="IQRIdentifiersH95" hidden="1">#REF!</definedName>
    <definedName name="IQRIdentifiersH96" hidden="1">#REF!</definedName>
    <definedName name="IQRIdentifiersH97" hidden="1">#REF!</definedName>
    <definedName name="IQRIdentifiersH98" hidden="1">#REF!</definedName>
    <definedName name="IQRIdentifiersH99" hidden="1">#REF!</definedName>
    <definedName name="IQRIdentifiersI8" hidden="1">#REF!</definedName>
    <definedName name="IQRIdentifiersJ14" hidden="1">#REF!</definedName>
    <definedName name="IQRIdentifiersK8" hidden="1">#REF!</definedName>
    <definedName name="IQRIndexDataA8" hidden="1">#REF!</definedName>
    <definedName name="IQRInputH15" hidden="1">#REF!</definedName>
    <definedName name="IQRInputsC1" hidden="1">#REF!</definedName>
    <definedName name="IQRInputTabC14" hidden="1">#REF!</definedName>
    <definedName name="IQRInterestRateDataA4" hidden="1">#REF!</definedName>
    <definedName name="IQRIQ_YieldCurvesAQ76" hidden="1">#REF!</definedName>
    <definedName name="IQRIssuerTransparencyAX3" hidden="1">#REF!</definedName>
    <definedName name="IQRIssuerTransparencyAX4" hidden="1">#REF!</definedName>
    <definedName name="IQRIssuerTransparencyBV3" hidden="1">#REF!</definedName>
    <definedName name="IQRIssuerTransparencyT3" hidden="1">#REF!</definedName>
    <definedName name="IQRIssuerTransparencyU3" hidden="1">#REF!</definedName>
    <definedName name="IQRIssuerTransparencyV3" hidden="1">#REF!</definedName>
    <definedName name="IQRIssuesD1" hidden="1">#REF!</definedName>
    <definedName name="IQRIssuesD10" hidden="1">#REF!</definedName>
    <definedName name="IQRIssuesD11" hidden="1">#REF!</definedName>
    <definedName name="IQRIssuesD12" hidden="1">#REF!</definedName>
    <definedName name="IQRIssuesD13" hidden="1">#REF!</definedName>
    <definedName name="IQRIssuesD14" hidden="1">#REF!</definedName>
    <definedName name="IQRIssuesD15" hidden="1">#REF!</definedName>
    <definedName name="IQRIssuesD16" hidden="1">#REF!</definedName>
    <definedName name="IQRIssuesD17" hidden="1">#REF!</definedName>
    <definedName name="IQRIssuesD18" hidden="1">#REF!</definedName>
    <definedName name="IQRIssuesD19" hidden="1">#REF!</definedName>
    <definedName name="IQRIssuesD2" hidden="1">#REF!</definedName>
    <definedName name="IQRIssuesD20" hidden="1">#REF!</definedName>
    <definedName name="IQRIssuesD21" hidden="1">#REF!</definedName>
    <definedName name="IQRIssuesD24" hidden="1">#REF!</definedName>
    <definedName name="IQRIssuesD25" hidden="1">#REF!</definedName>
    <definedName name="IQRIssuesD26" hidden="1">#REF!</definedName>
    <definedName name="IQRIssuesD28" hidden="1">#REF!</definedName>
    <definedName name="IQRIssuesD29" hidden="1">#REF!</definedName>
    <definedName name="IQRIssuesD3" hidden="1">#REF!</definedName>
    <definedName name="IQRIssuesD30" hidden="1">#REF!</definedName>
    <definedName name="IQRIssuesD31" hidden="1">#REF!</definedName>
    <definedName name="IQRIssuesD32" hidden="1">#REF!</definedName>
    <definedName name="IQRIssuesD33" hidden="1">#REF!</definedName>
    <definedName name="IQRIssuesD34" hidden="1">#REF!</definedName>
    <definedName name="IQRIssuesD35" hidden="1">#REF!</definedName>
    <definedName name="IQRIssuesD36" hidden="1">#REF!</definedName>
    <definedName name="IQRIssuesD37" hidden="1">#REF!</definedName>
    <definedName name="IQRIssuesD38" hidden="1">#REF!</definedName>
    <definedName name="IQRIssuesD39" hidden="1">#REF!</definedName>
    <definedName name="IQRIssuesD4" hidden="1">#REF!</definedName>
    <definedName name="IQRIssuesD40" hidden="1">#REF!</definedName>
    <definedName name="IQRIssuesD41" hidden="1">#REF!</definedName>
    <definedName name="IQRIssuesD42" hidden="1">#REF!</definedName>
    <definedName name="IQRIssuesD43" hidden="1">#REF!</definedName>
    <definedName name="IQRIssuesD44" hidden="1">#REF!</definedName>
    <definedName name="IQRIssuesD45" hidden="1">#REF!</definedName>
    <definedName name="IQRIssuesD46" hidden="1">#REF!</definedName>
    <definedName name="IQRIssuesD47" hidden="1">#REF!</definedName>
    <definedName name="IQRIssuesD48" hidden="1">#REF!</definedName>
    <definedName name="IQRIssuesD5" hidden="1">#REF!</definedName>
    <definedName name="IQRIssuesD6" hidden="1">#REF!</definedName>
    <definedName name="IQRIssuesD7" hidden="1">#REF!</definedName>
    <definedName name="IQRIssuesD8" hidden="1">#REF!</definedName>
    <definedName name="IQRIssuesD9" hidden="1">#REF!</definedName>
    <definedName name="IQRJ24" hidden="1">"$J$25:$J$26"</definedName>
    <definedName name="IQRJ3" hidden="1">"$J$4:$J$253"</definedName>
    <definedName name="IQRJ4" hidden="1">"$J$5:$J$254"</definedName>
    <definedName name="IQRJ405" hidden="1">"$J$406:$J$658"</definedName>
    <definedName name="IQRJ406" hidden="1">"$J$407:$J$659"</definedName>
    <definedName name="IQRJ413" hidden="1">"$J$414:$J$666"</definedName>
    <definedName name="IQRJ415" hidden="1">"$J$416:$J$668"</definedName>
    <definedName name="IQRJ417" hidden="1">"$J$418:$J$670"</definedName>
    <definedName name="IQRJ419" hidden="1">"$J$420:$J$672"</definedName>
    <definedName name="IQRJ434" hidden="1">"$J$435:$J$687"</definedName>
    <definedName name="IQRJ439" hidden="1">"$J$440:$J$692"</definedName>
    <definedName name="IQRJ441" hidden="1">"$J$442:$J$694"</definedName>
    <definedName name="IQRJ442" hidden="1">"$J$443:$J$695"</definedName>
    <definedName name="IQRJ443" hidden="1">"$J$444:$J$696"</definedName>
    <definedName name="IQRJ444" hidden="1">"$J$445:$J$697"</definedName>
    <definedName name="IQRJ448" hidden="1">"$J$449:$J$701"</definedName>
    <definedName name="IQRJ449" hidden="1">"$J$450:$J$702"</definedName>
    <definedName name="IQRJ450" hidden="1">"$J$451:$J$703"</definedName>
    <definedName name="IQRJ5" hidden="1">"$J$6:$J$255"</definedName>
    <definedName name="IQRJ581" hidden="1">"$J$582:$J$834"</definedName>
    <definedName name="IQRJ582" hidden="1">"$J$583:$J$835"</definedName>
    <definedName name="IQRJ583" hidden="1">"$J$584:$J$836"</definedName>
    <definedName name="IQRJ59" hidden="1">"$J$60"</definedName>
    <definedName name="IQRJ6" hidden="1">"$J$7:$J$256"</definedName>
    <definedName name="IQRJ7" hidden="1">"$J$8:$J$9"</definedName>
    <definedName name="IQRJ8" hidden="1">"$J$9:$J$13"</definedName>
    <definedName name="IQRJ81" hidden="1">"$J$82:$J$86"</definedName>
    <definedName name="IQRK102" hidden="1">"$K$103:$K$352"</definedName>
    <definedName name="IQRK13" hidden="1">"$K$14"</definedName>
    <definedName name="IQRK24" hidden="1">"$K$25:$K$27"</definedName>
    <definedName name="IQRK3" hidden="1">"$K$4:$K$253"</definedName>
    <definedName name="IQRK4" hidden="1">"$K$5:$K$254"</definedName>
    <definedName name="IQRK5" hidden="1">"$K$6:$K$443"</definedName>
    <definedName name="IQRK6" hidden="1">"$K$7:$K$256"</definedName>
    <definedName name="IQRK7" hidden="1">"$K$8:$K$10"</definedName>
    <definedName name="IQRK71" hidden="1">"$K$72:$K$321"</definedName>
    <definedName name="IQRK73" hidden="1">"$K$74:$K$323"</definedName>
    <definedName name="IQRK74" hidden="1">"$K$75"</definedName>
    <definedName name="IQRK75" hidden="1">"$K$76"</definedName>
    <definedName name="IQRK77" hidden="1">"$K$78:$K$85"</definedName>
    <definedName name="IQRK78" hidden="1">"$K$79:$K$88"</definedName>
    <definedName name="IQRK81" hidden="1">"$K$82:$K$86"</definedName>
    <definedName name="IQRK91" hidden="1">"$K$92:$K$94"</definedName>
    <definedName name="IQRK92" hidden="1">"$K$93:$K$95"</definedName>
    <definedName name="IQRKeyDevsNewsEventsO5" hidden="1">#REF!</definedName>
    <definedName name="IQRL13" hidden="1">"$L$14"</definedName>
    <definedName name="IQRL14" hidden="1">"$L$15:$L$1962"</definedName>
    <definedName name="IQRL16" hidden="1">"$L$17:$L$21"</definedName>
    <definedName name="IQRL21" hidden="1">"$L$22"</definedName>
    <definedName name="IQRL24" hidden="1">"$L$25"</definedName>
    <definedName name="IQRL3" hidden="1">"$L$4:$L$253"</definedName>
    <definedName name="IQRL34" hidden="1">"$L$35:$L$921"</definedName>
    <definedName name="IQRL39" hidden="1">"$L$40:$L$61"</definedName>
    <definedName name="IQRL405" hidden="1">"$L$406:$L$658"</definedName>
    <definedName name="IQRL406" hidden="1">"$L$407:$L$659"</definedName>
    <definedName name="IQRL413" hidden="1">"$L$414:$L$666"</definedName>
    <definedName name="IQRL415" hidden="1">"$L$416:$L$668"</definedName>
    <definedName name="IQRL417" hidden="1">"$L$418:$L$670"</definedName>
    <definedName name="IQRL419" hidden="1">"$L$420:$L$672"</definedName>
    <definedName name="IQRL434" hidden="1">"$L$435:$L$687"</definedName>
    <definedName name="IQRL439" hidden="1">"$L$440:$L$692"</definedName>
    <definedName name="IQRL441" hidden="1">"$L$442:$L$694"</definedName>
    <definedName name="IQRL442" hidden="1">"$L$443:$L$695"</definedName>
    <definedName name="IQRL443" hidden="1">"$L$444:$L$696"</definedName>
    <definedName name="IQRL444" hidden="1">"$L$445:$L$697"</definedName>
    <definedName name="IQRL448" hidden="1">"$L$449:$L$701"</definedName>
    <definedName name="IQRL449" hidden="1">"$L$450:$L$702"</definedName>
    <definedName name="IQRL450" hidden="1">"$L$451:$L$703"</definedName>
    <definedName name="IQRL581" hidden="1">"$L$582:$L$834"</definedName>
    <definedName name="IQRL582" hidden="1">"$L$583:$L$835"</definedName>
    <definedName name="IQRL583" hidden="1">"$L$584:$L$836"</definedName>
    <definedName name="IQRL59" hidden="1">"$L$60"</definedName>
    <definedName name="IQRL6" hidden="1">"$L$7:$L$256"</definedName>
    <definedName name="IQRL7" hidden="1">"$L$8"</definedName>
    <definedName name="IQRL8" hidden="1">#REF!</definedName>
    <definedName name="IQRL81" hidden="1">"$L$82:$L$86"</definedName>
    <definedName name="IQRLiquidityAA14" hidden="1">#REF!</definedName>
    <definedName name="IQRLiquidityAC14" hidden="1">#REF!</definedName>
    <definedName name="IQRLiquidityAD14" hidden="1">#REF!</definedName>
    <definedName name="IQRLiquidityAE14" hidden="1">#REF!</definedName>
    <definedName name="IQRLiquidityAF14" hidden="1">#REF!</definedName>
    <definedName name="IQRLiquidityAG14" hidden="1">#REF!</definedName>
    <definedName name="IQRLiquidityAG18" hidden="1">#REF!</definedName>
    <definedName name="IQRLiquidityAI14" hidden="1">#REF!</definedName>
    <definedName name="IQRLiquidityAJ14" hidden="1">#REF!</definedName>
    <definedName name="IQRLiquidityAJ18" hidden="1">#REF!</definedName>
    <definedName name="IQRLiquidityAK14" hidden="1">#REF!</definedName>
    <definedName name="IQRLiquidityAK18" hidden="1">#REF!</definedName>
    <definedName name="IQRLiquidityAL14" hidden="1">#REF!</definedName>
    <definedName name="IQRLiquidityAM14" hidden="1">#REF!</definedName>
    <definedName name="IQRLiquidityAO14" hidden="1">#REF!</definedName>
    <definedName name="IQRLiquidityAP14" hidden="1">#REF!</definedName>
    <definedName name="IQRLiquidityAQ14" hidden="1">#REF!</definedName>
    <definedName name="IQRLiquidityAR14" hidden="1">#REF!</definedName>
    <definedName name="IQRLiquidityAS14" hidden="1">#REF!</definedName>
    <definedName name="IQRLiquidityAU14" hidden="1">#REF!</definedName>
    <definedName name="IQRLiquidityAV14" hidden="1">#REF!</definedName>
    <definedName name="IQRLiquidityAV18" hidden="1">#REF!</definedName>
    <definedName name="IQRLiquidityAW14" hidden="1">#REF!</definedName>
    <definedName name="IQRLiquidityAX14" hidden="1">#REF!</definedName>
    <definedName name="IQRLiquidityAY14" hidden="1">#REF!</definedName>
    <definedName name="IQRLiquidityAZ18" hidden="1">#REF!</definedName>
    <definedName name="IQRLiquidityBY14" hidden="1">#REF!</definedName>
    <definedName name="IQRLiquidityBZ14" hidden="1">#REF!</definedName>
    <definedName name="IQRLiquidityCA14" hidden="1">#REF!</definedName>
    <definedName name="IQRLiquidityCB14" hidden="1">#REF!</definedName>
    <definedName name="IQRLiquidityCC14" hidden="1">#REF!</definedName>
    <definedName name="IQRLiquidityCC18" hidden="1">#REF!</definedName>
    <definedName name="IQRLiquidityCR18" hidden="1">#REF!</definedName>
    <definedName name="IQRLiquidityCS18" hidden="1">#REF!</definedName>
    <definedName name="IQRLiquidityDD18" hidden="1">#REF!</definedName>
    <definedName name="IQRLiquidityDG18" hidden="1">#REF!</definedName>
    <definedName name="IQRLiquidityDH18" hidden="1">#REF!</definedName>
    <definedName name="IQRLiquidityDW18" hidden="1">#REF!</definedName>
    <definedName name="IQRLiquidityE14" hidden="1">#REF!</definedName>
    <definedName name="IQRLiquidityEH18" hidden="1">#REF!</definedName>
    <definedName name="IQRLiquidityEZ18" hidden="1">#REF!</definedName>
    <definedName name="IQRLiquidityF14" hidden="1">#REF!</definedName>
    <definedName name="IQRLiquidityFL18" hidden="1">#REF!</definedName>
    <definedName name="IQRLiquidityFP18" hidden="1">#REF!</definedName>
    <definedName name="IQRLiquidityG14" hidden="1">#REF!</definedName>
    <definedName name="IQRLiquidityGT18" hidden="1">#REF!</definedName>
    <definedName name="IQRLiquidityH14" hidden="1">#REF!</definedName>
    <definedName name="IQRLiquidityHE18" hidden="1">#REF!</definedName>
    <definedName name="IQRLiquidityHH18" hidden="1">#REF!</definedName>
    <definedName name="IQRLiquidityHX18" hidden="1">#REF!</definedName>
    <definedName name="IQRLiquidityI14" hidden="1">#REF!</definedName>
    <definedName name="IQRLiquidityK14" hidden="1">#REF!</definedName>
    <definedName name="IQRLiquidityL14" hidden="1">#REF!</definedName>
    <definedName name="IQRLiquidityM14" hidden="1">#REF!</definedName>
    <definedName name="IQRLiquidityN14" hidden="1">#REF!</definedName>
    <definedName name="IQRLiquidityO14" hidden="1">#REF!</definedName>
    <definedName name="IQRLiquidityQ14" hidden="1">#REF!</definedName>
    <definedName name="IQRLiquidityR14" hidden="1">#REF!</definedName>
    <definedName name="IQRLiquidityS14" hidden="1">#REF!</definedName>
    <definedName name="IQRLiquidityT14" hidden="1">#REF!</definedName>
    <definedName name="IQRLiquidityU14" hidden="1">#REF!</definedName>
    <definedName name="IQRLiquidityU18" hidden="1">#REF!</definedName>
    <definedName name="IQRLiquidityW14" hidden="1">#REF!</definedName>
    <definedName name="IQRLiquidityX14" hidden="1">#REF!</definedName>
    <definedName name="IQRLiquidityY14" hidden="1">#REF!</definedName>
    <definedName name="IQRLiquidityZ14" hidden="1">#REF!</definedName>
    <definedName name="IQRLLYH20" hidden="1">#REF!</definedName>
    <definedName name="IQRLSESNH20" hidden="1">#REF!</definedName>
    <definedName name="IQRM101" hidden="1">"$M$102:$M$351"</definedName>
    <definedName name="IQRM102" hidden="1">"$M$103:$M$352"</definedName>
    <definedName name="IQRM103" hidden="1">"$M$104:$M$353"</definedName>
    <definedName name="IQRM104" hidden="1">"$M$105:$M$354"</definedName>
    <definedName name="IQRM105" hidden="1">"$M$106:$M$355"</definedName>
    <definedName name="IQRM13" hidden="1">"$M$14"</definedName>
    <definedName name="IQRM15" hidden="1">"$M$16"</definedName>
    <definedName name="IQRM16" hidden="1">"$N$16"</definedName>
    <definedName name="IQRM17" hidden="1">"$M$18:$M$22"</definedName>
    <definedName name="IQRM21" hidden="1">"$M$22"</definedName>
    <definedName name="IQRM22" hidden="1">"$M$23:$M$387"</definedName>
    <definedName name="IQRM24" hidden="1">"$M$25"</definedName>
    <definedName name="IQRM3" hidden="1">"$M$4:$M$253"</definedName>
    <definedName name="IQRM34" hidden="1">"$M$35:$M$921"</definedName>
    <definedName name="IQRM39" hidden="1">"$M$40:$M$61"</definedName>
    <definedName name="IQRM5" hidden="1">"$M$6:$M$373"</definedName>
    <definedName name="IQRM7" hidden="1">"$M$8"</definedName>
    <definedName name="IQRM97" hidden="1">"$M$98:$M$347"</definedName>
    <definedName name="IQRModelSpecificSingleScoreAA15" hidden="1">#REF!</definedName>
    <definedName name="IQRModelSpecificSingleScoreAB15" hidden="1">#REF!</definedName>
    <definedName name="IQRModelSpecificSingleScoreAH5" hidden="1">#REF!</definedName>
    <definedName name="IQRModelSpecificSingleScoreAI5" hidden="1">#REF!</definedName>
    <definedName name="IQRModelSpecificSingleScoreAJ5" hidden="1">#REF!</definedName>
    <definedName name="IQRModelSpecificSingleScoreAR37" hidden="1">#REF!</definedName>
    <definedName name="IQRModelSpecificSingleScoreAT37" hidden="1">#REF!</definedName>
    <definedName name="IQRModelSpecificSingleScoreAU37" hidden="1">#REF!</definedName>
    <definedName name="IQRModelSpecificSingleScoreAW37" hidden="1">#REF!</definedName>
    <definedName name="IQRModelSpecificSingleScoreP15" hidden="1">#REF!</definedName>
    <definedName name="IQRModelSpecificSingleScoreP37" hidden="1">#REF!</definedName>
    <definedName name="IQRModelSpecificSingleScoreQ15" hidden="1">#REF!</definedName>
    <definedName name="IQRModelSpecificSingleScoreQ37" hidden="1">#REF!</definedName>
    <definedName name="IQRModelSpecificSingleScoreR15" hidden="1">#REF!</definedName>
    <definedName name="IQRModelSpecificSingleScoreR37" hidden="1">#REF!</definedName>
    <definedName name="IQRModelSpecificSingleScoreS15" hidden="1">#REF!</definedName>
    <definedName name="IQRModelSpecificSingleScoreS37" hidden="1">#REF!</definedName>
    <definedName name="IQRModelSpecificSingleScoreT37" hidden="1">#REF!</definedName>
    <definedName name="IQRModelSpecificSingleScoreU37" hidden="1">#REF!</definedName>
    <definedName name="IQRModelSpecificSingleScoreV15" hidden="1">#REF!</definedName>
    <definedName name="IQRModelSpecificSingleScoreV37" hidden="1">#REF!</definedName>
    <definedName name="IQRModelSpecificSingleScoreV5" hidden="1">#REF!</definedName>
    <definedName name="IQRModelSpecificSingleScoreW15" hidden="1">#REF!</definedName>
    <definedName name="IQRModelSpecificSingleScoreW5" hidden="1">#REF!</definedName>
    <definedName name="IQRModelSpecificSingleScoreX15" hidden="1">#REF!</definedName>
    <definedName name="IQRModelSpecificSingleScoreX5" hidden="1">#REF!</definedName>
    <definedName name="IQRModelSpecificSingleScoreY15" hidden="1">#REF!</definedName>
    <definedName name="IQRModelSpecificSingleScoreZ15" hidden="1">#REF!</definedName>
    <definedName name="IQRMRKH20" hidden="1">#REF!</definedName>
    <definedName name="IQRMultiCompanyCIQBasedSco2AB18" hidden="1">#REF!</definedName>
    <definedName name="IQRMultiCompanyCIQBasedSco2AB40" hidden="1">#REF!</definedName>
    <definedName name="IQRMultiCompanyCIQBasedSco2AB53" hidden="1">#REF!</definedName>
    <definedName name="IQRMultiCompanyCIQBasedSco2AB71" hidden="1">#REF!</definedName>
    <definedName name="IQRMultiCompanyCIQBasedSco2AB9" hidden="1">#REF!</definedName>
    <definedName name="IQRMultiCompanyCIQBasedSco2AC18" hidden="1">#REF!</definedName>
    <definedName name="IQRMultiCompanyCIQBasedSco2AC40" hidden="1">#REF!</definedName>
    <definedName name="IQRMultiCompanyCIQBasedSco2AC53" hidden="1">#REF!</definedName>
    <definedName name="IQRMultiCompanyCIQBasedSco2AC71" hidden="1">#REF!</definedName>
    <definedName name="IQRMultiCompanyCIQBasedSco2AC9" hidden="1">#REF!</definedName>
    <definedName name="IQRMultiCompanyCIQBasedSco2AE18" hidden="1">#REF!</definedName>
    <definedName name="IQRMultiCompanyCIQBasedSco2AE40" hidden="1">#REF!</definedName>
    <definedName name="IQRMultiCompanyCIQBasedSco2AE53" hidden="1">#REF!</definedName>
    <definedName name="IQRMultiCompanyCIQBasedSco2AE71" hidden="1">#REF!</definedName>
    <definedName name="IQRMultiCompanyCIQBasedSco2AE9" hidden="1">#REF!</definedName>
    <definedName name="IQRMultiCompanyCIQBasedSco2AF18" hidden="1">#REF!</definedName>
    <definedName name="IQRMultiCompanyCIQBasedSco2AF40" hidden="1">#REF!</definedName>
    <definedName name="IQRMultiCompanyCIQBasedSco2AF53" hidden="1">#REF!</definedName>
    <definedName name="IQRMultiCompanyCIQBasedSco2AF71" hidden="1">#REF!</definedName>
    <definedName name="IQRMultiCompanyCIQBasedSco2AF9" hidden="1">#REF!</definedName>
    <definedName name="IQRMultiCompanyCIQBasedSco2S18" hidden="1">#REF!</definedName>
    <definedName name="IQRMultiCompanyCIQBasedSco2S40" hidden="1">#REF!</definedName>
    <definedName name="IQRMultiCompanyCIQBasedSco2S53" hidden="1">#REF!</definedName>
    <definedName name="IQRMultiCompanyCIQBasedSco2S71" hidden="1">#REF!</definedName>
    <definedName name="IQRMultiCompanyCIQBasedSco2S9" hidden="1">#REF!</definedName>
    <definedName name="IQRMultiCompanyCIQBasedSco2T18" hidden="1">#REF!</definedName>
    <definedName name="IQRMultiCompanyCIQBasedSco2T40" hidden="1">#REF!</definedName>
    <definedName name="IQRMultiCompanyCIQBasedSco2T53" hidden="1">#REF!</definedName>
    <definedName name="IQRMultiCompanyCIQBasedSco2T71" hidden="1">#REF!</definedName>
    <definedName name="IQRMultiCompanyCIQBasedSco2T9" hidden="1">#REF!</definedName>
    <definedName name="IQRMultiCompanyCIQBasedSco2V18" hidden="1">#REF!</definedName>
    <definedName name="IQRMultiCompanyCIQBasedSco2V40" hidden="1">#REF!</definedName>
    <definedName name="IQRMultiCompanyCIQBasedSco2V53" hidden="1">#REF!</definedName>
    <definedName name="IQRMultiCompanyCIQBasedSco2V71" hidden="1">#REF!</definedName>
    <definedName name="IQRMultiCompanyCIQBasedSco2V9" hidden="1">#REF!</definedName>
    <definedName name="IQRMultiCompanyCIQBasedSco2W18" hidden="1">#REF!</definedName>
    <definedName name="IQRMultiCompanyCIQBasedSco2W40" hidden="1">#REF!</definedName>
    <definedName name="IQRMultiCompanyCIQBasedSco2W53" hidden="1">#REF!</definedName>
    <definedName name="IQRMultiCompanyCIQBasedSco2W71" hidden="1">#REF!</definedName>
    <definedName name="IQRMultiCompanyCIQBasedSco2W9" hidden="1">#REF!</definedName>
    <definedName name="IQRMultiCompanyCIQBasedSco2Y18" hidden="1">#REF!</definedName>
    <definedName name="IQRMultiCompanyCIQBasedSco2Y40" hidden="1">#REF!</definedName>
    <definedName name="IQRMultiCompanyCIQBasedSco2Y53" hidden="1">#REF!</definedName>
    <definedName name="IQRMultiCompanyCIQBasedSco2Y71" hidden="1">#REF!</definedName>
    <definedName name="IQRMultiCompanyCIQBasedSco2Y9" hidden="1">#REF!</definedName>
    <definedName name="IQRMultiCompanyCIQBasedSco2Z18" hidden="1">#REF!</definedName>
    <definedName name="IQRMultiCompanyCIQBasedSco2Z40" hidden="1">#REF!</definedName>
    <definedName name="IQRMultiCompanyCIQBasedSco2Z53" hidden="1">#REF!</definedName>
    <definedName name="IQRMultiCompanyCIQBasedSco2Z71" hidden="1">#REF!</definedName>
    <definedName name="IQRMultiCompanyCIQBasedSco2Z9" hidden="1">#REF!</definedName>
    <definedName name="IQRMultiCompanyCIQBasedScoreAA17" hidden="1">#REF!</definedName>
    <definedName name="IQRMultiCompanyCIQBasedScoreAA29" hidden="1">#REF!</definedName>
    <definedName name="IQRMultiCompanyCIQBasedScoreAA51" hidden="1">#REF!</definedName>
    <definedName name="IQRMultiCompanyCIQBasedScoreAA69" hidden="1">#REF!</definedName>
    <definedName name="IQRMultiCompanyCIQBasedScoreAB17" hidden="1">#REF!</definedName>
    <definedName name="IQRMultiCompanyCIQBasedScoreAB18" hidden="1">#REF!</definedName>
    <definedName name="IQRMultiCompanyCIQBasedScoreAB29" hidden="1">#REF!</definedName>
    <definedName name="IQRMultiCompanyCIQBasedScoreAB30" hidden="1">#REF!</definedName>
    <definedName name="IQRMultiCompanyCIQBasedScoreAB31" hidden="1">#REF!</definedName>
    <definedName name="IQRMultiCompanyCIQBasedScoreAB38" hidden="1">#REF!</definedName>
    <definedName name="IQRMultiCompanyCIQBasedScoreAB39" hidden="1">#REF!</definedName>
    <definedName name="IQRMultiCompanyCIQBasedScoreAB40" hidden="1">#REF!</definedName>
    <definedName name="IQRMultiCompanyCIQBasedScoreAB51" hidden="1">#REF!</definedName>
    <definedName name="IQRMultiCompanyCIQBasedScoreAB52" hidden="1">#REF!</definedName>
    <definedName name="IQRMultiCompanyCIQBasedScoreAB53" hidden="1">#REF!</definedName>
    <definedName name="IQRMultiCompanyCIQBasedScoreAB65" hidden="1">#REF!</definedName>
    <definedName name="IQRMultiCompanyCIQBasedScoreAB66" hidden="1">#REF!</definedName>
    <definedName name="IQRMultiCompanyCIQBasedScoreAB69" hidden="1">#REF!</definedName>
    <definedName name="IQRMultiCompanyCIQBasedScoreAB70" hidden="1">#REF!</definedName>
    <definedName name="IQRMultiCompanyCIQBasedScoreAB71" hidden="1">#REF!</definedName>
    <definedName name="IQRMultiCompanyCIQBasedScoreAB73" hidden="1">#REF!</definedName>
    <definedName name="IQRMultiCompanyCIQBasedScoreAB83" hidden="1">#REF!</definedName>
    <definedName name="IQRMultiCompanyCIQBasedScoreAB84" hidden="1">#REF!</definedName>
    <definedName name="IQRMultiCompanyCIQBasedScoreAB9" hidden="1">#REF!</definedName>
    <definedName name="IQRMultiCompanyCIQBasedScoreAB91" hidden="1">#REF!</definedName>
    <definedName name="IQRMultiCompanyCIQBasedScoreAC17" hidden="1">#REF!</definedName>
    <definedName name="IQRMultiCompanyCIQBasedScoreAC18" hidden="1">#REF!</definedName>
    <definedName name="IQRMultiCompanyCIQBasedScoreAC29" hidden="1">#REF!</definedName>
    <definedName name="IQRMultiCompanyCIQBasedScoreAC30" hidden="1">#REF!</definedName>
    <definedName name="IQRMultiCompanyCIQBasedScoreAC31" hidden="1">#REF!</definedName>
    <definedName name="IQRMultiCompanyCIQBasedScoreAC38" hidden="1">#REF!</definedName>
    <definedName name="IQRMultiCompanyCIQBasedScoreAC39" hidden="1">#REF!</definedName>
    <definedName name="IQRMultiCompanyCIQBasedScoreAC40" hidden="1">#REF!</definedName>
    <definedName name="IQRMultiCompanyCIQBasedScoreAC51" hidden="1">#REF!</definedName>
    <definedName name="IQRMultiCompanyCIQBasedScoreAC52" hidden="1">#REF!</definedName>
    <definedName name="IQRMultiCompanyCIQBasedScoreAC53" hidden="1">#REF!</definedName>
    <definedName name="IQRMultiCompanyCIQBasedScoreAC65" hidden="1">#REF!</definedName>
    <definedName name="IQRMultiCompanyCIQBasedScoreAC66" hidden="1">#REF!</definedName>
    <definedName name="IQRMultiCompanyCIQBasedScoreAC69" hidden="1">#REF!</definedName>
    <definedName name="IQRMultiCompanyCIQBasedScoreAC70" hidden="1">#REF!</definedName>
    <definedName name="IQRMultiCompanyCIQBasedScoreAC71" hidden="1">#REF!</definedName>
    <definedName name="IQRMultiCompanyCIQBasedScoreAC73" hidden="1">#REF!</definedName>
    <definedName name="IQRMultiCompanyCIQBasedScoreAC83" hidden="1">#REF!</definedName>
    <definedName name="IQRMultiCompanyCIQBasedScoreAC84" hidden="1">#REF!</definedName>
    <definedName name="IQRMultiCompanyCIQBasedScoreAC9" hidden="1">#REF!</definedName>
    <definedName name="IQRMultiCompanyCIQBasedScoreAC91" hidden="1">#REF!</definedName>
    <definedName name="IQRMultiCompanyCIQBasedScoreAD17" hidden="1">#REF!</definedName>
    <definedName name="IQRMultiCompanyCIQBasedScoreAD29" hidden="1">#REF!</definedName>
    <definedName name="IQRMultiCompanyCIQBasedScoreAD51" hidden="1">#REF!</definedName>
    <definedName name="IQRMultiCompanyCIQBasedScoreAD69" hidden="1">#REF!</definedName>
    <definedName name="IQRMultiCompanyCIQBasedScoreAE17" hidden="1">#REF!</definedName>
    <definedName name="IQRMultiCompanyCIQBasedScoreAE18" hidden="1">#REF!</definedName>
    <definedName name="IQRMultiCompanyCIQBasedScoreAE29" hidden="1">#REF!</definedName>
    <definedName name="IQRMultiCompanyCIQBasedScoreAE30" hidden="1">#REF!</definedName>
    <definedName name="IQRMultiCompanyCIQBasedScoreAE31" hidden="1">#REF!</definedName>
    <definedName name="IQRMultiCompanyCIQBasedScoreAE38" hidden="1">#REF!</definedName>
    <definedName name="IQRMultiCompanyCIQBasedScoreAE39" hidden="1">#REF!</definedName>
    <definedName name="IQRMultiCompanyCIQBasedScoreAE40" hidden="1">#REF!</definedName>
    <definedName name="IQRMultiCompanyCIQBasedScoreAE51" hidden="1">#REF!</definedName>
    <definedName name="IQRMultiCompanyCIQBasedScoreAE52" hidden="1">#REF!</definedName>
    <definedName name="IQRMultiCompanyCIQBasedScoreAE53" hidden="1">#REF!</definedName>
    <definedName name="IQRMultiCompanyCIQBasedScoreAE65" hidden="1">#REF!</definedName>
    <definedName name="IQRMultiCompanyCIQBasedScoreAE66" hidden="1">#REF!</definedName>
    <definedName name="IQRMultiCompanyCIQBasedScoreAE69" hidden="1">#REF!</definedName>
    <definedName name="IQRMultiCompanyCIQBasedScoreAE70" hidden="1">#REF!</definedName>
    <definedName name="IQRMultiCompanyCIQBasedScoreAE71" hidden="1">#REF!</definedName>
    <definedName name="IQRMultiCompanyCIQBasedScoreAE73" hidden="1">#REF!</definedName>
    <definedName name="IQRMultiCompanyCIQBasedScoreAE83" hidden="1">#REF!</definedName>
    <definedName name="IQRMultiCompanyCIQBasedScoreAE84" hidden="1">#REF!</definedName>
    <definedName name="IQRMultiCompanyCIQBasedScoreAE9" hidden="1">#REF!</definedName>
    <definedName name="IQRMultiCompanyCIQBasedScoreAE91" hidden="1">#REF!</definedName>
    <definedName name="IQRMultiCompanyCIQBasedScoreAF17" hidden="1">#REF!</definedName>
    <definedName name="IQRMultiCompanyCIQBasedScoreAF18" hidden="1">#REF!</definedName>
    <definedName name="IQRMultiCompanyCIQBasedScoreAF29" hidden="1">#REF!</definedName>
    <definedName name="IQRMultiCompanyCIQBasedScoreAF30" hidden="1">#REF!</definedName>
    <definedName name="IQRMultiCompanyCIQBasedScoreAF31" hidden="1">#REF!</definedName>
    <definedName name="IQRMultiCompanyCIQBasedScoreAF38" hidden="1">#REF!</definedName>
    <definedName name="IQRMultiCompanyCIQBasedScoreAF39" hidden="1">#REF!</definedName>
    <definedName name="IQRMultiCompanyCIQBasedScoreAF40" hidden="1">#REF!</definedName>
    <definedName name="IQRMultiCompanyCIQBasedScoreAF51" hidden="1">#REF!</definedName>
    <definedName name="IQRMultiCompanyCIQBasedScoreAF52" hidden="1">#REF!</definedName>
    <definedName name="IQRMultiCompanyCIQBasedScoreAF53" hidden="1">#REF!</definedName>
    <definedName name="IQRMultiCompanyCIQBasedScoreAF69" hidden="1">#REF!</definedName>
    <definedName name="IQRMultiCompanyCIQBasedScoreAF70" hidden="1">#REF!</definedName>
    <definedName name="IQRMultiCompanyCIQBasedScoreAF71" hidden="1">#REF!</definedName>
    <definedName name="IQRMultiCompanyCIQBasedScoreAF9" hidden="1">#REF!</definedName>
    <definedName name="IQRMultiCompanyCIQBasedScoreAG17" hidden="1">#REF!</definedName>
    <definedName name="IQRMultiCompanyCIQBasedScoreAG29" hidden="1">#REF!</definedName>
    <definedName name="IQRMultiCompanyCIQBasedScoreAG51" hidden="1">#REF!</definedName>
    <definedName name="IQRMultiCompanyCIQBasedScoreAG69" hidden="1">#REF!</definedName>
    <definedName name="IQRMultiCompanyCIQBasedScoreAH17" hidden="1">#REF!</definedName>
    <definedName name="IQRMultiCompanyCIQBasedScoreAH29" hidden="1">#REF!</definedName>
    <definedName name="IQRMultiCompanyCIQBasedScoreAH51" hidden="1">#REF!</definedName>
    <definedName name="IQRMultiCompanyCIQBasedScoreAH69" hidden="1">#REF!</definedName>
    <definedName name="IQRMultiCompanyCIQBasedScoreS17" hidden="1">#REF!</definedName>
    <definedName name="IQRMultiCompanyCIQBasedScoreS18" hidden="1">#REF!</definedName>
    <definedName name="IQRMultiCompanyCIQBasedScoreS38" hidden="1">#REF!</definedName>
    <definedName name="IQRMultiCompanyCIQBasedScoreS39" hidden="1">#REF!</definedName>
    <definedName name="IQRMultiCompanyCIQBasedScoreS40" hidden="1">#REF!</definedName>
    <definedName name="IQRMultiCompanyCIQBasedScoreS52" hidden="1">#REF!</definedName>
    <definedName name="IQRMultiCompanyCIQBasedScoreS53" hidden="1">#REF!</definedName>
    <definedName name="IQRMultiCompanyCIQBasedScoreS70" hidden="1">#REF!</definedName>
    <definedName name="IQRMultiCompanyCIQBasedScoreS71" hidden="1">#REF!</definedName>
    <definedName name="IQRMultiCompanyCIQBasedScoreS9" hidden="1">#REF!</definedName>
    <definedName name="IQRMultiCompanyCIQBasedScoreT17" hidden="1">#REF!</definedName>
    <definedName name="IQRMultiCompanyCIQBasedScoreT18" hidden="1">#REF!</definedName>
    <definedName name="IQRMultiCompanyCIQBasedScoreT29" hidden="1">#REF!</definedName>
    <definedName name="IQRMultiCompanyCIQBasedScoreT38" hidden="1">#REF!</definedName>
    <definedName name="IQRMultiCompanyCIQBasedScoreT39" hidden="1">#REF!</definedName>
    <definedName name="IQRMultiCompanyCIQBasedScoreT40" hidden="1">#REF!</definedName>
    <definedName name="IQRMultiCompanyCIQBasedScoreT51" hidden="1">#REF!</definedName>
    <definedName name="IQRMultiCompanyCIQBasedScoreT52" hidden="1">#REF!</definedName>
    <definedName name="IQRMultiCompanyCIQBasedScoreT53" hidden="1">#REF!</definedName>
    <definedName name="IQRMultiCompanyCIQBasedScoreT69" hidden="1">#REF!</definedName>
    <definedName name="IQRMultiCompanyCIQBasedScoreT70" hidden="1">#REF!</definedName>
    <definedName name="IQRMultiCompanyCIQBasedScoreT71" hidden="1">#REF!</definedName>
    <definedName name="IQRMultiCompanyCIQBasedScoreT9" hidden="1">#REF!</definedName>
    <definedName name="IQRMultiCompanyCIQBasedScoreU17" hidden="1">#REF!</definedName>
    <definedName name="IQRMultiCompanyCIQBasedScoreU29" hidden="1">#REF!</definedName>
    <definedName name="IQRMultiCompanyCIQBasedScoreU38" hidden="1">#REF!</definedName>
    <definedName name="IQRMultiCompanyCIQBasedScoreU50" hidden="1">#REF!</definedName>
    <definedName name="IQRMultiCompanyCIQBasedScoreU51" hidden="1">#REF!</definedName>
    <definedName name="IQRMultiCompanyCIQBasedScoreU69" hidden="1">#REF!</definedName>
    <definedName name="IQRMultiCompanyCIQBasedScoreU7" hidden="1">#REF!</definedName>
    <definedName name="IQRMultiCompanyCIQBasedScoreU8" hidden="1">#REF!</definedName>
    <definedName name="IQRMultiCompanyCIQBasedScoreU9" hidden="1">#REF!</definedName>
    <definedName name="IQRMultiCompanyCIQBasedScoreV17" hidden="1">#REF!</definedName>
    <definedName name="IQRMultiCompanyCIQBasedScoreV18" hidden="1">#REF!</definedName>
    <definedName name="IQRMultiCompanyCIQBasedScoreV29" hidden="1">#REF!</definedName>
    <definedName name="IQRMultiCompanyCIQBasedScoreV30" hidden="1">#REF!</definedName>
    <definedName name="IQRMultiCompanyCIQBasedScoreV31" hidden="1">#REF!</definedName>
    <definedName name="IQRMultiCompanyCIQBasedScoreV38" hidden="1">#REF!</definedName>
    <definedName name="IQRMultiCompanyCIQBasedScoreV39" hidden="1">#REF!</definedName>
    <definedName name="IQRMultiCompanyCIQBasedScoreV40" hidden="1">#REF!</definedName>
    <definedName name="IQRMultiCompanyCIQBasedScoreV51" hidden="1">#REF!</definedName>
    <definedName name="IQRMultiCompanyCIQBasedScoreV52" hidden="1">#REF!</definedName>
    <definedName name="IQRMultiCompanyCIQBasedScoreV53" hidden="1">#REF!</definedName>
    <definedName name="IQRMultiCompanyCIQBasedScoreV65" hidden="1">#REF!</definedName>
    <definedName name="IQRMultiCompanyCIQBasedScoreV66" hidden="1">#REF!</definedName>
    <definedName name="IQRMultiCompanyCIQBasedScoreV69" hidden="1">#REF!</definedName>
    <definedName name="IQRMultiCompanyCIQBasedScoreV70" hidden="1">#REF!</definedName>
    <definedName name="IQRMultiCompanyCIQBasedScoreV71" hidden="1">#REF!</definedName>
    <definedName name="IQRMultiCompanyCIQBasedScoreV73" hidden="1">#REF!</definedName>
    <definedName name="IQRMultiCompanyCIQBasedScoreV83" hidden="1">#REF!</definedName>
    <definedName name="IQRMultiCompanyCIQBasedScoreV84" hidden="1">#REF!</definedName>
    <definedName name="IQRMultiCompanyCIQBasedScoreV9" hidden="1">#REF!</definedName>
    <definedName name="IQRMultiCompanyCIQBasedScoreV91" hidden="1">#REF!</definedName>
    <definedName name="IQRMultiCompanyCIQBasedScoreW17" hidden="1">#REF!</definedName>
    <definedName name="IQRMultiCompanyCIQBasedScoreW18" hidden="1">#REF!</definedName>
    <definedName name="IQRMultiCompanyCIQBasedScoreW29" hidden="1">#REF!</definedName>
    <definedName name="IQRMultiCompanyCIQBasedScoreW30" hidden="1">#REF!</definedName>
    <definedName name="IQRMultiCompanyCIQBasedScoreW31" hidden="1">#REF!</definedName>
    <definedName name="IQRMultiCompanyCIQBasedScoreW38" hidden="1">#REF!</definedName>
    <definedName name="IQRMultiCompanyCIQBasedScoreW39" hidden="1">#REF!</definedName>
    <definedName name="IQRMultiCompanyCIQBasedScoreW40" hidden="1">#REF!</definedName>
    <definedName name="IQRMultiCompanyCIQBasedScoreW51" hidden="1">#REF!</definedName>
    <definedName name="IQRMultiCompanyCIQBasedScoreW52" hidden="1">#REF!</definedName>
    <definedName name="IQRMultiCompanyCIQBasedScoreW53" hidden="1">#REF!</definedName>
    <definedName name="IQRMultiCompanyCIQBasedScoreW65" hidden="1">#REF!</definedName>
    <definedName name="IQRMultiCompanyCIQBasedScoreW66" hidden="1">#REF!</definedName>
    <definedName name="IQRMultiCompanyCIQBasedScoreW69" hidden="1">#REF!</definedName>
    <definedName name="IQRMultiCompanyCIQBasedScoreW70" hidden="1">#REF!</definedName>
    <definedName name="IQRMultiCompanyCIQBasedScoreW71" hidden="1">#REF!</definedName>
    <definedName name="IQRMultiCompanyCIQBasedScoreW73" hidden="1">#REF!</definedName>
    <definedName name="IQRMultiCompanyCIQBasedScoreW83" hidden="1">#REF!</definedName>
    <definedName name="IQRMultiCompanyCIQBasedScoreW84" hidden="1">#REF!</definedName>
    <definedName name="IQRMultiCompanyCIQBasedScoreW9" hidden="1">#REF!</definedName>
    <definedName name="IQRMultiCompanyCIQBasedScoreW91" hidden="1">#REF!</definedName>
    <definedName name="IQRMultiCompanyCIQBasedScoreX17" hidden="1">#REF!</definedName>
    <definedName name="IQRMultiCompanyCIQBasedScoreX29" hidden="1">#REF!</definedName>
    <definedName name="IQRMultiCompanyCIQBasedScoreX51" hidden="1">#REF!</definedName>
    <definedName name="IQRMultiCompanyCIQBasedScoreX69" hidden="1">#REF!</definedName>
    <definedName name="IQRMultiCompanyCIQBasedScoreX7" hidden="1">#REF!</definedName>
    <definedName name="IQRMultiCompanyCIQBasedScoreX9" hidden="1">#REF!</definedName>
    <definedName name="IQRMultiCompanyCIQBasedScoreY17" hidden="1">#REF!</definedName>
    <definedName name="IQRMultiCompanyCIQBasedScoreY18" hidden="1">#REF!</definedName>
    <definedName name="IQRMultiCompanyCIQBasedScoreY29" hidden="1">#REF!</definedName>
    <definedName name="IQRMultiCompanyCIQBasedScoreY30" hidden="1">#REF!</definedName>
    <definedName name="IQRMultiCompanyCIQBasedScoreY31" hidden="1">#REF!</definedName>
    <definedName name="IQRMultiCompanyCIQBasedScoreY38" hidden="1">#REF!</definedName>
    <definedName name="IQRMultiCompanyCIQBasedScoreY39" hidden="1">#REF!</definedName>
    <definedName name="IQRMultiCompanyCIQBasedScoreY40" hidden="1">#REF!</definedName>
    <definedName name="IQRMultiCompanyCIQBasedScoreY51" hidden="1">#REF!</definedName>
    <definedName name="IQRMultiCompanyCIQBasedScoreY52" hidden="1">#REF!</definedName>
    <definedName name="IQRMultiCompanyCIQBasedScoreY53" hidden="1">#REF!</definedName>
    <definedName name="IQRMultiCompanyCIQBasedScoreY65" hidden="1">#REF!</definedName>
    <definedName name="IQRMultiCompanyCIQBasedScoreY66" hidden="1">#REF!</definedName>
    <definedName name="IQRMultiCompanyCIQBasedScoreY69" hidden="1">#REF!</definedName>
    <definedName name="IQRMultiCompanyCIQBasedScoreY70" hidden="1">#REF!</definedName>
    <definedName name="IQRMultiCompanyCIQBasedScoreY71" hidden="1">#REF!</definedName>
    <definedName name="IQRMultiCompanyCIQBasedScoreY73" hidden="1">#REF!</definedName>
    <definedName name="IQRMultiCompanyCIQBasedScoreY83" hidden="1">#REF!</definedName>
    <definedName name="IQRMultiCompanyCIQBasedScoreY84" hidden="1">#REF!</definedName>
    <definedName name="IQRMultiCompanyCIQBasedScoreY9" hidden="1">#REF!</definedName>
    <definedName name="IQRMultiCompanyCIQBasedScoreY91" hidden="1">#REF!</definedName>
    <definedName name="IQRMultiCompanyCIQBasedScoreZ17" hidden="1">#REF!</definedName>
    <definedName name="IQRMultiCompanyCIQBasedScoreZ18" hidden="1">#REF!</definedName>
    <definedName name="IQRMultiCompanyCIQBasedScoreZ29" hidden="1">#REF!</definedName>
    <definedName name="IQRMultiCompanyCIQBasedScoreZ30" hidden="1">#REF!</definedName>
    <definedName name="IQRMultiCompanyCIQBasedScoreZ31" hidden="1">#REF!</definedName>
    <definedName name="IQRMultiCompanyCIQBasedScoreZ38" hidden="1">#REF!</definedName>
    <definedName name="IQRMultiCompanyCIQBasedScoreZ39" hidden="1">#REF!</definedName>
    <definedName name="IQRMultiCompanyCIQBasedScoreZ40" hidden="1">#REF!</definedName>
    <definedName name="IQRMultiCompanyCIQBasedScoreZ51" hidden="1">#REF!</definedName>
    <definedName name="IQRMultiCompanyCIQBasedScoreZ52" hidden="1">#REF!</definedName>
    <definedName name="IQRMultiCompanyCIQBasedScoreZ53" hidden="1">#REF!</definedName>
    <definedName name="IQRMultiCompanyCIQBasedScoreZ65" hidden="1">#REF!</definedName>
    <definedName name="IQRMultiCompanyCIQBasedScoreZ66" hidden="1">#REF!</definedName>
    <definedName name="IQRMultiCompanyCIQBasedScoreZ69" hidden="1">#REF!</definedName>
    <definedName name="IQRMultiCompanyCIQBasedScoreZ70" hidden="1">#REF!</definedName>
    <definedName name="IQRMultiCompanyCIQBasedScoreZ71" hidden="1">#REF!</definedName>
    <definedName name="IQRMultiCompanyCIQBasedScoreZ73" hidden="1">#REF!</definedName>
    <definedName name="IQRMultiCompanyCIQBasedScoreZ83" hidden="1">#REF!</definedName>
    <definedName name="IQRMultiCompanyCIQBasedScoreZ84" hidden="1">#REF!</definedName>
    <definedName name="IQRMultiCompanyCIQBasedScoreZ9" hidden="1">#REF!</definedName>
    <definedName name="IQRMultiCompanyCIQBasedScoreZ91" hidden="1">#REF!</definedName>
    <definedName name="IQRMultiplesAM5" hidden="1">#REF!</definedName>
    <definedName name="IQRMultiplesL8" hidden="1">#REF!</definedName>
    <definedName name="IQRN13" hidden="1">"$N$14"</definedName>
    <definedName name="IQRN24" hidden="1">"$N$25:$N$37"</definedName>
    <definedName name="IQRN3" hidden="1">"$N$4:$N$253"</definedName>
    <definedName name="IQRN39" hidden="1">"$N$40:$N$83"</definedName>
    <definedName name="IQRN4" hidden="1">"$N$5:$N$254"</definedName>
    <definedName name="IQRN40" hidden="1">"$N$41:$N$84"</definedName>
    <definedName name="IQRN406" hidden="1">"$N$407:$N$659"</definedName>
    <definedName name="IQRN5" hidden="1">"$N$6:$N$255"</definedName>
    <definedName name="IQRN6" hidden="1">"$N$7:$N$256"</definedName>
    <definedName name="IQRN7" hidden="1">"$N$8:$N$20"</definedName>
    <definedName name="IQRN81" hidden="1">"$N$82:$N$86"</definedName>
    <definedName name="IQRN97" hidden="1">"$N$98:$N$347"</definedName>
    <definedName name="IQRNasdaqGSHOLXH20" hidden="1">#REF!</definedName>
    <definedName name="IQRNasdaqGSISRGH20" hidden="1">#REF!</definedName>
    <definedName name="IQRNVGNH20" hidden="1">#REF!</definedName>
    <definedName name="IQRNYSEBAXH20" hidden="1">#REF!</definedName>
    <definedName name="IQRNYSEBCRH20" hidden="1">#REF!</definedName>
    <definedName name="IQRNYSEBDXH20" hidden="1">#REF!</definedName>
    <definedName name="IQRNYSEBSXH20" hidden="1">#REF!</definedName>
    <definedName name="IQRNYSECFNH20" hidden="1">#REF!</definedName>
    <definedName name="IQRNYSECOOH20" hidden="1">#REF!</definedName>
    <definedName name="IQRNYSECOVH20" hidden="1">#REF!</definedName>
    <definedName name="IQRNYSEEWH20" hidden="1">#REF!</definedName>
    <definedName name="IQRNYSEMDTH20" hidden="1">#REF!</definedName>
    <definedName name="IQRNYSESTJH20" hidden="1">#REF!</definedName>
    <definedName name="IQRNYSESYKH20" hidden="1">#REF!</definedName>
    <definedName name="IQRNYSEVARH20" hidden="1">#REF!</definedName>
    <definedName name="IQRNYSEZMHH20" hidden="1">#REF!</definedName>
    <definedName name="IQRO13" hidden="1">"$O$14"</definedName>
    <definedName name="IQRO14" hidden="1">"$O$15:$O$27"</definedName>
    <definedName name="IQRO24" hidden="1">"$O$25:$O$28"</definedName>
    <definedName name="IQRO3" hidden="1">"$O$4:$O$253"</definedName>
    <definedName name="IQRO39" hidden="1">"$O$40:$O$61"</definedName>
    <definedName name="IQRO4" hidden="1">"$O$5:$O$254"</definedName>
    <definedName name="IQRO40" hidden="1">"$O$41:$O$84"</definedName>
    <definedName name="IQRO405" hidden="1">"$O$406:$O$658"</definedName>
    <definedName name="IQRO406" hidden="1">"$O$407:$O$659"</definedName>
    <definedName name="IQRO413" hidden="1">"$O$414:$O$666"</definedName>
    <definedName name="IQRO415" hidden="1">"$O$416:$O$668"</definedName>
    <definedName name="IQRO417" hidden="1">"$O$418:$O$670"</definedName>
    <definedName name="IQRO419" hidden="1">"$O$420:$O$672"</definedName>
    <definedName name="IQRO434" hidden="1">"$O$435:$O$687"</definedName>
    <definedName name="IQRO439" hidden="1">"$O$440:$O$692"</definedName>
    <definedName name="IQRO441" hidden="1">"$O$442:$O$694"</definedName>
    <definedName name="IQRO442" hidden="1">"$O$443:$O$695"</definedName>
    <definedName name="IQRO443" hidden="1">"$O$444:$O$696"</definedName>
    <definedName name="IQRO444" hidden="1">"$O$445:$O$697"</definedName>
    <definedName name="IQRO448" hidden="1">"$O$449:$O$701"</definedName>
    <definedName name="IQRO449" hidden="1">"$O$450:$O$702"</definedName>
    <definedName name="IQRO450" hidden="1">"$O$451:$O$703"</definedName>
    <definedName name="IQRO5" hidden="1">"$O$6:$O$506"</definedName>
    <definedName name="IQRO581" hidden="1">"$O$582:$O$834"</definedName>
    <definedName name="IQRO582" hidden="1">"$O$583:$O$835"</definedName>
    <definedName name="IQRO583" hidden="1">"$O$584:$O$836"</definedName>
    <definedName name="IQRO6" hidden="1">"$O$7:$O$256"</definedName>
    <definedName name="IQRO7" hidden="1">"$O$8:$O$11"</definedName>
    <definedName name="IQRO74" hidden="1">"$O$75"</definedName>
    <definedName name="IQRO75" hidden="1">"$O$76"</definedName>
    <definedName name="IQRO77" hidden="1">"$O$78:$O$87"</definedName>
    <definedName name="IQRO78" hidden="1">"$O$79:$O$88"</definedName>
    <definedName name="IQRO81" hidden="1">"$O$82:$O$86"</definedName>
    <definedName name="IQRO91" hidden="1">"$O$92:$O$101"</definedName>
    <definedName name="IQRO92" hidden="1">"$O$93:$O$95"</definedName>
    <definedName name="IQRO97" hidden="1">"$O$98:$O$347"</definedName>
    <definedName name="IQROnePagerAF17" hidden="1">#REF!</definedName>
    <definedName name="IQROnePagerAP89" hidden="1">#REF!</definedName>
    <definedName name="IQROnePagerAR89" hidden="1">#REF!</definedName>
    <definedName name="IQROnePagerAT89" hidden="1">#REF!</definedName>
    <definedName name="IQROnePagerAV89" hidden="1">#REF!</definedName>
    <definedName name="IQROnePagerAX89" hidden="1">#REF!</definedName>
    <definedName name="IQROnePagerAZ17" hidden="1">#REF!</definedName>
    <definedName name="IQROptions2C24" hidden="1">#REF!</definedName>
    <definedName name="IQROptions2C7" hidden="1">#REF!</definedName>
    <definedName name="IQROptions2H24" hidden="1">#REF!</definedName>
    <definedName name="IQROptions2H7" hidden="1">#REF!</definedName>
    <definedName name="IQROptions2J24" hidden="1">#REF!</definedName>
    <definedName name="IQROptions2J7" hidden="1">#REF!</definedName>
    <definedName name="IQROptions2M24" hidden="1">#REF!</definedName>
    <definedName name="IQROptions2M7" hidden="1">#REF!</definedName>
    <definedName name="IQROptions2N24" hidden="1">#REF!</definedName>
    <definedName name="IQROptions2N7" hidden="1">#REF!</definedName>
    <definedName name="IQROptionsB24" hidden="1">#REF!</definedName>
    <definedName name="IQROptionsB7" hidden="1">#REF!</definedName>
    <definedName name="IQROptionsC24" hidden="1">#REF!</definedName>
    <definedName name="IQROptionsC7" hidden="1">#REF!</definedName>
    <definedName name="IQROptionsD24" hidden="1">#REF!</definedName>
    <definedName name="IQROptionsD7" hidden="1">#REF!</definedName>
    <definedName name="IQROptionsE24" hidden="1">#REF!</definedName>
    <definedName name="IQROptionsE7" hidden="1">#REF!</definedName>
    <definedName name="IQROptionsF24" hidden="1">#REF!</definedName>
    <definedName name="IQROptionsF7" hidden="1">#REF!</definedName>
    <definedName name="IQROptionsG24" hidden="1">#REF!</definedName>
    <definedName name="IQROptionsG7" hidden="1">#REF!</definedName>
    <definedName name="IQROptionsK24" hidden="1">#REF!</definedName>
    <definedName name="IQROptionsK7" hidden="1">#REF!</definedName>
    <definedName name="IQROptionsL24" hidden="1">#REF!</definedName>
    <definedName name="IQROptionsL7" hidden="1">#REF!</definedName>
    <definedName name="IQROptionsM24" hidden="1">#REF!</definedName>
    <definedName name="IQROptionsM7" hidden="1">#REF!</definedName>
    <definedName name="IQROptionsN24" hidden="1">#REF!</definedName>
    <definedName name="IQROptionsN7" hidden="1">#REF!</definedName>
    <definedName name="IQROptionsO24" hidden="1">#REF!</definedName>
    <definedName name="IQROptionsO7" hidden="1">#REF!</definedName>
    <definedName name="IQROptionsP24" hidden="1">#REF!</definedName>
    <definedName name="IQROptionsP7" hidden="1">#REF!</definedName>
    <definedName name="IQROptionsQ24" hidden="1">#REF!</definedName>
    <definedName name="IQROptionsQ7" hidden="1">#REF!</definedName>
    <definedName name="IQROptionsR24" hidden="1">#REF!</definedName>
    <definedName name="IQROptionsR7" hidden="1">#REF!</definedName>
    <definedName name="IQROptionsT24" hidden="1">#REF!</definedName>
    <definedName name="IQROptionsT7" hidden="1">#REF!</definedName>
    <definedName name="IQROptionsU24" hidden="1">#REF!</definedName>
    <definedName name="IQROptionsU7" hidden="1">#REF!</definedName>
    <definedName name="IQROptionsV24" hidden="1">#REF!</definedName>
    <definedName name="IQROptionsV7" hidden="1">#REF!</definedName>
    <definedName name="IQROptionsW24" hidden="1">#REF!</definedName>
    <definedName name="IQROptionsW7" hidden="1">#REF!</definedName>
    <definedName name="IQROptionsX24" hidden="1">#REF!</definedName>
    <definedName name="IQROptionsX7" hidden="1">#REF!</definedName>
    <definedName name="IQROptionsY24" hidden="1">#REF!</definedName>
    <definedName name="IQROptionsY7" hidden="1">#REF!</definedName>
    <definedName name="IQROwnershipB12" hidden="1">#REF!</definedName>
    <definedName name="IQROwnershipB6" hidden="1">#REF!</definedName>
    <definedName name="IQROwnershipCA11" hidden="1">#REF!</definedName>
    <definedName name="IQROwnershipEA8" hidden="1">#REF!</definedName>
    <definedName name="IQROwnershipO12" hidden="1">#REF!</definedName>
    <definedName name="IQROwnershipO6" hidden="1">#REF!</definedName>
    <definedName name="IQROwnershipX8" hidden="1">#REF!</definedName>
    <definedName name="IQRP10" hidden="1">#REF!</definedName>
    <definedName name="IQRP11" hidden="1">#REF!</definedName>
    <definedName name="IQRP119" hidden="1">"$P$120:$P$369"</definedName>
    <definedName name="IQRP12" hidden="1">#REF!</definedName>
    <definedName name="IQRP120" hidden="1">"$P$121:$P$370"</definedName>
    <definedName name="IQRP129" hidden="1">"$P$130:$P$379"</definedName>
    <definedName name="IQRP13" hidden="1">#REF!</definedName>
    <definedName name="IQRP14" hidden="1">#REF!</definedName>
    <definedName name="IQRP15" hidden="1">#REF!</definedName>
    <definedName name="IQRP16" hidden="1">#REF!</definedName>
    <definedName name="IQRP17" hidden="1">#REF!</definedName>
    <definedName name="IQRP18" hidden="1">#REF!</definedName>
    <definedName name="IQRP19" hidden="1">#REF!</definedName>
    <definedName name="IQRP20" hidden="1">#REF!</definedName>
    <definedName name="IQRP21" hidden="1">#REF!</definedName>
    <definedName name="IQRP22" hidden="1">#REF!</definedName>
    <definedName name="IQRP23" hidden="1">#REF!</definedName>
    <definedName name="IQRP24" hidden="1">"$P$25"</definedName>
    <definedName name="IQRP25" hidden="1">#REF!</definedName>
    <definedName name="IQRP26" hidden="1">#REF!</definedName>
    <definedName name="IQRP27" hidden="1">#REF!</definedName>
    <definedName name="IQRP28" hidden="1">#REF!</definedName>
    <definedName name="IQRP29" hidden="1">#REF!</definedName>
    <definedName name="IQRP3" hidden="1">"$P$4:$P$253"</definedName>
    <definedName name="IQRP30" hidden="1">"$P$31:$P$281"</definedName>
    <definedName name="IQRP31" hidden="1">#REF!</definedName>
    <definedName name="IQRP32" hidden="1">#REF!</definedName>
    <definedName name="IQRP33" hidden="1">#REF!</definedName>
    <definedName name="IQRP34" hidden="1">#REF!</definedName>
    <definedName name="IQRP35" hidden="1">#REF!</definedName>
    <definedName name="IQRP36" hidden="1">#REF!</definedName>
    <definedName name="IQRP37" hidden="1">#REF!</definedName>
    <definedName name="IQRP38" hidden="1">#REF!</definedName>
    <definedName name="IQRP39" hidden="1">"$P$40:$P$61"</definedName>
    <definedName name="IQRP7" hidden="1">"$P$8"</definedName>
    <definedName name="IQRP77" hidden="1">"$P$78:$P$85"</definedName>
    <definedName name="IQRP78" hidden="1">"$P$79:$P$88"</definedName>
    <definedName name="IQRP8" hidden="1">#REF!</definedName>
    <definedName name="IQRP81" hidden="1">"$P$82:$P$86"</definedName>
    <definedName name="IQRP9" hidden="1">"$P$10:$P$129"</definedName>
    <definedName name="IQRP91" hidden="1">"$P$92:$P$94"</definedName>
    <definedName name="IQRPFEH20" hidden="1">#REF!</definedName>
    <definedName name="IQRPreScoresAA37" hidden="1">#REF!</definedName>
    <definedName name="IQRPreScoresAE63" hidden="1">#REF!</definedName>
    <definedName name="IQRPreScoresAJ77" hidden="1">#REF!</definedName>
    <definedName name="IQRPreScoresAJ78" hidden="1">#REF!</definedName>
    <definedName name="IQRPreScoresAL77" hidden="1">#REF!</definedName>
    <definedName name="IQRPreScoresAL78" hidden="1">#REF!</definedName>
    <definedName name="IQRPreScoresAM77" hidden="1">#REF!</definedName>
    <definedName name="IQRPreScoresAM78" hidden="1">#REF!</definedName>
    <definedName name="IQRPreScoresAX19" hidden="1">#REF!</definedName>
    <definedName name="IQRPreScoresBQ19" hidden="1">#REF!</definedName>
    <definedName name="IQRPreScoresBV19" hidden="1">#REF!</definedName>
    <definedName name="IQRPreScoresCA19" hidden="1">#REF!</definedName>
    <definedName name="IQRPreScoresCB19" hidden="1">#REF!</definedName>
    <definedName name="IQRPreScoresCC19" hidden="1">#REF!</definedName>
    <definedName name="IQRPreScoresZ83" hidden="1">#REF!</definedName>
    <definedName name="IQRProprietaryDataUploadW57" hidden="1">#REF!</definedName>
    <definedName name="IQRPublicComp1WACC2BF9" hidden="1">#REF!</definedName>
    <definedName name="IQRPublicComp1WACC2BN9" hidden="1">#REF!</definedName>
    <definedName name="IQRPublicComp1WACCBF10" hidden="1">#REF!</definedName>
    <definedName name="IQRPublicComp1WACCBF9" hidden="1">#REF!</definedName>
    <definedName name="IQRPublicComp1WACCBN10" hidden="1">#REF!</definedName>
    <definedName name="IQRPublicComp4WACCBF9" hidden="1">#REF!</definedName>
    <definedName name="IQRPublicComp4WACCBN9" hidden="1">#REF!</definedName>
    <definedName name="IQRPublicComp6WACCBN9" hidden="1">#REF!</definedName>
    <definedName name="IQRPublicComp7WACCBN9" hidden="1">#REF!</definedName>
    <definedName name="IQRPublicTradingMultiplesC10" hidden="1">#REF!</definedName>
    <definedName name="IQRPublicTradingMultiplesC12" hidden="1">#REF!</definedName>
    <definedName name="IQRPublicTradingMultiplesC24" hidden="1">#REF!</definedName>
    <definedName name="IQRQ102" hidden="1">"$Q$103:$Q$352"</definedName>
    <definedName name="IQRQ129" hidden="1">"$Q$130:$Q$379"</definedName>
    <definedName name="IQRQ21" hidden="1">"$Q$22"</definedName>
    <definedName name="IQRQ24" hidden="1">"$Q$25"</definedName>
    <definedName name="IQRQ3" hidden="1">"$Q$4:$Q$253"</definedName>
    <definedName name="IQRQ40" hidden="1">"$Q$41:$Q$65"</definedName>
    <definedName name="IQRQ5" hidden="1">"$Q$6:$Q$512"</definedName>
    <definedName name="IQRQ6" hidden="1">"$Q$7:$Q$256"</definedName>
    <definedName name="IQRQ7" hidden="1">"$Q$8"</definedName>
    <definedName name="IQRQ73" hidden="1">"$Q$74:$Q$323"</definedName>
    <definedName name="IQRQ74" hidden="1">"$Q$75:$Q$324"</definedName>
    <definedName name="IQRQ77" hidden="1">"$Q$78:$Q$327"</definedName>
    <definedName name="IQRQ81" hidden="1">"$Q$82:$Q$86"</definedName>
    <definedName name="IQRQ94" hidden="1">"$Q$95:$Q$344"</definedName>
    <definedName name="IQRQ95" hidden="1">"$Q$96:$Q$345"</definedName>
    <definedName name="IQRR102" hidden="1">"$R$103:$R$352"</definedName>
    <definedName name="IQRR13" hidden="1">"$R$14"</definedName>
    <definedName name="IQRR192" hidden="1">"$R$193:$R$443"</definedName>
    <definedName name="IQRR207" hidden="1">"$R$208:$R$458"</definedName>
    <definedName name="IQRR24" hidden="1">"$R$25"</definedName>
    <definedName name="IQRR3" hidden="1">"$R$4:$R$253"</definedName>
    <definedName name="IQRR36" hidden="1">"$R$37:$R$58"</definedName>
    <definedName name="IQRR4" hidden="1">"$R$5:$R$254"</definedName>
    <definedName name="IQRR5" hidden="1">"$R$6:$R$257"</definedName>
    <definedName name="IQRR6" hidden="1">"$R$7:$R$256"</definedName>
    <definedName name="IQRR7" hidden="1">"$R$8"</definedName>
    <definedName name="IQRR81" hidden="1">"$R$82:$R$86"</definedName>
    <definedName name="IQRREAConsensusAM40" hidden="1">#REF!</definedName>
    <definedName name="IQRREAConsensusAT40" hidden="1">#REF!</definedName>
    <definedName name="IQRREAConsensusAU40" hidden="1">#REF!</definedName>
    <definedName name="IQRREAConsensusAV40" hidden="1">#REF!</definedName>
    <definedName name="IQRREAConsensusC39" hidden="1">#REF!</definedName>
    <definedName name="IQRREAConsensusD33" hidden="1">#REF!</definedName>
    <definedName name="IQRREAConsensusD34" hidden="1">#REF!</definedName>
    <definedName name="IQRREAConsensusD39" hidden="1">#REF!</definedName>
    <definedName name="IQRREAConsensusD41" hidden="1">#REF!</definedName>
    <definedName name="IQRREAConsensusE33" hidden="1">#REF!</definedName>
    <definedName name="IQRREAConsensusE34" hidden="1">#REF!</definedName>
    <definedName name="IQRREAConsensusE40" hidden="1">#REF!</definedName>
    <definedName name="IQRREAConsensusE41" hidden="1">#REF!</definedName>
    <definedName name="IQRREAConsensusF33" hidden="1">#REF!</definedName>
    <definedName name="IQRREAConsensusF34" hidden="1">#REF!</definedName>
    <definedName name="IQRREAConsensusF39" hidden="1">#REF!</definedName>
    <definedName name="IQRREAConsensusF40" hidden="1">#REF!</definedName>
    <definedName name="IQRREAConsensusF41" hidden="1">#REF!</definedName>
    <definedName name="IQRREAConsensusF66" hidden="1">#REF!</definedName>
    <definedName name="IQRREAConsensusG40" hidden="1">#REF!</definedName>
    <definedName name="IQRREAConsensusG41" hidden="1">#REF!</definedName>
    <definedName name="IQRREAConsensusG66" hidden="1">#REF!</definedName>
    <definedName name="IQRREAConsensusH39" hidden="1">#REF!</definedName>
    <definedName name="IQRREAConsensusI39" hidden="1">#REF!</definedName>
    <definedName name="IQRREAConsensusI40" hidden="1">#REF!</definedName>
    <definedName name="IQRREAConsensusJ39" hidden="1">#REF!</definedName>
    <definedName name="IQRREAConsensusJ40" hidden="1">#REF!</definedName>
    <definedName name="IQRREAConsensusK39" hidden="1">#REF!</definedName>
    <definedName name="IQRREAConsensusK40" hidden="1">#REF!</definedName>
    <definedName name="IQRREAConsensusL39" hidden="1">#REF!</definedName>
    <definedName name="IQRREAConsensusL40" hidden="1">#REF!</definedName>
    <definedName name="IQRREAConsensusM40" hidden="1">#REF!</definedName>
    <definedName name="IQRREAConsensusN40" hidden="1">#REF!</definedName>
    <definedName name="IQRREAConsensusO40" hidden="1">#REF!</definedName>
    <definedName name="IQRREAConsensusU40" hidden="1">#REF!</definedName>
    <definedName name="IQRREAConsensusV40" hidden="1">#REF!</definedName>
    <definedName name="IQRREAConsensusW40" hidden="1">#REF!</definedName>
    <definedName name="IQRReportAA10" hidden="1">#REF!</definedName>
    <definedName name="IQRReportAA100" hidden="1">#REF!</definedName>
    <definedName name="IQRReportAA101" hidden="1">#REF!</definedName>
    <definedName name="IQRReportAA102" hidden="1">#REF!</definedName>
    <definedName name="IQRReportAA103" hidden="1">#REF!</definedName>
    <definedName name="IQRReportAA104" hidden="1">#REF!</definedName>
    <definedName name="IQRReportAA105" hidden="1">#REF!</definedName>
    <definedName name="IQRReportAA106" hidden="1">#REF!</definedName>
    <definedName name="IQRReportAA107" hidden="1">#REF!</definedName>
    <definedName name="IQRReportAA108" hidden="1">#REF!</definedName>
    <definedName name="IQRReportAA109" hidden="1">#REF!</definedName>
    <definedName name="IQRReportAA11" hidden="1">#REF!</definedName>
    <definedName name="IQRReportAA110" hidden="1">#REF!</definedName>
    <definedName name="IQRReportAA111" hidden="1">#REF!</definedName>
    <definedName name="IQRReportAA112" hidden="1">#REF!</definedName>
    <definedName name="IQRReportAA113" hidden="1">#REF!</definedName>
    <definedName name="IQRReportAA114" hidden="1">#REF!</definedName>
    <definedName name="IQRReportAA115" hidden="1">#REF!</definedName>
    <definedName name="IQRReportAA116" hidden="1">#REF!</definedName>
    <definedName name="IQRReportAA117" hidden="1">#REF!</definedName>
    <definedName name="IQRReportAA118" hidden="1">#REF!</definedName>
    <definedName name="IQRReportAA119" hidden="1">#REF!</definedName>
    <definedName name="IQRReportAA12" hidden="1">#REF!</definedName>
    <definedName name="IQRReportAA120" hidden="1">#REF!</definedName>
    <definedName name="IQRReportAA121" hidden="1">#REF!</definedName>
    <definedName name="IQRReportAA122" hidden="1">#REF!</definedName>
    <definedName name="IQRReportAA123" hidden="1">#REF!</definedName>
    <definedName name="IQRReportAA124" hidden="1">#REF!</definedName>
    <definedName name="IQRReportAA125" hidden="1">#REF!</definedName>
    <definedName name="IQRReportAA126" hidden="1">#REF!</definedName>
    <definedName name="IQRReportAA127" hidden="1">#REF!</definedName>
    <definedName name="IQRReportAA128" hidden="1">#REF!</definedName>
    <definedName name="IQRReportAA129" hidden="1">#REF!</definedName>
    <definedName name="IQRReportAA13" hidden="1">#REF!</definedName>
    <definedName name="IQRReportAA130" hidden="1">#REF!</definedName>
    <definedName name="IQRReportAA131" hidden="1">#REF!</definedName>
    <definedName name="IQRReportAA132" hidden="1">#REF!</definedName>
    <definedName name="IQRReportAA133" hidden="1">#REF!</definedName>
    <definedName name="IQRReportAA134" hidden="1">#REF!</definedName>
    <definedName name="IQRReportAA135" hidden="1">#REF!</definedName>
    <definedName name="IQRReportAA136" hidden="1">#REF!</definedName>
    <definedName name="IQRReportAA137" hidden="1">#REF!</definedName>
    <definedName name="IQRReportAA138" hidden="1">#REF!</definedName>
    <definedName name="IQRReportAA139" hidden="1">#REF!</definedName>
    <definedName name="IQRReportAA14" hidden="1">#REF!</definedName>
    <definedName name="IQRReportAA140" hidden="1">#REF!</definedName>
    <definedName name="IQRReportAA141" hidden="1">#REF!</definedName>
    <definedName name="IQRReportAA142" hidden="1">#REF!</definedName>
    <definedName name="IQRReportAA143" hidden="1">#REF!</definedName>
    <definedName name="IQRReportAA144" hidden="1">#REF!</definedName>
    <definedName name="IQRReportAA145" hidden="1">#REF!</definedName>
    <definedName name="IQRReportAA146" hidden="1">#REF!</definedName>
    <definedName name="IQRReportAA147" hidden="1">#REF!</definedName>
    <definedName name="IQRReportAA148" hidden="1">#REF!</definedName>
    <definedName name="IQRReportAA149" hidden="1">#REF!</definedName>
    <definedName name="IQRReportAA15" hidden="1">#REF!</definedName>
    <definedName name="IQRReportAA150" hidden="1">#REF!</definedName>
    <definedName name="IQRReportAA151" hidden="1">#REF!</definedName>
    <definedName name="IQRReportAA152" hidden="1">#REF!</definedName>
    <definedName name="IQRReportAA153" hidden="1">#REF!</definedName>
    <definedName name="IQRReportAA154" hidden="1">#REF!</definedName>
    <definedName name="IQRReportAA155" hidden="1">#REF!</definedName>
    <definedName name="IQRReportAA156" hidden="1">#REF!</definedName>
    <definedName name="IQRReportAA157" hidden="1">#REF!</definedName>
    <definedName name="IQRReportAA158" hidden="1">#REF!</definedName>
    <definedName name="IQRReportAA159" hidden="1">#REF!</definedName>
    <definedName name="IQRReportAA16" hidden="1">#REF!</definedName>
    <definedName name="IQRReportAA160" hidden="1">#REF!</definedName>
    <definedName name="IQRReportAA161" hidden="1">#REF!</definedName>
    <definedName name="IQRReportAA162" hidden="1">#REF!</definedName>
    <definedName name="IQRReportAA163" hidden="1">#REF!</definedName>
    <definedName name="IQRReportAA164" hidden="1">#REF!</definedName>
    <definedName name="IQRReportAA165" hidden="1">#REF!</definedName>
    <definedName name="IQRReportAA166" hidden="1">#REF!</definedName>
    <definedName name="IQRReportAA167" hidden="1">#REF!</definedName>
    <definedName name="IQRReportAA168" hidden="1">#REF!</definedName>
    <definedName name="IQRReportAA169" hidden="1">#REF!</definedName>
    <definedName name="IQRReportAA17" hidden="1">#REF!</definedName>
    <definedName name="IQRReportAA170" hidden="1">#REF!</definedName>
    <definedName name="IQRReportAA171" hidden="1">#REF!</definedName>
    <definedName name="IQRReportAA172" hidden="1">#REF!</definedName>
    <definedName name="IQRReportAA173" hidden="1">#REF!</definedName>
    <definedName name="IQRReportAA174" hidden="1">#REF!</definedName>
    <definedName name="IQRReportAA175" hidden="1">#REF!</definedName>
    <definedName name="IQRReportAA176" hidden="1">#REF!</definedName>
    <definedName name="IQRReportAA177" hidden="1">#REF!</definedName>
    <definedName name="IQRReportAA178" hidden="1">#REF!</definedName>
    <definedName name="IQRReportAA179" hidden="1">#REF!</definedName>
    <definedName name="IQRReportAA18" hidden="1">#REF!</definedName>
    <definedName name="IQRReportAA180" hidden="1">#REF!</definedName>
    <definedName name="IQRReportAA181" hidden="1">#REF!</definedName>
    <definedName name="IQRReportAA182" hidden="1">#REF!</definedName>
    <definedName name="IQRReportAA183" hidden="1">#REF!</definedName>
    <definedName name="IQRReportAA184" hidden="1">#REF!</definedName>
    <definedName name="IQRReportAA185" hidden="1">#REF!</definedName>
    <definedName name="IQRReportAA186" hidden="1">#REF!</definedName>
    <definedName name="IQRReportAA187" hidden="1">#REF!</definedName>
    <definedName name="IQRReportAA188" hidden="1">#REF!</definedName>
    <definedName name="IQRReportAA189" hidden="1">#REF!</definedName>
    <definedName name="IQRReportAA19" hidden="1">#REF!</definedName>
    <definedName name="IQRReportAA190" hidden="1">#REF!</definedName>
    <definedName name="IQRReportAA191" hidden="1">#REF!</definedName>
    <definedName name="IQRReportAA192" hidden="1">#REF!</definedName>
    <definedName name="IQRReportAA193" hidden="1">#REF!</definedName>
    <definedName name="IQRReportAA194" hidden="1">#REF!</definedName>
    <definedName name="IQRReportAA195" hidden="1">#REF!</definedName>
    <definedName name="IQRReportAA196" hidden="1">#REF!</definedName>
    <definedName name="IQRReportAA197" hidden="1">#REF!</definedName>
    <definedName name="IQRReportAA198" hidden="1">#REF!</definedName>
    <definedName name="IQRReportAA199" hidden="1">#REF!</definedName>
    <definedName name="IQRReportAA20" hidden="1">#REF!</definedName>
    <definedName name="IQRReportAA200" hidden="1">#REF!</definedName>
    <definedName name="IQRReportAA201" hidden="1">#REF!</definedName>
    <definedName name="IQRReportAA202" hidden="1">#REF!</definedName>
    <definedName name="IQRReportAA203" hidden="1">#REF!</definedName>
    <definedName name="IQRReportAA204" hidden="1">#REF!</definedName>
    <definedName name="IQRReportAA205" hidden="1">#REF!</definedName>
    <definedName name="IQRReportAA206" hidden="1">#REF!</definedName>
    <definedName name="IQRReportAA207" hidden="1">#REF!</definedName>
    <definedName name="IQRReportAA208" hidden="1">#REF!</definedName>
    <definedName name="IQRReportAA209" hidden="1">#REF!</definedName>
    <definedName name="IQRReportAA21" hidden="1">#REF!</definedName>
    <definedName name="IQRReportAA210" hidden="1">#REF!</definedName>
    <definedName name="IQRReportAA211" hidden="1">#REF!</definedName>
    <definedName name="IQRReportAA212" hidden="1">#REF!</definedName>
    <definedName name="IQRReportAA213" hidden="1">#REF!</definedName>
    <definedName name="IQRReportAA214" hidden="1">#REF!</definedName>
    <definedName name="IQRReportAA215" hidden="1">#REF!</definedName>
    <definedName name="IQRReportAA216" hidden="1">#REF!</definedName>
    <definedName name="IQRReportAA217" hidden="1">#REF!</definedName>
    <definedName name="IQRReportAA218" hidden="1">#REF!</definedName>
    <definedName name="IQRReportAA219" hidden="1">#REF!</definedName>
    <definedName name="IQRReportAA22" hidden="1">#REF!</definedName>
    <definedName name="IQRReportAA220" hidden="1">#REF!</definedName>
    <definedName name="IQRReportAA221" hidden="1">#REF!</definedName>
    <definedName name="IQRReportAA222" hidden="1">#REF!</definedName>
    <definedName name="IQRReportAA223" hidden="1">#REF!</definedName>
    <definedName name="IQRReportAA225" hidden="1">#REF!</definedName>
    <definedName name="IQRReportAA226" hidden="1">#REF!</definedName>
    <definedName name="IQRReportAA227" hidden="1">#REF!</definedName>
    <definedName name="IQRReportAA228" hidden="1">#REF!</definedName>
    <definedName name="IQRReportAA229" hidden="1">#REF!</definedName>
    <definedName name="IQRReportAA23" hidden="1">#REF!</definedName>
    <definedName name="IQRReportAA230" hidden="1">#REF!</definedName>
    <definedName name="IQRReportAA231" hidden="1">#REF!</definedName>
    <definedName name="IQRReportAA232" hidden="1">#REF!</definedName>
    <definedName name="IQRReportAA233" hidden="1">#REF!</definedName>
    <definedName name="IQRReportAA234" hidden="1">#REF!</definedName>
    <definedName name="IQRReportAA235" hidden="1">#REF!</definedName>
    <definedName name="IQRReportAA236" hidden="1">#REF!</definedName>
    <definedName name="IQRReportAA237" hidden="1">#REF!</definedName>
    <definedName name="IQRReportAA238" hidden="1">#REF!</definedName>
    <definedName name="IQRReportAA239" hidden="1">#REF!</definedName>
    <definedName name="IQRReportAA24" hidden="1">#REF!</definedName>
    <definedName name="IQRReportAA240" hidden="1">#REF!</definedName>
    <definedName name="IQRReportAA241" hidden="1">#REF!</definedName>
    <definedName name="IQRReportAA242" hidden="1">#REF!</definedName>
    <definedName name="IQRReportAA243" hidden="1">#REF!</definedName>
    <definedName name="IQRReportAA244" hidden="1">#REF!</definedName>
    <definedName name="IQRReportAA245" hidden="1">#REF!</definedName>
    <definedName name="IQRReportAA246" hidden="1">#REF!</definedName>
    <definedName name="IQRReportAA248" hidden="1">#REF!</definedName>
    <definedName name="IQRReportAA249" hidden="1">#REF!</definedName>
    <definedName name="IQRReportAA25" hidden="1">#REF!</definedName>
    <definedName name="IQRReportAA250" hidden="1">#REF!</definedName>
    <definedName name="IQRReportAA251" hidden="1">#REF!</definedName>
    <definedName name="IQRReportAA253" hidden="1">#REF!</definedName>
    <definedName name="IQRReportAA254" hidden="1">#REF!</definedName>
    <definedName name="IQRReportAA255" hidden="1">#REF!</definedName>
    <definedName name="IQRReportAA256" hidden="1">#REF!</definedName>
    <definedName name="IQRReportAA257" hidden="1">#REF!</definedName>
    <definedName name="IQRReportAA26" hidden="1">#REF!</definedName>
    <definedName name="IQRReportAA27" hidden="1">#REF!</definedName>
    <definedName name="IQRReportAA28" hidden="1">#REF!</definedName>
    <definedName name="IQRReportAA29" hidden="1">#REF!</definedName>
    <definedName name="IQRReportAA30" hidden="1">#REF!</definedName>
    <definedName name="IQRReportAA31" hidden="1">#REF!</definedName>
    <definedName name="IQRReportAA32" hidden="1">#REF!</definedName>
    <definedName name="IQRReportAA33" hidden="1">#REF!</definedName>
    <definedName name="IQRReportAA34" hidden="1">#REF!</definedName>
    <definedName name="IQRReportAA35" hidden="1">#REF!</definedName>
    <definedName name="IQRReportAA36" hidden="1">#REF!</definedName>
    <definedName name="IQRReportAA37" hidden="1">#REF!</definedName>
    <definedName name="IQRReportAA38" hidden="1">#REF!</definedName>
    <definedName name="IQRReportAA39" hidden="1">#REF!</definedName>
    <definedName name="IQRReportAA40" hidden="1">#REF!</definedName>
    <definedName name="IQRReportAA41" hidden="1">#REF!</definedName>
    <definedName name="IQRReportAA42" hidden="1">#REF!</definedName>
    <definedName name="IQRReportAA43" hidden="1">#REF!</definedName>
    <definedName name="IQRReportAA44" hidden="1">#REF!</definedName>
    <definedName name="IQRReportAA45" hidden="1">#REF!</definedName>
    <definedName name="IQRReportAA46" hidden="1">#REF!</definedName>
    <definedName name="IQRReportAA47" hidden="1">#REF!</definedName>
    <definedName name="IQRReportAA48" hidden="1">#REF!</definedName>
    <definedName name="IQRReportAA49" hidden="1">#REF!</definedName>
    <definedName name="IQRReportAA50" hidden="1">#REF!</definedName>
    <definedName name="IQRReportAA51" hidden="1">#REF!</definedName>
    <definedName name="IQRReportAA52" hidden="1">#REF!</definedName>
    <definedName name="IQRReportAA53" hidden="1">#REF!</definedName>
    <definedName name="IQRReportAA54" hidden="1">#REF!</definedName>
    <definedName name="IQRReportAA55" hidden="1">#REF!</definedName>
    <definedName name="IQRReportAA56" hidden="1">#REF!</definedName>
    <definedName name="IQRReportAA57" hidden="1">#REF!</definedName>
    <definedName name="IQRReportAA58" hidden="1">#REF!</definedName>
    <definedName name="IQRReportAA59" hidden="1">#REF!</definedName>
    <definedName name="IQRReportAA60" hidden="1">#REF!</definedName>
    <definedName name="IQRReportAA61" hidden="1">#REF!</definedName>
    <definedName name="IQRReportAA62" hidden="1">#REF!</definedName>
    <definedName name="IQRReportAA63" hidden="1">#REF!</definedName>
    <definedName name="IQRReportAA64" hidden="1">#REF!</definedName>
    <definedName name="IQRReportAA65" hidden="1">#REF!</definedName>
    <definedName name="IQRReportAA66" hidden="1">#REF!</definedName>
    <definedName name="IQRReportAA67" hidden="1">#REF!</definedName>
    <definedName name="IQRReportAA68" hidden="1">#REF!</definedName>
    <definedName name="IQRReportAA69" hidden="1">#REF!</definedName>
    <definedName name="IQRReportAA7" hidden="1">#REF!</definedName>
    <definedName name="IQRReportAA70" hidden="1">#REF!</definedName>
    <definedName name="IQRReportAA71" hidden="1">#REF!</definedName>
    <definedName name="IQRReportAA72" hidden="1">#REF!</definedName>
    <definedName name="IQRReportAA73" hidden="1">#REF!</definedName>
    <definedName name="IQRReportAA74" hidden="1">#REF!</definedName>
    <definedName name="IQRReportAA75" hidden="1">#REF!</definedName>
    <definedName name="IQRReportAA76" hidden="1">#REF!</definedName>
    <definedName name="IQRReportAA77" hidden="1">#REF!</definedName>
    <definedName name="IQRReportAA78" hidden="1">#REF!</definedName>
    <definedName name="IQRReportAA79" hidden="1">#REF!</definedName>
    <definedName name="IQRReportAA8" hidden="1">#REF!</definedName>
    <definedName name="IQRReportAA80" hidden="1">#REF!</definedName>
    <definedName name="IQRReportAA81" hidden="1">#REF!</definedName>
    <definedName name="IQRReportAA82" hidden="1">#REF!</definedName>
    <definedName name="IQRReportAA83" hidden="1">#REF!</definedName>
    <definedName name="IQRReportAA84" hidden="1">#REF!</definedName>
    <definedName name="IQRReportAA85" hidden="1">#REF!</definedName>
    <definedName name="IQRReportAA86" hidden="1">#REF!</definedName>
    <definedName name="IQRReportAA87" hidden="1">#REF!</definedName>
    <definedName name="IQRReportAA88" hidden="1">#REF!</definedName>
    <definedName name="IQRReportAA89" hidden="1">#REF!</definedName>
    <definedName name="IQRReportAA9" hidden="1">#REF!</definedName>
    <definedName name="IQRReportAA90" hidden="1">#REF!</definedName>
    <definedName name="IQRReportAA91" hidden="1">#REF!</definedName>
    <definedName name="IQRReportAA92" hidden="1">#REF!</definedName>
    <definedName name="IQRReportAA93" hidden="1">#REF!</definedName>
    <definedName name="IQRReportAA94" hidden="1">#REF!</definedName>
    <definedName name="IQRReportAA95" hidden="1">#REF!</definedName>
    <definedName name="IQRReportAA96" hidden="1">#REF!</definedName>
    <definedName name="IQRReportAA97" hidden="1">#REF!</definedName>
    <definedName name="IQRReportAA98" hidden="1">#REF!</definedName>
    <definedName name="IQRReportAA99" hidden="1">#REF!</definedName>
    <definedName name="IQRReportAC10" hidden="1">#REF!</definedName>
    <definedName name="IQRReportAC104" hidden="1">#REF!</definedName>
    <definedName name="IQRReportAC105" hidden="1">#REF!</definedName>
    <definedName name="IQRReportAC13" hidden="1">#REF!</definedName>
    <definedName name="IQRReportAC14" hidden="1">#REF!</definedName>
    <definedName name="IQRReportAC15" hidden="1">#REF!</definedName>
    <definedName name="IQRReportAC18" hidden="1">#REF!</definedName>
    <definedName name="IQRReportAC19" hidden="1">#REF!</definedName>
    <definedName name="IQRReportAC20" hidden="1">#REF!</definedName>
    <definedName name="IQRReportAC23" hidden="1">#REF!</definedName>
    <definedName name="IQRReportAC24" hidden="1">#REF!</definedName>
    <definedName name="IQRReportAC26" hidden="1">#REF!</definedName>
    <definedName name="IQRReportAC27" hidden="1">#REF!</definedName>
    <definedName name="IQRReportAC28" hidden="1">#REF!</definedName>
    <definedName name="IQRReportAC37" hidden="1">#REF!</definedName>
    <definedName name="IQRReportAC39" hidden="1">#REF!</definedName>
    <definedName name="IQRReportAC40" hidden="1">#REF!</definedName>
    <definedName name="IQRReportAC42" hidden="1">#REF!</definedName>
    <definedName name="IQRReportAC45" hidden="1">#REF!</definedName>
    <definedName name="IQRReportAC50" hidden="1">#REF!</definedName>
    <definedName name="IQRReportAC51" hidden="1">#REF!</definedName>
    <definedName name="IQRReportAC52" hidden="1">#REF!</definedName>
    <definedName name="IQRReportAC53" hidden="1">#REF!</definedName>
    <definedName name="IQRReportAC54" hidden="1">#REF!</definedName>
    <definedName name="IQRReportAC55" hidden="1">#REF!</definedName>
    <definedName name="IQRReportAC56" hidden="1">#REF!</definedName>
    <definedName name="IQRReportAC58" hidden="1">#REF!</definedName>
    <definedName name="IQRReportAC66" hidden="1">#REF!</definedName>
    <definedName name="IQRReportAC68" hidden="1">#REF!</definedName>
    <definedName name="IQRReportAC69" hidden="1">#REF!</definedName>
    <definedName name="IQRReportAC71" hidden="1">#REF!</definedName>
    <definedName name="IQRReportAC72" hidden="1">#REF!</definedName>
    <definedName name="IQRReportAC74" hidden="1">#REF!</definedName>
    <definedName name="IQRReportAC75" hidden="1">#REF!</definedName>
    <definedName name="IQRReportAC77" hidden="1">#REF!</definedName>
    <definedName name="IQRReportAC8" hidden="1">#REF!</definedName>
    <definedName name="IQRReportAC80" hidden="1">#REF!</definedName>
    <definedName name="IQRReportAC83" hidden="1">#REF!</definedName>
    <definedName name="IQRReportAC85" hidden="1">#REF!</definedName>
    <definedName name="IQRReportAC86" hidden="1">#REF!</definedName>
    <definedName name="IQRReportAC87" hidden="1">#REF!</definedName>
    <definedName name="IQRReportAC88" hidden="1">#REF!</definedName>
    <definedName name="IQRReportAC90" hidden="1">#REF!</definedName>
    <definedName name="IQRReportAC92" hidden="1">#REF!</definedName>
    <definedName name="IQRReportAC98" hidden="1">#REF!</definedName>
    <definedName name="IQRReportAC99" hidden="1">#REF!</definedName>
    <definedName name="IQRReportAD10" hidden="1">#REF!</definedName>
    <definedName name="IQRReportAD8" hidden="1">#REF!</definedName>
    <definedName name="IQRReportAD9" hidden="1">#REF!</definedName>
    <definedName name="IQRReportAG10" hidden="1">#REF!</definedName>
    <definedName name="IQRReportAG104" hidden="1">#REF!</definedName>
    <definedName name="IQRReportAG105" hidden="1">#REF!</definedName>
    <definedName name="IQRReportAG13" hidden="1">#REF!</definedName>
    <definedName name="IQRReportAG14" hidden="1">#REF!</definedName>
    <definedName name="IQRReportAG15" hidden="1">#REF!</definedName>
    <definedName name="IQRReportAG18" hidden="1">#REF!</definedName>
    <definedName name="IQRReportAG19" hidden="1">#REF!</definedName>
    <definedName name="IQRReportAG20" hidden="1">#REF!</definedName>
    <definedName name="IQRReportAG23" hidden="1">#REF!</definedName>
    <definedName name="IQRReportAG24" hidden="1">#REF!</definedName>
    <definedName name="IQRReportAG26" hidden="1">#REF!</definedName>
    <definedName name="IQRReportAG27" hidden="1">#REF!</definedName>
    <definedName name="IQRReportAG28" hidden="1">#REF!</definedName>
    <definedName name="IQRReportAG37" hidden="1">#REF!</definedName>
    <definedName name="IQRReportAG39" hidden="1">#REF!</definedName>
    <definedName name="IQRReportAG40" hidden="1">#REF!</definedName>
    <definedName name="IQRReportAG42" hidden="1">#REF!</definedName>
    <definedName name="IQRReportAG45" hidden="1">#REF!</definedName>
    <definedName name="IQRReportAG50" hidden="1">#REF!</definedName>
    <definedName name="IQRReportAG51" hidden="1">#REF!</definedName>
    <definedName name="IQRReportAG52" hidden="1">#REF!</definedName>
    <definedName name="IQRReportAG53" hidden="1">#REF!</definedName>
    <definedName name="IQRReportAG54" hidden="1">#REF!</definedName>
    <definedName name="IQRReportAG55" hidden="1">#REF!</definedName>
    <definedName name="IQRReportAG56" hidden="1">#REF!</definedName>
    <definedName name="IQRReportAG58" hidden="1">#REF!</definedName>
    <definedName name="IQRReportAG66" hidden="1">#REF!</definedName>
    <definedName name="IQRReportAG68" hidden="1">#REF!</definedName>
    <definedName name="IQRReportAG69" hidden="1">#REF!</definedName>
    <definedName name="IQRReportAG71" hidden="1">#REF!</definedName>
    <definedName name="IQRReportAG72" hidden="1">#REF!</definedName>
    <definedName name="IQRReportAG74" hidden="1">#REF!</definedName>
    <definedName name="IQRReportAG75" hidden="1">#REF!</definedName>
    <definedName name="IQRReportAG77" hidden="1">#REF!</definedName>
    <definedName name="IQRReportAG8" hidden="1">#REF!</definedName>
    <definedName name="IQRReportAG80" hidden="1">#REF!</definedName>
    <definedName name="IQRReportAG83" hidden="1">#REF!</definedName>
    <definedName name="IQRReportAG85" hidden="1">#REF!</definedName>
    <definedName name="IQRReportAG86" hidden="1">#REF!</definedName>
    <definedName name="IQRReportAG87" hidden="1">#REF!</definedName>
    <definedName name="IQRReportAG88" hidden="1">#REF!</definedName>
    <definedName name="IQRReportAG90" hidden="1">#REF!</definedName>
    <definedName name="IQRReportAG92" hidden="1">#REF!</definedName>
    <definedName name="IQRReportAG98" hidden="1">#REF!</definedName>
    <definedName name="IQRReportAG99" hidden="1">#REF!</definedName>
    <definedName name="IQRReportAH10" hidden="1">#REF!</definedName>
    <definedName name="IQRReportAH8" hidden="1">#REF!</definedName>
    <definedName name="IQRReportAH9" hidden="1">#REF!</definedName>
    <definedName name="IQRReportAI10" hidden="1">#REF!</definedName>
    <definedName name="IQRReportAI14" hidden="1">#REF!</definedName>
    <definedName name="IQRReportAI7" hidden="1">#REF!</definedName>
    <definedName name="IQRReportAI8" hidden="1">#REF!</definedName>
    <definedName name="IQRReportAI9" hidden="1">#REF!</definedName>
    <definedName name="IQRReportAJ7" hidden="1">#REF!</definedName>
    <definedName name="IQRReportAJ8" hidden="1">#REF!</definedName>
    <definedName name="IQRReportAJ9" hidden="1">#REF!</definedName>
    <definedName name="IQRReportAM13" hidden="1">#REF!</definedName>
    <definedName name="IQRReportAM14" hidden="1">#REF!</definedName>
    <definedName name="IQRReportAM4" hidden="1">#REF!</definedName>
    <definedName name="IQRReportAM5" hidden="1">#REF!</definedName>
    <definedName name="IQRReportAM6" hidden="1">#REF!</definedName>
    <definedName name="IQRReportAM7" hidden="1">#REF!</definedName>
    <definedName name="IQRReportAM8" hidden="1">#REF!</definedName>
    <definedName name="IQRReportAM9" hidden="1">#REF!</definedName>
    <definedName name="IQRReportAW8" hidden="1">#REF!</definedName>
    <definedName name="IQRReportAX10" hidden="1">#REF!</definedName>
    <definedName name="IQRReportAX104" hidden="1">#REF!</definedName>
    <definedName name="IQRReportAX105" hidden="1">#REF!</definedName>
    <definedName name="IQRReportAX11" hidden="1">#REF!</definedName>
    <definedName name="IQRReportAX13" hidden="1">#REF!</definedName>
    <definedName name="IQRReportAX14" hidden="1">#REF!</definedName>
    <definedName name="IQRReportAX15" hidden="1">#REF!</definedName>
    <definedName name="IQRReportAX17" hidden="1">#REF!</definedName>
    <definedName name="IQRReportAX18" hidden="1">#REF!</definedName>
    <definedName name="IQRReportAX19" hidden="1">#REF!</definedName>
    <definedName name="IQRReportAX20" hidden="1">#REF!</definedName>
    <definedName name="IQRReportAX23" hidden="1">#REF!</definedName>
    <definedName name="IQRReportAX24" hidden="1">#REF!</definedName>
    <definedName name="IQRReportAX26" hidden="1">#REF!</definedName>
    <definedName name="IQRReportAX27" hidden="1">#REF!</definedName>
    <definedName name="IQRReportAX28" hidden="1">#REF!</definedName>
    <definedName name="IQRReportAX37" hidden="1">#REF!</definedName>
    <definedName name="IQRReportAX39" hidden="1">#REF!</definedName>
    <definedName name="IQRReportAX40" hidden="1">#REF!</definedName>
    <definedName name="IQRReportAX42" hidden="1">#REF!</definedName>
    <definedName name="IQRReportAX45" hidden="1">#REF!</definedName>
    <definedName name="IQRReportAX50" hidden="1">#REF!</definedName>
    <definedName name="IQRReportAX51" hidden="1">#REF!</definedName>
    <definedName name="IQRReportAX52" hidden="1">#REF!</definedName>
    <definedName name="IQRReportAX53" hidden="1">#REF!</definedName>
    <definedName name="IQRReportAX54" hidden="1">#REF!</definedName>
    <definedName name="IQRReportAX55" hidden="1">#REF!</definedName>
    <definedName name="IQRReportAX56" hidden="1">#REF!</definedName>
    <definedName name="IQRReportAX58" hidden="1">#REF!</definedName>
    <definedName name="IQRReportAX66" hidden="1">#REF!</definedName>
    <definedName name="IQRReportAX68" hidden="1">#REF!</definedName>
    <definedName name="IQRReportAX69" hidden="1">#REF!</definedName>
    <definedName name="IQRReportAX71" hidden="1">#REF!</definedName>
    <definedName name="IQRReportAX72" hidden="1">#REF!</definedName>
    <definedName name="IQRReportAX74" hidden="1">#REF!</definedName>
    <definedName name="IQRReportAX75" hidden="1">#REF!</definedName>
    <definedName name="IQRReportAX77" hidden="1">#REF!</definedName>
    <definedName name="IQRReportAX8" hidden="1">#REF!</definedName>
    <definedName name="IQRReportAX80" hidden="1">#REF!</definedName>
    <definedName name="IQRReportAX83" hidden="1">#REF!</definedName>
    <definedName name="IQRReportAX85" hidden="1">#REF!</definedName>
    <definedName name="IQRReportAX86" hidden="1">#REF!</definedName>
    <definedName name="IQRReportAX87" hidden="1">#REF!</definedName>
    <definedName name="IQRReportAX88" hidden="1">#REF!</definedName>
    <definedName name="IQRReportAX9" hidden="1">#REF!</definedName>
    <definedName name="IQRReportAX90" hidden="1">#REF!</definedName>
    <definedName name="IQRReportAX92" hidden="1">#REF!</definedName>
    <definedName name="IQRReportAX98" hidden="1">#REF!</definedName>
    <definedName name="IQRReportAX99" hidden="1">#REF!</definedName>
    <definedName name="IQRReportAY8" hidden="1">#REF!</definedName>
    <definedName name="IQRReportE3" hidden="1">#REF!</definedName>
    <definedName name="IQRReportE4" hidden="1">#REF!</definedName>
    <definedName name="IQRReportF10" hidden="1">#REF!</definedName>
    <definedName name="IQRReportF101" hidden="1">#REF!</definedName>
    <definedName name="IQRReportF102" hidden="1">#REF!</definedName>
    <definedName name="IQRReportF104" hidden="1">#REF!</definedName>
    <definedName name="IQRReportF105" hidden="1">#REF!</definedName>
    <definedName name="IQRReportF107" hidden="1">#REF!</definedName>
    <definedName name="IQRReportF108" hidden="1">#REF!</definedName>
    <definedName name="IQRReportF109" hidden="1">#REF!</definedName>
    <definedName name="IQRReportF11" hidden="1">#REF!</definedName>
    <definedName name="IQRReportF110" hidden="1">#REF!</definedName>
    <definedName name="IQRReportF111" hidden="1">#REF!</definedName>
    <definedName name="IQRReportF112" hidden="1">#REF!</definedName>
    <definedName name="IQRReportF114" hidden="1">#REF!</definedName>
    <definedName name="IQRReportF115" hidden="1">#REF!</definedName>
    <definedName name="IQRReportF116" hidden="1">#REF!</definedName>
    <definedName name="IQRReportF117" hidden="1">#REF!</definedName>
    <definedName name="IQRReportF118" hidden="1">#REF!</definedName>
    <definedName name="IQRReportF119" hidden="1">#REF!</definedName>
    <definedName name="IQRReportF12" hidden="1">#REF!</definedName>
    <definedName name="IQRReportF120" hidden="1">#REF!</definedName>
    <definedName name="IQRReportF121" hidden="1">#REF!</definedName>
    <definedName name="IQRReportF123" hidden="1">#REF!</definedName>
    <definedName name="IQRReportF124" hidden="1">#REF!</definedName>
    <definedName name="IQRReportF125" hidden="1">#REF!</definedName>
    <definedName name="IQRReportF126" hidden="1">#REF!</definedName>
    <definedName name="IQRReportF127" hidden="1">#REF!</definedName>
    <definedName name="IQRReportF128" hidden="1">#REF!</definedName>
    <definedName name="IQRReportF129" hidden="1">#REF!</definedName>
    <definedName name="IQRReportF13" hidden="1">#REF!</definedName>
    <definedName name="IQRReportF130" hidden="1">#REF!</definedName>
    <definedName name="IQRReportF131" hidden="1">#REF!</definedName>
    <definedName name="IQRReportF132" hidden="1">#REF!</definedName>
    <definedName name="IQRReportF134" hidden="1">#REF!</definedName>
    <definedName name="IQRReportF135" hidden="1">#REF!</definedName>
    <definedName name="IQRReportF136" hidden="1">#REF!</definedName>
    <definedName name="IQRReportF137" hidden="1">#REF!</definedName>
    <definedName name="IQRReportF138" hidden="1">#REF!</definedName>
    <definedName name="IQRReportF14" hidden="1">#REF!</definedName>
    <definedName name="IQRReportF140" hidden="1">#REF!</definedName>
    <definedName name="IQRReportF141" hidden="1">#REF!</definedName>
    <definedName name="IQRReportF142" hidden="1">#REF!</definedName>
    <definedName name="IQRReportF143" hidden="1">#REF!</definedName>
    <definedName name="IQRReportF144" hidden="1">#REF!</definedName>
    <definedName name="IQRReportF145" hidden="1">#REF!</definedName>
    <definedName name="IQRReportF146" hidden="1">#REF!</definedName>
    <definedName name="IQRReportF147" hidden="1">#REF!</definedName>
    <definedName name="IQRReportF148" hidden="1">#REF!</definedName>
    <definedName name="IQRReportF149" hidden="1">#REF!</definedName>
    <definedName name="IQRReportF15" hidden="1">#REF!</definedName>
    <definedName name="IQRReportF151" hidden="1">#REF!</definedName>
    <definedName name="IQRReportF152" hidden="1">#REF!</definedName>
    <definedName name="IQRReportF153" hidden="1">#REF!</definedName>
    <definedName name="IQRReportF154" hidden="1">#REF!</definedName>
    <definedName name="IQRReportF155" hidden="1">#REF!</definedName>
    <definedName name="IQRReportF156" hidden="1">#REF!</definedName>
    <definedName name="IQRReportF157" hidden="1">#REF!</definedName>
    <definedName name="IQRReportF158" hidden="1">#REF!</definedName>
    <definedName name="IQRReportF159" hidden="1">#REF!</definedName>
    <definedName name="IQRReportF16" hidden="1">#REF!</definedName>
    <definedName name="IQRReportF160" hidden="1">#REF!</definedName>
    <definedName name="IQRReportF161" hidden="1">#REF!</definedName>
    <definedName name="IQRReportF162" hidden="1">#REF!</definedName>
    <definedName name="IQRReportF163" hidden="1">#REF!</definedName>
    <definedName name="IQRReportF164" hidden="1">#REF!</definedName>
    <definedName name="IQRReportF165" hidden="1">#REF!</definedName>
    <definedName name="IQRReportF166" hidden="1">#REF!</definedName>
    <definedName name="IQRReportF167" hidden="1">#REF!</definedName>
    <definedName name="IQRReportF168" hidden="1">#REF!</definedName>
    <definedName name="IQRReportF169" hidden="1">#REF!</definedName>
    <definedName name="IQRReportF17" hidden="1">#REF!</definedName>
    <definedName name="IQRReportF170" hidden="1">#REF!</definedName>
    <definedName name="IQRReportF171" hidden="1">#REF!</definedName>
    <definedName name="IQRReportF172" hidden="1">#REF!</definedName>
    <definedName name="IQRReportF173" hidden="1">#REF!</definedName>
    <definedName name="IQRReportF174" hidden="1">#REF!</definedName>
    <definedName name="IQRReportF175" hidden="1">#REF!</definedName>
    <definedName name="IQRReportF176" hidden="1">#REF!</definedName>
    <definedName name="IQRReportF177" hidden="1">#REF!</definedName>
    <definedName name="IQRReportF178" hidden="1">#REF!</definedName>
    <definedName name="IQRReportF18" hidden="1">#REF!</definedName>
    <definedName name="IQRReportF181" hidden="1">#REF!</definedName>
    <definedName name="IQRReportF182" hidden="1">#REF!</definedName>
    <definedName name="IQRReportF183" hidden="1">#REF!</definedName>
    <definedName name="IQRReportF184" hidden="1">#REF!</definedName>
    <definedName name="IQRReportF185" hidden="1">#REF!</definedName>
    <definedName name="IQRReportF186" hidden="1">#REF!</definedName>
    <definedName name="IQRReportF187" hidden="1">#REF!</definedName>
    <definedName name="IQRReportF188" hidden="1">#REF!</definedName>
    <definedName name="IQRReportF19" hidden="1">#REF!</definedName>
    <definedName name="IQRReportF190" hidden="1">#REF!</definedName>
    <definedName name="IQRReportF192" hidden="1">#REF!</definedName>
    <definedName name="IQRReportF193" hidden="1">#REF!</definedName>
    <definedName name="IQRReportF194" hidden="1">#REF!</definedName>
    <definedName name="IQRReportF195" hidden="1">#REF!</definedName>
    <definedName name="IQRReportF196" hidden="1">#REF!</definedName>
    <definedName name="IQRReportF197" hidden="1">#REF!</definedName>
    <definedName name="IQRReportF198" hidden="1">#REF!</definedName>
    <definedName name="IQRReportF199" hidden="1">#REF!</definedName>
    <definedName name="IQRReportF20" hidden="1">#REF!</definedName>
    <definedName name="IQRReportF200" hidden="1">#REF!</definedName>
    <definedName name="IQRReportF201" hidden="1">#REF!</definedName>
    <definedName name="IQRReportF202" hidden="1">#REF!</definedName>
    <definedName name="IQRReportF204" hidden="1">#REF!</definedName>
    <definedName name="IQRReportF205" hidden="1">#REF!</definedName>
    <definedName name="IQRReportF206" hidden="1">#REF!</definedName>
    <definedName name="IQRReportF207" hidden="1">#REF!</definedName>
    <definedName name="IQRReportF21" hidden="1">#REF!</definedName>
    <definedName name="IQRReportF211" hidden="1">#REF!</definedName>
    <definedName name="IQRReportF212" hidden="1">#REF!</definedName>
    <definedName name="IQRReportF219" hidden="1">#REF!</definedName>
    <definedName name="IQRReportF22" hidden="1">#REF!</definedName>
    <definedName name="IQRReportF23" hidden="1">#REF!</definedName>
    <definedName name="IQRReportF233" hidden="1">#REF!</definedName>
    <definedName name="IQRReportF238" hidden="1">#REF!</definedName>
    <definedName name="IQRReportF24" hidden="1">#REF!</definedName>
    <definedName name="IQRReportF242" hidden="1">#REF!</definedName>
    <definedName name="IQRReportF244" hidden="1">#REF!</definedName>
    <definedName name="IQRReportF246" hidden="1">#REF!</definedName>
    <definedName name="IQRReportF248" hidden="1">#REF!</definedName>
    <definedName name="IQRReportF25" hidden="1">#REF!</definedName>
    <definedName name="IQRReportF253" hidden="1">#REF!</definedName>
    <definedName name="IQRReportF26" hidden="1">#REF!</definedName>
    <definedName name="IQRReportF27" hidden="1">#REF!</definedName>
    <definedName name="IQRReportF28" hidden="1">#REF!</definedName>
    <definedName name="IQRReportF29" hidden="1">#REF!</definedName>
    <definedName name="IQRReportF3" hidden="1">#REF!</definedName>
    <definedName name="IQRReportF30" hidden="1">#REF!</definedName>
    <definedName name="IQRReportF31" hidden="1">#REF!</definedName>
    <definedName name="IQRReportF32" hidden="1">#REF!</definedName>
    <definedName name="IQRReportF35" hidden="1">#REF!</definedName>
    <definedName name="IQRReportF37" hidden="1">#REF!</definedName>
    <definedName name="IQRReportF38" hidden="1">#REF!</definedName>
    <definedName name="IQRReportF39" hidden="1">#REF!</definedName>
    <definedName name="IQRReportF4" hidden="1">#REF!</definedName>
    <definedName name="IQRReportF40" hidden="1">#REF!</definedName>
    <definedName name="IQRReportF41" hidden="1">#REF!</definedName>
    <definedName name="IQRReportF42" hidden="1">#REF!</definedName>
    <definedName name="IQRReportF44" hidden="1">#REF!</definedName>
    <definedName name="IQRReportF45" hidden="1">#REF!</definedName>
    <definedName name="IQRReportF46" hidden="1">#REF!</definedName>
    <definedName name="IQRReportF47" hidden="1">#REF!</definedName>
    <definedName name="IQRReportF48" hidden="1">#REF!</definedName>
    <definedName name="IQRReportF5" hidden="1">#REF!</definedName>
    <definedName name="IQRReportF50" hidden="1">#REF!</definedName>
    <definedName name="IQRReportF51" hidden="1">#REF!</definedName>
    <definedName name="IQRReportF52" hidden="1">#REF!</definedName>
    <definedName name="IQRReportF53" hidden="1">#REF!</definedName>
    <definedName name="IQRReportF54" hidden="1">#REF!</definedName>
    <definedName name="IQRReportF55" hidden="1">#REF!</definedName>
    <definedName name="IQRReportF56" hidden="1">#REF!</definedName>
    <definedName name="IQRReportF57" hidden="1">#REF!</definedName>
    <definedName name="IQRReportF58" hidden="1">#REF!</definedName>
    <definedName name="IQRReportF59" hidden="1">#REF!</definedName>
    <definedName name="IQRReportF6" hidden="1">#REF!</definedName>
    <definedName name="IQRReportF61" hidden="1">#REF!</definedName>
    <definedName name="IQRReportF63" hidden="1">#REF!</definedName>
    <definedName name="IQRReportF64" hidden="1">#REF!</definedName>
    <definedName name="IQRReportF65" hidden="1">#REF!</definedName>
    <definedName name="IQRReportF66" hidden="1">#REF!</definedName>
    <definedName name="IQRReportF68" hidden="1">#REF!</definedName>
    <definedName name="IQRReportF69" hidden="1">#REF!</definedName>
    <definedName name="IQRReportF7" hidden="1">#REF!</definedName>
    <definedName name="IQRReportF71" hidden="1">#REF!</definedName>
    <definedName name="IQRReportF72" hidden="1">#REF!</definedName>
    <definedName name="IQRReportF73" hidden="1">#REF!</definedName>
    <definedName name="IQRReportF74" hidden="1">#REF!</definedName>
    <definedName name="IQRReportF75" hidden="1">#REF!</definedName>
    <definedName name="IQRReportF76" hidden="1">#REF!</definedName>
    <definedName name="IQRReportF77" hidden="1">#REF!</definedName>
    <definedName name="IQRReportF78" hidden="1">#REF!</definedName>
    <definedName name="IQRReportF79" hidden="1">#REF!</definedName>
    <definedName name="IQRReportF8" hidden="1">#REF!</definedName>
    <definedName name="IQRReportF80" hidden="1">#REF!</definedName>
    <definedName name="IQRReportF81" hidden="1">#REF!</definedName>
    <definedName name="IQRReportF83" hidden="1">#REF!</definedName>
    <definedName name="IQRReportF84" hidden="1">#REF!</definedName>
    <definedName name="IQRReportF85" hidden="1">#REF!</definedName>
    <definedName name="IQRReportF86" hidden="1">#REF!</definedName>
    <definedName name="IQRReportF87" hidden="1">#REF!</definedName>
    <definedName name="IQRReportF88" hidden="1">#REF!</definedName>
    <definedName name="IQRReportF89" hidden="1">#REF!</definedName>
    <definedName name="IQRReportF9" hidden="1">#REF!</definedName>
    <definedName name="IQRReportF90" hidden="1">#REF!</definedName>
    <definedName name="IQRReportF91" hidden="1">#REF!</definedName>
    <definedName name="IQRReportF92" hidden="1">#REF!</definedName>
    <definedName name="IQRReportF93" hidden="1">#REF!</definedName>
    <definedName name="IQRReportF94" hidden="1">#REF!</definedName>
    <definedName name="IQRReportF95" hidden="1">#REF!</definedName>
    <definedName name="IQRReportF96" hidden="1">#REF!</definedName>
    <definedName name="IQRReportF97" hidden="1">#REF!</definedName>
    <definedName name="IQRReportF98" hidden="1">#REF!</definedName>
    <definedName name="IQRReportF99" hidden="1">#REF!</definedName>
    <definedName name="IQRReportG10" hidden="1">#REF!</definedName>
    <definedName name="IQRReportG17" hidden="1">#REF!</definedName>
    <definedName name="IQRReportG6" hidden="1">#REF!</definedName>
    <definedName name="IQRReportG7" hidden="1">#REF!</definedName>
    <definedName name="IQRReportG8" hidden="1">#REF!</definedName>
    <definedName name="IQRReportG9" hidden="1">#REF!</definedName>
    <definedName name="IQRReportH10" hidden="1">#REF!</definedName>
    <definedName name="IQRReportH8" hidden="1">#REF!</definedName>
    <definedName name="IQRReportH9" hidden="1">#REF!</definedName>
    <definedName name="IQRReportR12" hidden="1">#REF!</definedName>
    <definedName name="IQRReportR13" hidden="1">#REF!</definedName>
    <definedName name="IQRReportR14" hidden="1">#REF!</definedName>
    <definedName name="IQRReportR3" hidden="1">#REF!</definedName>
    <definedName name="IQRReportR4" hidden="1">#REF!</definedName>
    <definedName name="IQRReportR5" hidden="1">#REF!</definedName>
    <definedName name="IQRReportR6" hidden="1">#REF!</definedName>
    <definedName name="IQRReportR7" hidden="1">#REF!</definedName>
    <definedName name="IQRReportR8" hidden="1">#REF!</definedName>
    <definedName name="IQRReportR9" hidden="1">#REF!</definedName>
    <definedName name="IQRReportW10" hidden="1">#REF!</definedName>
    <definedName name="IQRReportW7" hidden="1">#REF!</definedName>
    <definedName name="IQRReportW8" hidden="1">#REF!</definedName>
    <definedName name="IQRReportW9" hidden="1">#REF!</definedName>
    <definedName name="IQRReportZ10" hidden="1">#REF!</definedName>
    <definedName name="IQRReportZ108" hidden="1">#REF!</definedName>
    <definedName name="IQRReportZ116" hidden="1">#REF!</definedName>
    <definedName name="IQRReportZ8" hidden="1">#REF!</definedName>
    <definedName name="IQRReportZ9" hidden="1">#REF!</definedName>
    <definedName name="IQRS13" hidden="1">"$S$14"</definedName>
    <definedName name="IQRS24" hidden="1">"$S$25"</definedName>
    <definedName name="IQRS3" hidden="1">"$S$4:$S$253"</definedName>
    <definedName name="IQRS39" hidden="1">"$S$40:$S$56"</definedName>
    <definedName name="IQRS4" hidden="1">"$S$5:$S$254"</definedName>
    <definedName name="IQRS5" hidden="1">"$S$6:$S$511"</definedName>
    <definedName name="IQRS6" hidden="1">"$S$7:$S$256"</definedName>
    <definedName name="IQRS7" hidden="1">"$S$8"</definedName>
    <definedName name="IQRS71" hidden="1">"$S$72:$S$321"</definedName>
    <definedName name="IQRS74" hidden="1">"$S$75:$S$324"</definedName>
    <definedName name="IQRS81" hidden="1">"$S$82:$S$86"</definedName>
    <definedName name="IQRScatterI53" hidden="1">#REF!</definedName>
    <definedName name="IQRScoreResultsAA113" hidden="1">#REF!</definedName>
    <definedName name="IQRScoreResultsAA114" hidden="1">#REF!</definedName>
    <definedName name="IQRScoreResultsAA117" hidden="1">#REF!</definedName>
    <definedName name="IQRScoreResultsAA48" hidden="1">#REF!</definedName>
    <definedName name="IQRScoreResultsAA49" hidden="1">#REF!</definedName>
    <definedName name="IQRScoreResultsCodeC117" hidden="1">#REF!</definedName>
    <definedName name="IQRScoreResultsCodeC118" hidden="1">#REF!</definedName>
    <definedName name="IQRScoreResultsCodeC119" hidden="1">#REF!</definedName>
    <definedName name="IQRScoreResultsCodeC120" hidden="1">#REF!</definedName>
    <definedName name="IQRScoreResultsCodeC121" hidden="1">#REF!</definedName>
    <definedName name="IQRScoreResultsCodeC122" hidden="1">#REF!</definedName>
    <definedName name="IQRScoreResultsCodeC13" hidden="1">#REF!</definedName>
    <definedName name="IQRScoreResultsCodeC14" hidden="1">#REF!</definedName>
    <definedName name="IQRScoreResultsCodeC15" hidden="1">#REF!</definedName>
    <definedName name="IQRScoreResultsCodeC16" hidden="1">#REF!</definedName>
    <definedName name="IQRScoreResultsCodeC17" hidden="1">#REF!</definedName>
    <definedName name="IQRScoreResultsCodeC18" hidden="1">#REF!</definedName>
    <definedName name="IQRScoreResultsCodeC21" hidden="1">#REF!</definedName>
    <definedName name="IQRScoreResultsCodeC22" hidden="1">#REF!</definedName>
    <definedName name="IQRScoreResultsCodeC25" hidden="1">#REF!</definedName>
    <definedName name="IQRScoreResultsCodeC26" hidden="1">#REF!</definedName>
    <definedName name="IQRScoreResultsCodeC27" hidden="1">#REF!</definedName>
    <definedName name="IQRScoreResultsCodeC28" hidden="1">#REF!</definedName>
    <definedName name="IQRScoreResultsCodeC29" hidden="1">#REF!</definedName>
    <definedName name="IQRScoreResultsCodeC30" hidden="1">#REF!</definedName>
    <definedName name="IQRScoreResultsCodeC48" hidden="1">#REF!</definedName>
    <definedName name="IQRScoreResultsCodeC49" hidden="1">#REF!</definedName>
    <definedName name="IQRScoreResultsCodeC50" hidden="1">#REF!</definedName>
    <definedName name="IQRScoreResultsCodeC51" hidden="1">#REF!</definedName>
    <definedName name="IQRScoreResultsCodeC52" hidden="1">#REF!</definedName>
    <definedName name="IQRScoreResultsCodeC53" hidden="1">#REF!</definedName>
    <definedName name="IQRScoreResultsCodeC67" hidden="1">#REF!</definedName>
    <definedName name="IQRScoreResultsCodeC68" hidden="1">#REF!</definedName>
    <definedName name="IQRScoreResultsCodeC69" hidden="1">#REF!</definedName>
    <definedName name="IQRScoreResultsCodeC70" hidden="1">#REF!</definedName>
    <definedName name="IQRScoreResultsCodeC71" hidden="1">#REF!</definedName>
    <definedName name="IQRScoreResultsCodeC72" hidden="1">#REF!</definedName>
    <definedName name="IQRScoreResultsCodeC87" hidden="1">#REF!</definedName>
    <definedName name="IQRScoreResultsCodeC88" hidden="1">#REF!</definedName>
    <definedName name="IQRScoreResultsCodeC89" hidden="1">#REF!</definedName>
    <definedName name="IQRScoreResultsCodeC90" hidden="1">#REF!</definedName>
    <definedName name="IQRScoreResultsCodeC91" hidden="1">#REF!</definedName>
    <definedName name="IQRScoreResultsCodeC92" hidden="1">#REF!</definedName>
    <definedName name="IQRScoreResultsCodeD10" hidden="1">#REF!</definedName>
    <definedName name="IQRScoreResultsCodeD100" hidden="1">#REF!</definedName>
    <definedName name="IQRScoreResultsCodeD101" hidden="1">#REF!</definedName>
    <definedName name="IQRScoreResultsCodeD106" hidden="1">#REF!</definedName>
    <definedName name="IQRScoreResultsCodeD107" hidden="1">#REF!</definedName>
    <definedName name="IQRScoreResultsCodeD11" hidden="1">#REF!</definedName>
    <definedName name="IQRScoreResultsCodeD117" hidden="1">#REF!</definedName>
    <definedName name="IQRScoreResultsCodeD12" hidden="1">#REF!</definedName>
    <definedName name="IQRScoreResultsCodeD121" hidden="1">#REF!</definedName>
    <definedName name="IQRScoreResultsCodeD122" hidden="1">#REF!</definedName>
    <definedName name="IQRScoreResultsCodeD123" hidden="1">#REF!</definedName>
    <definedName name="IQRScoreResultsCodeD124" hidden="1">#REF!</definedName>
    <definedName name="IQRScoreResultsCodeD126" hidden="1">#REF!</definedName>
    <definedName name="IQRScoreResultsCodeD128" hidden="1">#REF!</definedName>
    <definedName name="IQRScoreResultsCodeD13" hidden="1">#REF!</definedName>
    <definedName name="IQRScoreResultsCodeD14" hidden="1">#REF!</definedName>
    <definedName name="IQRScoreResultsCodeD148" hidden="1">#REF!</definedName>
    <definedName name="IQRScoreResultsCodeD15" hidden="1">#REF!</definedName>
    <definedName name="IQRScoreResultsCodeD152" hidden="1">#REF!</definedName>
    <definedName name="IQRScoreResultsCodeD153" hidden="1">#REF!</definedName>
    <definedName name="IQRScoreResultsCodeD159" hidden="1">#REF!</definedName>
    <definedName name="IQRScoreResultsCodeD16" hidden="1">#REF!</definedName>
    <definedName name="IQRScoreResultsCodeD17" hidden="1">#REF!</definedName>
    <definedName name="IQRScoreResultsCodeD18" hidden="1">#REF!</definedName>
    <definedName name="IQRScoreResultsCodeD19" hidden="1">#REF!</definedName>
    <definedName name="IQRScoreResultsCodeD20" hidden="1">#REF!</definedName>
    <definedName name="IQRScoreResultsCodeD22" hidden="1">#REF!</definedName>
    <definedName name="IQRScoreResultsCodeD25" hidden="1">#REF!</definedName>
    <definedName name="IQRScoreResultsCodeD26" hidden="1">#REF!</definedName>
    <definedName name="IQRScoreResultsCodeD27" hidden="1">#REF!</definedName>
    <definedName name="IQRScoreResultsCodeD28" hidden="1">#REF!</definedName>
    <definedName name="IQRScoreResultsCodeD29" hidden="1">#REF!</definedName>
    <definedName name="IQRScoreResultsCodeD30" hidden="1">#REF!</definedName>
    <definedName name="IQRScoreResultsCodeD31" hidden="1">#REF!</definedName>
    <definedName name="IQRScoreResultsCodeD32" hidden="1">#REF!</definedName>
    <definedName name="IQRScoreResultsCodeD34" hidden="1">#REF!</definedName>
    <definedName name="IQRScoreResultsCodeD37" hidden="1">#REF!</definedName>
    <definedName name="IQRScoreResultsCodeD41" hidden="1">#REF!</definedName>
    <definedName name="IQRScoreResultsCodeD42" hidden="1">#REF!</definedName>
    <definedName name="IQRScoreResultsCodeD48" hidden="1">#REF!</definedName>
    <definedName name="IQRScoreResultsCodeD49" hidden="1">#REF!</definedName>
    <definedName name="IQRScoreResultsCodeD50" hidden="1">#REF!</definedName>
    <definedName name="IQRScoreResultsCodeD53" hidden="1">#REF!</definedName>
    <definedName name="IQRScoreResultsCodeD54" hidden="1">#REF!</definedName>
    <definedName name="IQRScoreResultsCodeD55" hidden="1">#REF!</definedName>
    <definedName name="IQRScoreResultsCodeD57" hidden="1">#REF!</definedName>
    <definedName name="IQRScoreResultsCodeD6" hidden="1">#REF!</definedName>
    <definedName name="IQRScoreResultsCodeD61" hidden="1">#REF!</definedName>
    <definedName name="IQRScoreResultsCodeD67" hidden="1">#REF!</definedName>
    <definedName name="IQRScoreResultsCodeD68" hidden="1">#REF!</definedName>
    <definedName name="IQRScoreResultsCodeD69" hidden="1">#REF!</definedName>
    <definedName name="IQRScoreResultsCodeD7" hidden="1">#REF!</definedName>
    <definedName name="IQRScoreResultsCodeD70" hidden="1">#REF!</definedName>
    <definedName name="IQRScoreResultsCodeD71" hidden="1">#REF!</definedName>
    <definedName name="IQRScoreResultsCodeD72" hidden="1">#REF!</definedName>
    <definedName name="IQRScoreResultsCodeD73" hidden="1">#REF!</definedName>
    <definedName name="IQRScoreResultsCodeD74" hidden="1">#REF!</definedName>
    <definedName name="IQRScoreResultsCodeD76" hidden="1">#REF!</definedName>
    <definedName name="IQRScoreResultsCodeD78" hidden="1">#REF!</definedName>
    <definedName name="IQRScoreResultsCodeD79" hidden="1">#REF!</definedName>
    <definedName name="IQRScoreResultsCodeD8" hidden="1">#REF!</definedName>
    <definedName name="IQRScoreResultsCodeD85" hidden="1">#REF!</definedName>
    <definedName name="IQRScoreResultsCodeD87" hidden="1">#REF!</definedName>
    <definedName name="IQRScoreResultsCodeD88" hidden="1">#REF!</definedName>
    <definedName name="IQRScoreResultsCodeD89" hidden="1">#REF!</definedName>
    <definedName name="IQRScoreResultsCodeD9" hidden="1">#REF!</definedName>
    <definedName name="IQRScoreResultsCodeD90" hidden="1">#REF!</definedName>
    <definedName name="IQRScoreResultsCodeD91" hidden="1">#REF!</definedName>
    <definedName name="IQRScoreResultsCodeD92" hidden="1">#REF!</definedName>
    <definedName name="IQRScoreResultsCodeD93" hidden="1">#REF!</definedName>
    <definedName name="IQRScoreResultsCodeD94" hidden="1">#REF!</definedName>
    <definedName name="IQRScoreResultsCodeD96" hidden="1">#REF!</definedName>
    <definedName name="IQRScoreResultsCodeE101" hidden="1">#REF!</definedName>
    <definedName name="IQRScoreResultsCodeE102" hidden="1">#REF!</definedName>
    <definedName name="IQRScoreResultsCodeE105" hidden="1">#REF!</definedName>
    <definedName name="IQRScoreResultsCodeE11" hidden="1">#REF!</definedName>
    <definedName name="IQRScoreResultsCodeE112" hidden="1">#REF!</definedName>
    <definedName name="IQRScoreResultsCodeE117" hidden="1">#REF!</definedName>
    <definedName name="IQRScoreResultsCodeE12" hidden="1">#REF!</definedName>
    <definedName name="IQRScoreResultsCodeE122" hidden="1">#REF!</definedName>
    <definedName name="IQRScoreResultsCodeE126" hidden="1">#REF!</definedName>
    <definedName name="IQRScoreResultsCodeE127" hidden="1">#REF!</definedName>
    <definedName name="IQRScoreResultsCodeE128" hidden="1">#REF!</definedName>
    <definedName name="IQRScoreResultsCodeE129" hidden="1">#REF!</definedName>
    <definedName name="IQRScoreResultsCodeE13" hidden="1">#REF!</definedName>
    <definedName name="IQRScoreResultsCodeE131" hidden="1">#REF!</definedName>
    <definedName name="IQRScoreResultsCodeE135" hidden="1">#REF!</definedName>
    <definedName name="IQRScoreResultsCodeE14" hidden="1">#REF!</definedName>
    <definedName name="IQRScoreResultsCodeE142" hidden="1">#REF!</definedName>
    <definedName name="IQRScoreResultsCodeE15" hidden="1">#REF!</definedName>
    <definedName name="IQRScoreResultsCodeE152" hidden="1">#REF!</definedName>
    <definedName name="IQRScoreResultsCodeE16" hidden="1">#REF!</definedName>
    <definedName name="IQRScoreResultsCodeE17" hidden="1">#REF!</definedName>
    <definedName name="IQRScoreResultsCodeE18" hidden="1">#REF!</definedName>
    <definedName name="IQRScoreResultsCodeE19" hidden="1">#REF!</definedName>
    <definedName name="IQRScoreResultsCodeE20" hidden="1">#REF!</definedName>
    <definedName name="IQRScoreResultsCodeE22" hidden="1">#REF!</definedName>
    <definedName name="IQRScoreResultsCodeE23" hidden="1">#REF!</definedName>
    <definedName name="IQRScoreResultsCodeE24" hidden="1">#REF!</definedName>
    <definedName name="IQRScoreResultsCodeE25" hidden="1">#REF!</definedName>
    <definedName name="IQRScoreResultsCodeE27" hidden="1">#REF!</definedName>
    <definedName name="IQRScoreResultsCodeE30" hidden="1">#REF!</definedName>
    <definedName name="IQRScoreResultsCodeE31" hidden="1">#REF!</definedName>
    <definedName name="IQRScoreResultsCodeE32" hidden="1">#REF!</definedName>
    <definedName name="IQRScoreResultsCodeE34" hidden="1">#REF!</definedName>
    <definedName name="IQRScoreResultsCodeE35" hidden="1">#REF!</definedName>
    <definedName name="IQRScoreResultsCodeE36" hidden="1">#REF!</definedName>
    <definedName name="IQRScoreResultsCodeE37" hidden="1">#REF!</definedName>
    <definedName name="IQRScoreResultsCodeE38" hidden="1">#REF!</definedName>
    <definedName name="IQRScoreResultsCodeE39" hidden="1">#REF!</definedName>
    <definedName name="IQRScoreResultsCodeE43" hidden="1">#REF!</definedName>
    <definedName name="IQRScoreResultsCodeE48" hidden="1">#REF!</definedName>
    <definedName name="IQRScoreResultsCodeE49" hidden="1">#REF!</definedName>
    <definedName name="IQRScoreResultsCodeE50" hidden="1">#REF!</definedName>
    <definedName name="IQRScoreResultsCodeE51" hidden="1">#REF!</definedName>
    <definedName name="IQRScoreResultsCodeE52" hidden="1">#REF!</definedName>
    <definedName name="IQRScoreResultsCodeE53" hidden="1">#REF!</definedName>
    <definedName name="IQRScoreResultsCodeE57" hidden="1">#REF!</definedName>
    <definedName name="IQRScoreResultsCodeE58" hidden="1">#REF!</definedName>
    <definedName name="IQRScoreResultsCodeE59" hidden="1">#REF!</definedName>
    <definedName name="IQRScoreResultsCodeE60" hidden="1">#REF!</definedName>
    <definedName name="IQRScoreResultsCodeE62" hidden="1">#REF!</definedName>
    <definedName name="IQRScoreResultsCodeE66" hidden="1">#REF!</definedName>
    <definedName name="IQRScoreResultsCodeE67" hidden="1">#REF!</definedName>
    <definedName name="IQRScoreResultsCodeE72" hidden="1">#REF!</definedName>
    <definedName name="IQRScoreResultsCodeE73" hidden="1">#REF!</definedName>
    <definedName name="IQRScoreResultsCodeE74" hidden="1">#REF!</definedName>
    <definedName name="IQRScoreResultsCodeE76" hidden="1">#REF!</definedName>
    <definedName name="IQRScoreResultsCodeE77" hidden="1">#REF!</definedName>
    <definedName name="IQRScoreResultsCodeE78" hidden="1">#REF!</definedName>
    <definedName name="IQRScoreResultsCodeE79" hidden="1">#REF!</definedName>
    <definedName name="IQRScoreResultsCodeE81" hidden="1">#REF!</definedName>
    <definedName name="IQRScoreResultsCodeE83" hidden="1">#REF!</definedName>
    <definedName name="IQRScoreResultsCodeE85" hidden="1">#REF!</definedName>
    <definedName name="IQRScoreResultsCodeE87" hidden="1">#REF!</definedName>
    <definedName name="IQRScoreResultsCodeE92" hidden="1">#REF!</definedName>
    <definedName name="IQRScoreResultsCodeE93" hidden="1">#REF!</definedName>
    <definedName name="IQRScoreResultsCodeE94" hidden="1">#REF!</definedName>
    <definedName name="IQRScoreResultsCodeE96" hidden="1">#REF!</definedName>
    <definedName name="IQRScoreResultsCodeE97" hidden="1">#REF!</definedName>
    <definedName name="IQRScoreResultsCodeE98" hidden="1">#REF!</definedName>
    <definedName name="IQRScoreResultsCodeE99" hidden="1">#REF!</definedName>
    <definedName name="IQRScoreResultsCodeF101" hidden="1">#REF!</definedName>
    <definedName name="IQRScoreResultsCodeF102" hidden="1">#REF!</definedName>
    <definedName name="IQRScoreResultsCodeF105" hidden="1">#REF!</definedName>
    <definedName name="IQRScoreResultsCodeF112" hidden="1">#REF!</definedName>
    <definedName name="IQRScoreResultsCodeF122" hidden="1">#REF!</definedName>
    <definedName name="IQRScoreResultsCodeF15" hidden="1">#REF!</definedName>
    <definedName name="IQRScoreResultsCodeF152" hidden="1">#REF!</definedName>
    <definedName name="IQRScoreResultsCodeF16" hidden="1">#REF!</definedName>
    <definedName name="IQRScoreResultsCodeF17" hidden="1">#REF!</definedName>
    <definedName name="IQRScoreResultsCodeF18" hidden="1">#REF!</definedName>
    <definedName name="IQRScoreResultsCodeF19" hidden="1">#REF!</definedName>
    <definedName name="IQRScoreResultsCodeF20" hidden="1">#REF!</definedName>
    <definedName name="IQRScoreResultsCodeF22" hidden="1">#REF!</definedName>
    <definedName name="IQRScoreResultsCodeF23" hidden="1">#REF!</definedName>
    <definedName name="IQRScoreResultsCodeF24" hidden="1">#REF!</definedName>
    <definedName name="IQRScoreResultsCodeF25" hidden="1">#REF!</definedName>
    <definedName name="IQRScoreResultsCodeF27" hidden="1">#REF!</definedName>
    <definedName name="IQRScoreResultsCodeF31" hidden="1">#REF!</definedName>
    <definedName name="IQRScoreResultsCodeF34" hidden="1">#REF!</definedName>
    <definedName name="IQRScoreResultsCodeF35" hidden="1">#REF!</definedName>
    <definedName name="IQRScoreResultsCodeF36" hidden="1">#REF!</definedName>
    <definedName name="IQRScoreResultsCodeF37" hidden="1">#REF!</definedName>
    <definedName name="IQRScoreResultsCodeF38" hidden="1">#REF!</definedName>
    <definedName name="IQRScoreResultsCodeF39" hidden="1">#REF!</definedName>
    <definedName name="IQRScoreResultsCodeF43" hidden="1">#REF!</definedName>
    <definedName name="IQRScoreResultsCodeF48" hidden="1">#REF!</definedName>
    <definedName name="IQRScoreResultsCodeF50" hidden="1">#REF!</definedName>
    <definedName name="IQRScoreResultsCodeF53" hidden="1">#REF!</definedName>
    <definedName name="IQRScoreResultsCodeF54" hidden="1">#REF!</definedName>
    <definedName name="IQRScoreResultsCodeF55" hidden="1">#REF!</definedName>
    <definedName name="IQRScoreResultsCodeF57" hidden="1">#REF!</definedName>
    <definedName name="IQRScoreResultsCodeF60" hidden="1">#REF!</definedName>
    <definedName name="IQRScoreResultsCodeF76" hidden="1">#REF!</definedName>
    <definedName name="IQRScoreResultsCodeF77" hidden="1">#REF!</definedName>
    <definedName name="IQRScoreResultsCodeF78" hidden="1">#REF!</definedName>
    <definedName name="IQRScoreResultsCodeF79" hidden="1">#REF!</definedName>
    <definedName name="IQRScoreResultsCodeF81" hidden="1">#REF!</definedName>
    <definedName name="IQRScoreResultsCodeF83" hidden="1">#REF!</definedName>
    <definedName name="IQRScoreResultsCodeF85" hidden="1">#REF!</definedName>
    <definedName name="IQRScoreResultsCodeF92" hidden="1">#REF!</definedName>
    <definedName name="IQRScoreResultsCodeF96" hidden="1">#REF!</definedName>
    <definedName name="IQRScoreResultsCodeF97" hidden="1">#REF!</definedName>
    <definedName name="IQRScoreResultsCodeF98" hidden="1">#REF!</definedName>
    <definedName name="IQRScoreResultsCodeF99" hidden="1">#REF!</definedName>
    <definedName name="IQRScoreResultsCodeG102" hidden="1">#REF!</definedName>
    <definedName name="IQRScoreResultsCodeG103" hidden="1">#REF!</definedName>
    <definedName name="IQRScoreResultsCodeG104" hidden="1">#REF!</definedName>
    <definedName name="IQRScoreResultsCodeG105" hidden="1">#REF!</definedName>
    <definedName name="IQRScoreResultsCodeG117" hidden="1">#REF!</definedName>
    <definedName name="IQRScoreResultsCodeG121" hidden="1">#REF!</definedName>
    <definedName name="IQRScoreResultsCodeG122" hidden="1">#REF!</definedName>
    <definedName name="IQRScoreResultsCodeG123" hidden="1">#REF!</definedName>
    <definedName name="IQRScoreResultsCodeG124" hidden="1">#REF!</definedName>
    <definedName name="IQRScoreResultsCodeG125" hidden="1">#REF!</definedName>
    <definedName name="IQRScoreResultsCodeG126" hidden="1">#REF!</definedName>
    <definedName name="IQRScoreResultsCodeG127" hidden="1">#REF!</definedName>
    <definedName name="IQRScoreResultsCodeG128" hidden="1">#REF!</definedName>
    <definedName name="IQRScoreResultsCodeG15" hidden="1">#REF!</definedName>
    <definedName name="IQRScoreResultsCodeG152" hidden="1">#REF!</definedName>
    <definedName name="IQRScoreResultsCodeG153" hidden="1">#REF!</definedName>
    <definedName name="IQRScoreResultsCodeG154" hidden="1">#REF!</definedName>
    <definedName name="IQRScoreResultsCodeG155" hidden="1">#REF!</definedName>
    <definedName name="IQRScoreResultsCodeG156" hidden="1">#REF!</definedName>
    <definedName name="IQRScoreResultsCodeG157" hidden="1">#REF!</definedName>
    <definedName name="IQRScoreResultsCodeG158" hidden="1">#REF!</definedName>
    <definedName name="IQRScoreResultsCodeG159" hidden="1">#REF!</definedName>
    <definedName name="IQRScoreResultsCodeG16" hidden="1">#REF!</definedName>
    <definedName name="IQRScoreResultsCodeG18" hidden="1">#REF!</definedName>
    <definedName name="IQRScoreResultsCodeG22" hidden="1">#REF!</definedName>
    <definedName name="IQRScoreResultsCodeG23" hidden="1">#REF!</definedName>
    <definedName name="IQRScoreResultsCodeG24" hidden="1">#REF!</definedName>
    <definedName name="IQRScoreResultsCodeG25" hidden="1">#REF!</definedName>
    <definedName name="IQRScoreResultsCodeG27" hidden="1">#REF!</definedName>
    <definedName name="IQRScoreResultsCodeG31" hidden="1">#REF!</definedName>
    <definedName name="IQRScoreResultsCodeG48" hidden="1">#REF!</definedName>
    <definedName name="IQRScoreResultsCodeG49" hidden="1">#REF!</definedName>
    <definedName name="IQRScoreResultsCodeG50" hidden="1">#REF!</definedName>
    <definedName name="IQRScoreResultsCodeG51" hidden="1">#REF!</definedName>
    <definedName name="IQRScoreResultsCodeG52" hidden="1">#REF!</definedName>
    <definedName name="IQRScoreResultsCodeG53" hidden="1">#REF!</definedName>
    <definedName name="IQRScoreResultsCodeG57" hidden="1">#REF!</definedName>
    <definedName name="IQRScoreResultsCodeG58" hidden="1">#REF!</definedName>
    <definedName name="IQRScoreResultsCodeG59" hidden="1">#REF!</definedName>
    <definedName name="IQRScoreResultsCodeG60" hidden="1">#REF!</definedName>
    <definedName name="IQRScoreResultsCodeG61" hidden="1">#REF!</definedName>
    <definedName name="IQRScoreResultsCodeG62" hidden="1">#REF!</definedName>
    <definedName name="IQRScoreResultsCodeG66" hidden="1">#REF!</definedName>
    <definedName name="IQRScoreResultsCodeG83" hidden="1">#REF!</definedName>
    <definedName name="IQRScoreResultsCodeG84" hidden="1">#REF!</definedName>
    <definedName name="IQRScoreResultsCodeG85" hidden="1">#REF!</definedName>
    <definedName name="IQRScoreResultsCodeH100" hidden="1">#REF!</definedName>
    <definedName name="IQRScoreResultsCodeH101" hidden="1">#REF!</definedName>
    <definedName name="IQRScoreResultsCodeH102" hidden="1">#REF!</definedName>
    <definedName name="IQRScoreResultsCodeH103" hidden="1">#REF!</definedName>
    <definedName name="IQRScoreResultsCodeH104" hidden="1">#REF!</definedName>
    <definedName name="IQRScoreResultsCodeH105" hidden="1">#REF!</definedName>
    <definedName name="IQRScoreResultsCodeH106" hidden="1">#REF!</definedName>
    <definedName name="IQRScoreResultsCodeH107" hidden="1">#REF!</definedName>
    <definedName name="IQRScoreResultsCodeH122" hidden="1">#REF!</definedName>
    <definedName name="IQRScoreResultsCodeH123" hidden="1">#REF!</definedName>
    <definedName name="IQRScoreResultsCodeH124" hidden="1">#REF!</definedName>
    <definedName name="IQRScoreResultsCodeH125" hidden="1">#REF!</definedName>
    <definedName name="IQRScoreResultsCodeH126" hidden="1">#REF!</definedName>
    <definedName name="IQRScoreResultsCodeH127" hidden="1">#REF!</definedName>
    <definedName name="IQRScoreResultsCodeH128" hidden="1">#REF!</definedName>
    <definedName name="IQRScoreResultsCodeH152" hidden="1">#REF!</definedName>
    <definedName name="IQRScoreResultsCodeH37" hidden="1">#REF!</definedName>
    <definedName name="IQRScoreResultsCodeH41" hidden="1">#REF!</definedName>
    <definedName name="IQRScoreResultsCodeH42" hidden="1">#REF!</definedName>
    <definedName name="IQRScoreResultsCodeH48" hidden="1">#REF!</definedName>
    <definedName name="IQRScoreResultsCodeH49" hidden="1">#REF!</definedName>
    <definedName name="IQRScoreResultsCodeH50" hidden="1">#REF!</definedName>
    <definedName name="IQRScoreResultsCodeH53" hidden="1">#REF!</definedName>
    <definedName name="IQRScoreResultsCodeH54" hidden="1">#REF!</definedName>
    <definedName name="IQRScoreResultsCodeH55" hidden="1">#REF!</definedName>
    <definedName name="IQRScoreResultsCodeH57" hidden="1">#REF!</definedName>
    <definedName name="IQRScoreResultsCodeH60" hidden="1">#REF!</definedName>
    <definedName name="IQRScoreResultsCodeH61" hidden="1">#REF!</definedName>
    <definedName name="IQRScoreResultsCodeH74" hidden="1">#REF!</definedName>
    <definedName name="IQRScoreResultsCodeH78" hidden="1">#REF!</definedName>
    <definedName name="IQRScoreResultsCodeH79" hidden="1">#REF!</definedName>
    <definedName name="IQRScoreResultsCodeH83" hidden="1">#REF!</definedName>
    <definedName name="IQRScoreResultsCodeH85" hidden="1">#REF!</definedName>
    <definedName name="IQRScoreResultsCodeH96" hidden="1">#REF!</definedName>
    <definedName name="IQRScoreResultsCodeI102" hidden="1">#REF!</definedName>
    <definedName name="IQRScoreResultsCodeI122" hidden="1">#REF!</definedName>
    <definedName name="IQRScoreResultsCodeI148" hidden="1">#REF!</definedName>
    <definedName name="IQRScoreResultsCodeI37" hidden="1">#REF!</definedName>
    <definedName name="IQRScoreResultsCodeI41" hidden="1">#REF!</definedName>
    <definedName name="IQRScoreResultsCodeI42" hidden="1">#REF!</definedName>
    <definedName name="IQRScoreResultsCodeI48" hidden="1">#REF!</definedName>
    <definedName name="IQRScoreResultsCodeI49" hidden="1">#REF!</definedName>
    <definedName name="IQRScoreResultsCodeI50" hidden="1">#REF!</definedName>
    <definedName name="IQRScoreResultsCodeI57" hidden="1">#REF!</definedName>
    <definedName name="IQRScoreResultsCodeI58" hidden="1">#REF!</definedName>
    <definedName name="IQRScoreResultsCodeI59" hidden="1">#REF!</definedName>
    <definedName name="IQRScoreResultsCodeI60" hidden="1">#REF!</definedName>
    <definedName name="IQRScoreResultsCodeI62" hidden="1">#REF!</definedName>
    <definedName name="IQRScoreResultsCodeI66" hidden="1">#REF!</definedName>
    <definedName name="IQRScoreResultsCodeI74" hidden="1">#REF!</definedName>
    <definedName name="IQRScoreResultsCodeI78" hidden="1">#REF!</definedName>
    <definedName name="IQRScoreResultsCodeI79" hidden="1">#REF!</definedName>
    <definedName name="IQRScoreResultsCodeI83" hidden="1">#REF!</definedName>
    <definedName name="IQRScoreResultsCodeI84" hidden="1">#REF!</definedName>
    <definedName name="IQRScoreResultsCodeI85" hidden="1">#REF!</definedName>
    <definedName name="IQRScoreResultsCodeI96" hidden="1">#REF!</definedName>
    <definedName name="IQRScoreResultsCodeJ117" hidden="1">#REF!</definedName>
    <definedName name="IQRScoreResultsCodeJ118" hidden="1">#REF!</definedName>
    <definedName name="IQRScoreResultsCodeJ119" hidden="1">#REF!</definedName>
    <definedName name="IQRScoreResultsCodeJ120" hidden="1">#REF!</definedName>
    <definedName name="IQRScoreResultsCodeJ121" hidden="1">#REF!</definedName>
    <definedName name="IQRScoreResultsCodeJ122" hidden="1">#REF!</definedName>
    <definedName name="IQRScoreResultsCodeJ13" hidden="1">#REF!</definedName>
    <definedName name="IQRScoreResultsCodeJ14" hidden="1">#REF!</definedName>
    <definedName name="IQRScoreResultsCodeJ148" hidden="1">#REF!</definedName>
    <definedName name="IQRScoreResultsCodeJ15" hidden="1">#REF!</definedName>
    <definedName name="IQRScoreResultsCodeJ16" hidden="1">#REF!</definedName>
    <definedName name="IQRScoreResultsCodeJ17" hidden="1">#REF!</definedName>
    <definedName name="IQRScoreResultsCodeJ18" hidden="1">#REF!</definedName>
    <definedName name="IQRScoreResultsCodeJ25" hidden="1">#REF!</definedName>
    <definedName name="IQRScoreResultsCodeJ26" hidden="1">#REF!</definedName>
    <definedName name="IQRScoreResultsCodeJ27" hidden="1">#REF!</definedName>
    <definedName name="IQRScoreResultsCodeJ28" hidden="1">#REF!</definedName>
    <definedName name="IQRScoreResultsCodeJ29" hidden="1">#REF!</definedName>
    <definedName name="IQRScoreResultsCodeJ30" hidden="1">#REF!</definedName>
    <definedName name="IQRScoreResultsCodeJ37" hidden="1">#REF!</definedName>
    <definedName name="IQRScoreResultsCodeJ48" hidden="1">#REF!</definedName>
    <definedName name="IQRScoreResultsCodeJ49" hidden="1">#REF!</definedName>
    <definedName name="IQRScoreResultsCodeJ50" hidden="1">#REF!</definedName>
    <definedName name="IQRScoreResultsCodeJ51" hidden="1">#REF!</definedName>
    <definedName name="IQRScoreResultsCodeJ52" hidden="1">#REF!</definedName>
    <definedName name="IQRScoreResultsCodeJ53" hidden="1">#REF!</definedName>
    <definedName name="IQRScoreResultsCodeJ67" hidden="1">#REF!</definedName>
    <definedName name="IQRScoreResultsCodeJ68" hidden="1">#REF!</definedName>
    <definedName name="IQRScoreResultsCodeJ69" hidden="1">#REF!</definedName>
    <definedName name="IQRScoreResultsCodeJ70" hidden="1">#REF!</definedName>
    <definedName name="IQRScoreResultsCodeJ71" hidden="1">#REF!</definedName>
    <definedName name="IQRScoreResultsCodeJ72" hidden="1">#REF!</definedName>
    <definedName name="IQRScoreResultsCodeJ74" hidden="1">#REF!</definedName>
    <definedName name="IQRScoreResultsCodeJ83" hidden="1">#REF!</definedName>
    <definedName name="IQRScoreResultsCodeJ87" hidden="1">#REF!</definedName>
    <definedName name="IQRScoreResultsCodeJ88" hidden="1">#REF!</definedName>
    <definedName name="IQRScoreResultsCodeJ89" hidden="1">#REF!</definedName>
    <definedName name="IQRScoreResultsCodeJ90" hidden="1">#REF!</definedName>
    <definedName name="IQRScoreResultsCodeJ91" hidden="1">#REF!</definedName>
    <definedName name="IQRScoreResultsCodeJ92" hidden="1">#REF!</definedName>
    <definedName name="IQRScoreResultsCodeJ96" hidden="1">#REF!</definedName>
    <definedName name="IQRScoreResultsCodeK122" hidden="1">#REF!</definedName>
    <definedName name="IQRScoreResultsCodeK123" hidden="1">#REF!</definedName>
    <definedName name="IQRScoreResultsCodeK124" hidden="1">#REF!</definedName>
    <definedName name="IQRScoreResultsCodeK126" hidden="1">#REF!</definedName>
    <definedName name="IQRScoreResultsCodeK13" hidden="1">#REF!</definedName>
    <definedName name="IQRScoreResultsCodeK14" hidden="1">#REF!</definedName>
    <definedName name="IQRScoreResultsCodeK148" hidden="1">#REF!</definedName>
    <definedName name="IQRScoreResultsCodeK15" hidden="1">#REF!</definedName>
    <definedName name="IQRScoreResultsCodeK16" hidden="1">#REF!</definedName>
    <definedName name="IQRScoreResultsCodeK17" hidden="1">#REF!</definedName>
    <definedName name="IQRScoreResultsCodeK18" hidden="1">#REF!</definedName>
    <definedName name="IQRScoreResultsCodeK19" hidden="1">#REF!</definedName>
    <definedName name="IQRScoreResultsCodeK20" hidden="1">#REF!</definedName>
    <definedName name="IQRScoreResultsCodeK22" hidden="1">#REF!</definedName>
    <definedName name="IQRScoreResultsCodeK25" hidden="1">#REF!</definedName>
    <definedName name="IQRScoreResultsCodeK26" hidden="1">#REF!</definedName>
    <definedName name="IQRScoreResultsCodeK27" hidden="1">#REF!</definedName>
    <definedName name="IQRScoreResultsCodeK28" hidden="1">#REF!</definedName>
    <definedName name="IQRScoreResultsCodeK29" hidden="1">#REF!</definedName>
    <definedName name="IQRScoreResultsCodeK30" hidden="1">#REF!</definedName>
    <definedName name="IQRScoreResultsCodeK31" hidden="1">#REF!</definedName>
    <definedName name="IQRScoreResultsCodeK32" hidden="1">#REF!</definedName>
    <definedName name="IQRScoreResultsCodeK34" hidden="1">#REF!</definedName>
    <definedName name="IQRScoreResultsCodeK53" hidden="1">#REF!</definedName>
    <definedName name="IQRScoreResultsCodeK54" hidden="1">#REF!</definedName>
    <definedName name="IQRScoreResultsCodeK55" hidden="1">#REF!</definedName>
    <definedName name="IQRScoreResultsCodeK57" hidden="1">#REF!</definedName>
    <definedName name="IQRScoreResultsCodeK67" hidden="1">#REF!</definedName>
    <definedName name="IQRScoreResultsCodeK68" hidden="1">#REF!</definedName>
    <definedName name="IQRScoreResultsCodeK69" hidden="1">#REF!</definedName>
    <definedName name="IQRScoreResultsCodeK70" hidden="1">#REF!</definedName>
    <definedName name="IQRScoreResultsCodeK71" hidden="1">#REF!</definedName>
    <definedName name="IQRScoreResultsCodeK72" hidden="1">#REF!</definedName>
    <definedName name="IQRScoreResultsCodeK73" hidden="1">#REF!</definedName>
    <definedName name="IQRScoreResultsCodeK74" hidden="1">#REF!</definedName>
    <definedName name="IQRScoreResultsCodeK76" hidden="1">#REF!</definedName>
    <definedName name="IQRScoreResultsCodeK83" hidden="1">#REF!</definedName>
    <definedName name="IQRScoreResultsCodeK84" hidden="1">#REF!</definedName>
    <definedName name="IQRScoreResultsCodeK85" hidden="1">#REF!</definedName>
    <definedName name="IQRScoreResultsCodeK87" hidden="1">#REF!</definedName>
    <definedName name="IQRScoreResultsCodeK88" hidden="1">#REF!</definedName>
    <definedName name="IQRScoreResultsCodeK89" hidden="1">#REF!</definedName>
    <definedName name="IQRScoreResultsCodeK90" hidden="1">#REF!</definedName>
    <definedName name="IQRScoreResultsCodeK91" hidden="1">#REF!</definedName>
    <definedName name="IQRScoreResultsCodeK92" hidden="1">#REF!</definedName>
    <definedName name="IQRScoreResultsCodeK93" hidden="1">#REF!</definedName>
    <definedName name="IQRScoreResultsCodeK94" hidden="1">#REF!</definedName>
    <definedName name="IQRScoreResultsCodeK96" hidden="1">#REF!</definedName>
    <definedName name="IQRScoreResultsCodeL101" hidden="1">#REF!</definedName>
    <definedName name="IQRScoreResultsCodeL102" hidden="1">#REF!</definedName>
    <definedName name="IQRScoreResultsCodeL105" hidden="1">#REF!</definedName>
    <definedName name="IQRScoreResultsCodeL112" hidden="1">#REF!</definedName>
    <definedName name="IQRScoreResultsCodeL117" hidden="1">#REF!</definedName>
    <definedName name="IQRScoreResultsCodeL122" hidden="1">#REF!</definedName>
    <definedName name="IQRScoreResultsCodeL126" hidden="1">#REF!</definedName>
    <definedName name="IQRScoreResultsCodeL127" hidden="1">#REF!</definedName>
    <definedName name="IQRScoreResultsCodeL128" hidden="1">#REF!</definedName>
    <definedName name="IQRScoreResultsCodeL129" hidden="1">#REF!</definedName>
    <definedName name="IQRScoreResultsCodeL13" hidden="1">#REF!</definedName>
    <definedName name="IQRScoreResultsCodeL131" hidden="1">#REF!</definedName>
    <definedName name="IQRScoreResultsCodeL135" hidden="1">#REF!</definedName>
    <definedName name="IQRScoreResultsCodeL14" hidden="1">#REF!</definedName>
    <definedName name="IQRScoreResultsCodeL142" hidden="1">#REF!</definedName>
    <definedName name="IQRScoreResultsCodeL15" hidden="1">#REF!</definedName>
    <definedName name="IQRScoreResultsCodeL152" hidden="1">#REF!</definedName>
    <definedName name="IQRScoreResultsCodeL16" hidden="1">#REF!</definedName>
    <definedName name="IQRScoreResultsCodeL17" hidden="1">#REF!</definedName>
    <definedName name="IQRScoreResultsCodeL18" hidden="1">#REF!</definedName>
    <definedName name="IQRScoreResultsCodeL19" hidden="1">#REF!</definedName>
    <definedName name="IQRScoreResultsCodeL20" hidden="1">#REF!</definedName>
    <definedName name="IQRScoreResultsCodeL22" hidden="1">#REF!</definedName>
    <definedName name="IQRScoreResultsCodeL23" hidden="1">#REF!</definedName>
    <definedName name="IQRScoreResultsCodeL24" hidden="1">#REF!</definedName>
    <definedName name="IQRScoreResultsCodeL25" hidden="1">#REF!</definedName>
    <definedName name="IQRScoreResultsCodeL27" hidden="1">#REF!</definedName>
    <definedName name="IQRScoreResultsCodeL30" hidden="1">#REF!</definedName>
    <definedName name="IQRScoreResultsCodeL31" hidden="1">#REF!</definedName>
    <definedName name="IQRScoreResultsCodeL32" hidden="1">#REF!</definedName>
    <definedName name="IQRScoreResultsCodeL34" hidden="1">#REF!</definedName>
    <definedName name="IQRScoreResultsCodeL35" hidden="1">#REF!</definedName>
    <definedName name="IQRScoreResultsCodeL36" hidden="1">#REF!</definedName>
    <definedName name="IQRScoreResultsCodeL37" hidden="1">#REF!</definedName>
    <definedName name="IQRScoreResultsCodeL38" hidden="1">#REF!</definedName>
    <definedName name="IQRScoreResultsCodeL39" hidden="1">#REF!</definedName>
    <definedName name="IQRScoreResultsCodeL43" hidden="1">#REF!</definedName>
    <definedName name="IQRScoreResultsCodeL48" hidden="1">#REF!</definedName>
    <definedName name="IQRScoreResultsCodeL49" hidden="1">#REF!</definedName>
    <definedName name="IQRScoreResultsCodeL50" hidden="1">#REF!</definedName>
    <definedName name="IQRScoreResultsCodeL51" hidden="1">#REF!</definedName>
    <definedName name="IQRScoreResultsCodeL52" hidden="1">#REF!</definedName>
    <definedName name="IQRScoreResultsCodeL53" hidden="1">#REF!</definedName>
    <definedName name="IQRScoreResultsCodeL57" hidden="1">#REF!</definedName>
    <definedName name="IQRScoreResultsCodeL58" hidden="1">#REF!</definedName>
    <definedName name="IQRScoreResultsCodeL59" hidden="1">#REF!</definedName>
    <definedName name="IQRScoreResultsCodeL60" hidden="1">#REF!</definedName>
    <definedName name="IQRScoreResultsCodeL62" hidden="1">#REF!</definedName>
    <definedName name="IQRScoreResultsCodeL66" hidden="1">#REF!</definedName>
    <definedName name="IQRScoreResultsCodeL67" hidden="1">#REF!</definedName>
    <definedName name="IQRScoreResultsCodeL72" hidden="1">#REF!</definedName>
    <definedName name="IQRScoreResultsCodeL73" hidden="1">#REF!</definedName>
    <definedName name="IQRScoreResultsCodeL74" hidden="1">#REF!</definedName>
    <definedName name="IQRScoreResultsCodeL76" hidden="1">#REF!</definedName>
    <definedName name="IQRScoreResultsCodeL77" hidden="1">#REF!</definedName>
    <definedName name="IQRScoreResultsCodeL78" hidden="1">#REF!</definedName>
    <definedName name="IQRScoreResultsCodeL79" hidden="1">#REF!</definedName>
    <definedName name="IQRScoreResultsCodeL81" hidden="1">#REF!</definedName>
    <definedName name="IQRScoreResultsCodeL83" hidden="1">#REF!</definedName>
    <definedName name="IQRScoreResultsCodeL85" hidden="1">#REF!</definedName>
    <definedName name="IQRScoreResultsCodeL87" hidden="1">#REF!</definedName>
    <definedName name="IQRScoreResultsCodeL88" hidden="1">#REF!</definedName>
    <definedName name="IQRScoreResultsCodeL89" hidden="1">#REF!</definedName>
    <definedName name="IQRScoreResultsCodeL90" hidden="1">#REF!</definedName>
    <definedName name="IQRScoreResultsCodeL91" hidden="1">#REF!</definedName>
    <definedName name="IQRScoreResultsCodeL92" hidden="1">#REF!</definedName>
    <definedName name="IQRScoreResultsCodeL93" hidden="1">#REF!</definedName>
    <definedName name="IQRScoreResultsCodeL94" hidden="1">#REF!</definedName>
    <definedName name="IQRScoreResultsCodeL96" hidden="1">#REF!</definedName>
    <definedName name="IQRScoreResultsCodeL97" hidden="1">#REF!</definedName>
    <definedName name="IQRScoreResultsCodeL98" hidden="1">#REF!</definedName>
    <definedName name="IQRScoreResultsCodeL99" hidden="1">#REF!</definedName>
    <definedName name="IQRScoreResultsCodeM101" hidden="1">#REF!</definedName>
    <definedName name="IQRScoreResultsCodeM102" hidden="1">#REF!</definedName>
    <definedName name="IQRScoreResultsCodeM105" hidden="1">#REF!</definedName>
    <definedName name="IQRScoreResultsCodeM112" hidden="1">#REF!</definedName>
    <definedName name="IQRScoreResultsCodeM122" hidden="1">#REF!</definedName>
    <definedName name="IQRScoreResultsCodeM152" hidden="1">#REF!</definedName>
    <definedName name="IQRScoreResultsCodeM18" hidden="1">#REF!</definedName>
    <definedName name="IQRScoreResultsCodeM19" hidden="1">#REF!</definedName>
    <definedName name="IQRScoreResultsCodeM20" hidden="1">#REF!</definedName>
    <definedName name="IQRScoreResultsCodeM22" hidden="1">#REF!</definedName>
    <definedName name="IQRScoreResultsCodeM23" hidden="1">#REF!</definedName>
    <definedName name="IQRScoreResultsCodeM24" hidden="1">#REF!</definedName>
    <definedName name="IQRScoreResultsCodeM25" hidden="1">#REF!</definedName>
    <definedName name="IQRScoreResultsCodeM27" hidden="1">#REF!</definedName>
    <definedName name="IQRScoreResultsCodeM31" hidden="1">#REF!</definedName>
    <definedName name="IQRScoreResultsCodeM34" hidden="1">#REF!</definedName>
    <definedName name="IQRScoreResultsCodeM35" hidden="1">#REF!</definedName>
    <definedName name="IQRScoreResultsCodeM36" hidden="1">#REF!</definedName>
    <definedName name="IQRScoreResultsCodeM37" hidden="1">#REF!</definedName>
    <definedName name="IQRScoreResultsCodeM38" hidden="1">#REF!</definedName>
    <definedName name="IQRScoreResultsCodeM39" hidden="1">#REF!</definedName>
    <definedName name="IQRScoreResultsCodeM43" hidden="1">#REF!</definedName>
    <definedName name="IQRScoreResultsCodeM48" hidden="1">#REF!</definedName>
    <definedName name="IQRScoreResultsCodeM50" hidden="1">#REF!</definedName>
    <definedName name="IQRScoreResultsCodeM53" hidden="1">#REF!</definedName>
    <definedName name="IQRScoreResultsCodeM54" hidden="1">#REF!</definedName>
    <definedName name="IQRScoreResultsCodeM55" hidden="1">#REF!</definedName>
    <definedName name="IQRScoreResultsCodeM57" hidden="1">#REF!</definedName>
    <definedName name="IQRScoreResultsCodeM60" hidden="1">#REF!</definedName>
    <definedName name="IQRScoreResultsCodeM76" hidden="1">#REF!</definedName>
    <definedName name="IQRScoreResultsCodeM77" hidden="1">#REF!</definedName>
    <definedName name="IQRScoreResultsCodeM78" hidden="1">#REF!</definedName>
    <definedName name="IQRScoreResultsCodeM79" hidden="1">#REF!</definedName>
    <definedName name="IQRScoreResultsCodeM81" hidden="1">#REF!</definedName>
    <definedName name="IQRScoreResultsCodeM83" hidden="1">#REF!</definedName>
    <definedName name="IQRScoreResultsCodeM85" hidden="1">#REF!</definedName>
    <definedName name="IQRScoreResultsCodeM92" hidden="1">#REF!</definedName>
    <definedName name="IQRScoreResultsCodeM93" hidden="1">#REF!</definedName>
    <definedName name="IQRScoreResultsCodeM94" hidden="1">#REF!</definedName>
    <definedName name="IQRScoreResultsCodeM96" hidden="1">#REF!</definedName>
    <definedName name="IQRScoreResultsCodeM97" hidden="1">#REF!</definedName>
    <definedName name="IQRScoreResultsCodeM98" hidden="1">#REF!</definedName>
    <definedName name="IQRScoreResultsCodeM99" hidden="1">#REF!</definedName>
    <definedName name="IQRScoreResultsCodeN100" hidden="1">#REF!</definedName>
    <definedName name="IQRScoreResultsCodeN101" hidden="1">#REF!</definedName>
    <definedName name="IQRScoreResultsCodeN102" hidden="1">#REF!</definedName>
    <definedName name="IQRScoreResultsCodeN103" hidden="1">#REF!</definedName>
    <definedName name="IQRScoreResultsCodeN104" hidden="1">#REF!</definedName>
    <definedName name="IQRScoreResultsCodeN105" hidden="1">#REF!</definedName>
    <definedName name="IQRScoreResultsCodeN106" hidden="1">#REF!</definedName>
    <definedName name="IQRScoreResultsCodeN107" hidden="1">#REF!</definedName>
    <definedName name="IQRScoreResultsCodeN112" hidden="1">#REF!</definedName>
    <definedName name="IQRScoreResultsCodeN117" hidden="1">#REF!</definedName>
    <definedName name="IQRScoreResultsCodeN121" hidden="1">#REF!</definedName>
    <definedName name="IQRScoreResultsCodeN122" hidden="1">#REF!</definedName>
    <definedName name="IQRScoreResultsCodeN123" hidden="1">#REF!</definedName>
    <definedName name="IQRScoreResultsCodeN124" hidden="1">#REF!</definedName>
    <definedName name="IQRScoreResultsCodeN125" hidden="1">#REF!</definedName>
    <definedName name="IQRScoreResultsCodeN126" hidden="1">#REF!</definedName>
    <definedName name="IQRScoreResultsCodeN127" hidden="1">#REF!</definedName>
    <definedName name="IQRScoreResultsCodeN128" hidden="1">#REF!</definedName>
    <definedName name="IQRScoreResultsCodeN148" hidden="1">#REF!</definedName>
    <definedName name="IQRScoreResultsCodeN152" hidden="1">#REF!</definedName>
    <definedName name="IQRScoreResultsCodeN153" hidden="1">#REF!</definedName>
    <definedName name="IQRScoreResultsCodeN154" hidden="1">#REF!</definedName>
    <definedName name="IQRScoreResultsCodeN155" hidden="1">#REF!</definedName>
    <definedName name="IQRScoreResultsCodeN156" hidden="1">#REF!</definedName>
    <definedName name="IQRScoreResultsCodeN157" hidden="1">#REF!</definedName>
    <definedName name="IQRScoreResultsCodeN158" hidden="1">#REF!</definedName>
    <definedName name="IQRScoreResultsCodeN159" hidden="1">#REF!</definedName>
    <definedName name="IQRScoreResultsCodeN22" hidden="1">#REF!</definedName>
    <definedName name="IQRScoreResultsCodeN23" hidden="1">#REF!</definedName>
    <definedName name="IQRScoreResultsCodeN24" hidden="1">#REF!</definedName>
    <definedName name="IQRScoreResultsCodeN25" hidden="1">#REF!</definedName>
    <definedName name="IQRScoreResultsCodeN27" hidden="1">#REF!</definedName>
    <definedName name="IQRScoreResultsCodeN31" hidden="1">#REF!</definedName>
    <definedName name="IQRScoreResultsCodeN37" hidden="1">#REF!</definedName>
    <definedName name="IQRScoreResultsCodeN41" hidden="1">#REF!</definedName>
    <definedName name="IQRScoreResultsCodeN42" hidden="1">#REF!</definedName>
    <definedName name="IQRScoreResultsCodeN48" hidden="1">#REF!</definedName>
    <definedName name="IQRScoreResultsCodeN49" hidden="1">#REF!</definedName>
    <definedName name="IQRScoreResultsCodeN50" hidden="1">#REF!</definedName>
    <definedName name="IQRScoreResultsCodeN51" hidden="1">#REF!</definedName>
    <definedName name="IQRScoreResultsCodeN52" hidden="1">#REF!</definedName>
    <definedName name="IQRScoreResultsCodeN53" hidden="1">#REF!</definedName>
    <definedName name="IQRScoreResultsCodeN54" hidden="1">#REF!</definedName>
    <definedName name="IQRScoreResultsCodeN55" hidden="1">#REF!</definedName>
    <definedName name="IQRScoreResultsCodeN57" hidden="1">#REF!</definedName>
    <definedName name="IQRScoreResultsCodeN58" hidden="1">#REF!</definedName>
    <definedName name="IQRScoreResultsCodeN59" hidden="1">#REF!</definedName>
    <definedName name="IQRScoreResultsCodeN60" hidden="1">#REF!</definedName>
    <definedName name="IQRScoreResultsCodeN61" hidden="1">#REF!</definedName>
    <definedName name="IQRScoreResultsCodeN62" hidden="1">#REF!</definedName>
    <definedName name="IQRScoreResultsCodeN66" hidden="1">#REF!</definedName>
    <definedName name="IQRScoreResultsCodeN74" hidden="1">#REF!</definedName>
    <definedName name="IQRScoreResultsCodeN78" hidden="1">#REF!</definedName>
    <definedName name="IQRScoreResultsCodeN79" hidden="1">#REF!</definedName>
    <definedName name="IQRScoreResultsCodeN83" hidden="1">#REF!</definedName>
    <definedName name="IQRScoreResultsCodeN84" hidden="1">#REF!</definedName>
    <definedName name="IQRScoreResultsCodeN85" hidden="1">#REF!</definedName>
    <definedName name="IQRScoreResultsCodeN96" hidden="1">#REF!</definedName>
    <definedName name="IQRScoreResultsCodeN97" hidden="1">#REF!</definedName>
    <definedName name="IQRScoreResultsCodeN98" hidden="1">#REF!</definedName>
    <definedName name="IQRScoreResultsCodeN99" hidden="1">#REF!</definedName>
    <definedName name="IQRScoreResultsCodeO102" hidden="1">#REF!</definedName>
    <definedName name="IQRScoreResultsCodeO103" hidden="1">#REF!</definedName>
    <definedName name="IQRScoreResultsCodeO104" hidden="1">#REF!</definedName>
    <definedName name="IQRScoreResultsCodeO105" hidden="1">#REF!</definedName>
    <definedName name="IQRScoreResultsCodeO106" hidden="1">#REF!</definedName>
    <definedName name="IQRScoreResultsCodeO107" hidden="1">#REF!</definedName>
    <definedName name="IQRScoreResultsCodeO117" hidden="1">#REF!</definedName>
    <definedName name="IQRScoreResultsCodeO122" hidden="1">#REF!</definedName>
    <definedName name="IQRScoreResultsCodeO123" hidden="1">#REF!</definedName>
    <definedName name="IQRScoreResultsCodeO124" hidden="1">#REF!</definedName>
    <definedName name="IQRScoreResultsCodeO125" hidden="1">#REF!</definedName>
    <definedName name="IQRScoreResultsCodeO126" hidden="1">#REF!</definedName>
    <definedName name="IQRScoreResultsCodeO127" hidden="1">#REF!</definedName>
    <definedName name="IQRScoreResultsCodeO128" hidden="1">#REF!</definedName>
    <definedName name="IQRScoreResultsCodeO148" hidden="1">#REF!</definedName>
    <definedName name="IQRScoreResultsCodeO15" hidden="1">#REF!</definedName>
    <definedName name="IQRScoreResultsCodeO152" hidden="1">#REF!</definedName>
    <definedName name="IQRScoreResultsCodeO16" hidden="1">#REF!</definedName>
    <definedName name="IQRScoreResultsCodeO22" hidden="1">#REF!</definedName>
    <definedName name="IQRScoreResultsCodeO37" hidden="1">#REF!</definedName>
    <definedName name="IQRScoreResultsCodeO48" hidden="1">#REF!</definedName>
    <definedName name="IQRScoreResultsCodeO49" hidden="1">#REF!</definedName>
    <definedName name="IQRScoreResultsCodeO50" hidden="1">#REF!</definedName>
    <definedName name="IQRScoreResultsCodeO53" hidden="1">#REF!</definedName>
    <definedName name="IQRScoreResultsCodeO54" hidden="1">#REF!</definedName>
    <definedName name="IQRScoreResultsCodeO55" hidden="1">#REF!</definedName>
    <definedName name="IQRScoreResultsCodeO57" hidden="1">#REF!</definedName>
    <definedName name="IQRScoreResultsCodeO60" hidden="1">#REF!</definedName>
    <definedName name="IQRScoreResultsCodeO61" hidden="1">#REF!</definedName>
    <definedName name="IQRScoreResultsCodeO74" hidden="1">#REF!</definedName>
    <definedName name="IQRScoreResultsCodeO83" hidden="1">#REF!</definedName>
    <definedName name="IQRScoreResultsCodeO96" hidden="1">#REF!</definedName>
    <definedName name="IQRScoreResultsCodeP102" hidden="1">#REF!</definedName>
    <definedName name="IQRScoreResultsCodeP122" hidden="1">#REF!</definedName>
    <definedName name="IQRScoreResultsCodeP123" hidden="1">#REF!</definedName>
    <definedName name="IQRScoreResultsCodeP124" hidden="1">#REF!</definedName>
    <definedName name="IQRScoreResultsCodeP125" hidden="1">#REF!</definedName>
    <definedName name="IQRScoreResultsCodeP126" hidden="1">#REF!</definedName>
    <definedName name="IQRScoreResultsCodeP127" hidden="1">#REF!</definedName>
    <definedName name="IQRScoreResultsCodeP128" hidden="1">#REF!</definedName>
    <definedName name="IQRScoreResultsCodeP16" hidden="1">#REF!</definedName>
    <definedName name="IQRScoreResultsCodeP22" hidden="1">#REF!</definedName>
    <definedName name="IQRScoreResultsCodeP48" hidden="1">#REF!</definedName>
    <definedName name="IQRScoreResultsCodeP49" hidden="1">#REF!</definedName>
    <definedName name="IQRScoreResultsCodeP57" hidden="1">#REF!</definedName>
    <definedName name="IQRScoreResultsCodeP58" hidden="1">#REF!</definedName>
    <definedName name="IQRScoreResultsCodeP59" hidden="1">#REF!</definedName>
    <definedName name="IQRScoreResultsCodeP60" hidden="1">#REF!</definedName>
    <definedName name="IQRScoreResultsCodeP62" hidden="1">#REF!</definedName>
    <definedName name="IQRScoreResultsCodeP66" hidden="1">#REF!</definedName>
    <definedName name="IQRScoreResultsCodeP83" hidden="1">#REF!</definedName>
    <definedName name="IQRScoreResultsCodeP84" hidden="1">#REF!</definedName>
    <definedName name="IQRScoreResultsCodeP85" hidden="1">#REF!</definedName>
    <definedName name="IQRScoreResultsCodeQ117" hidden="1">#REF!</definedName>
    <definedName name="IQRScoreResultsCodeQ121" hidden="1">#REF!</definedName>
    <definedName name="IQRScoreResultsCodeQ122" hidden="1">#REF!</definedName>
    <definedName name="IQRScoreResultsCodeQ128" hidden="1">#REF!</definedName>
    <definedName name="IQRScoreResultsCodeQ48" hidden="1">#REF!</definedName>
    <definedName name="IQRScoreResultsCodeQ83" hidden="1">#REF!</definedName>
    <definedName name="IQRScoreResultsCodeR100" hidden="1">#REF!</definedName>
    <definedName name="IQRScoreResultsCodeR101" hidden="1">#REF!</definedName>
    <definedName name="IQRScoreResultsCodeR107" hidden="1">#REF!</definedName>
    <definedName name="IQRScoreResultsCodeR117" hidden="1">#REF!</definedName>
    <definedName name="IQRScoreResultsCodeR37" hidden="1">#REF!</definedName>
    <definedName name="IQRScoreResultsCodeR41" hidden="1">#REF!</definedName>
    <definedName name="IQRScoreResultsCodeR42" hidden="1">#REF!</definedName>
    <definedName name="IQRScoreResultsCodeR48" hidden="1">#REF!</definedName>
    <definedName name="IQRScoreResultsCodeR50" hidden="1">#REF!</definedName>
    <definedName name="IQRScoreResultsCodeR54" hidden="1">#REF!</definedName>
    <definedName name="IQRScoreResultsCodeR55" hidden="1">#REF!</definedName>
    <definedName name="IQRScoreResultsCodeR61" hidden="1">#REF!</definedName>
    <definedName name="IQRScoreResultsCodeR74" hidden="1">#REF!</definedName>
    <definedName name="IQRScoreResultsCodeR78" hidden="1">#REF!</definedName>
    <definedName name="IQRScoreResultsCodeR79" hidden="1">#REF!</definedName>
    <definedName name="IQRScoreResultsCodeR83" hidden="1">#REF!</definedName>
    <definedName name="IQRScoreResultsCodeR84" hidden="1">#REF!</definedName>
    <definedName name="IQRScoreResultsCodeR85" hidden="1">#REF!</definedName>
    <definedName name="IQRScoreResultsCodeR96" hidden="1">#REF!</definedName>
    <definedName name="IQRScoreResultsCodeS148" hidden="1">#REF!</definedName>
    <definedName name="IQRScoreResultsCodeS37" hidden="1">#REF!</definedName>
    <definedName name="IQRScoreResultsCodeS41" hidden="1">#REF!</definedName>
    <definedName name="IQRScoreResultsCodeS42" hidden="1">#REF!</definedName>
    <definedName name="IQRScoreResultsCodeS48" hidden="1">#REF!</definedName>
    <definedName name="IQRScoreResultsCodeS50" hidden="1">#REF!</definedName>
    <definedName name="IQRScoreResultsCodeS74" hidden="1">#REF!</definedName>
    <definedName name="IQRScoreResultsCodeS78" hidden="1">#REF!</definedName>
    <definedName name="IQRScoreResultsCodeS79" hidden="1">#REF!</definedName>
    <definedName name="IQRScoreResultsCodeS83" hidden="1">#REF!</definedName>
    <definedName name="IQRScoreResultsCodeS85" hidden="1">#REF!</definedName>
    <definedName name="IQRScoreResultsCodeS96" hidden="1">#REF!</definedName>
    <definedName name="IQRScoreResultsCodeT148" hidden="1">#REF!</definedName>
    <definedName name="IQRScoreResultsCodeT35" hidden="1">#REF!</definedName>
    <definedName name="IQRScoreResultsCodeT37" hidden="1">#REF!</definedName>
    <definedName name="IQRScoreResultsCodeT74" hidden="1">#REF!</definedName>
    <definedName name="IQRScoreResultsCodeT96" hidden="1">#REF!</definedName>
    <definedName name="IQRScoreResultsCodeU148" hidden="1">#REF!</definedName>
    <definedName name="IQRScoreResultsCodeU74" hidden="1">#REF!</definedName>
    <definedName name="IQRScoreResultsCodeW148" hidden="1">#REF!</definedName>
    <definedName name="IQRScoreResultsCodeW37" hidden="1">#REF!</definedName>
    <definedName name="IQRScoreResultsCodeW48" hidden="1">#REF!</definedName>
    <definedName name="IQRScoreResultsCodeW96" hidden="1">#REF!</definedName>
    <definedName name="IQRScoreResultsCodeY37" hidden="1">#REF!</definedName>
    <definedName name="IQRScoreResultsCodeY96" hidden="1">#REF!</definedName>
    <definedName name="IQRScoreResultsP113" hidden="1">#REF!</definedName>
    <definedName name="IQRScoreResultsP114" hidden="1">#REF!</definedName>
    <definedName name="IQRScoreResultsP117" hidden="1">#REF!</definedName>
    <definedName name="IQRScoreResultsP13" hidden="1">#REF!</definedName>
    <definedName name="IQRScoreResultsP25" hidden="1">#REF!</definedName>
    <definedName name="IQRScoreResultsP26" hidden="1">#REF!</definedName>
    <definedName name="IQRScoreResultsP27" hidden="1">#REF!</definedName>
    <definedName name="IQRScoreResultsP47" hidden="1">#REF!</definedName>
    <definedName name="IQRScoreResultsP48" hidden="1">#REF!</definedName>
    <definedName name="IQRScoreResultsP49" hidden="1">#REF!</definedName>
    <definedName name="IQRScoreResultsP64" hidden="1">#REF!</definedName>
    <definedName name="IQRScoreResultsP67" hidden="1">#REF!</definedName>
    <definedName name="IQRScoreResultsP87" hidden="1">#REF!</definedName>
    <definedName name="IQRScoreResultsQ13" hidden="1">#REF!</definedName>
    <definedName name="IQRScoreResultsQ25" hidden="1">#REF!</definedName>
    <definedName name="IQRScoreResultsQ26" hidden="1">#REF!</definedName>
    <definedName name="IQRScoreResultsQ27" hidden="1">#REF!</definedName>
    <definedName name="IQRScoreResultsQ5" hidden="1">#REF!</definedName>
    <definedName name="IQRScoreResultsQ6" hidden="1">#REF!</definedName>
    <definedName name="IQRScoreResultsQ67" hidden="1">#REF!</definedName>
    <definedName name="IQRScoreResultsQ7" hidden="1">#REF!</definedName>
    <definedName name="IQRScoreResultsQ8" hidden="1">#REF!</definedName>
    <definedName name="IQRScoreResultsQ87" hidden="1">#REF!</definedName>
    <definedName name="IQRScoreResultsQ9" hidden="1">#REF!</definedName>
    <definedName name="IQRScoreResultsR113" hidden="1">#REF!</definedName>
    <definedName name="IQRScoreResultsR114" hidden="1">#REF!</definedName>
    <definedName name="IQRScoreResultsR117" hidden="1">#REF!</definedName>
    <definedName name="IQRScoreResultsR13" hidden="1">#REF!</definedName>
    <definedName name="IQRScoreResultsR47" hidden="1">#REF!</definedName>
    <definedName name="IQRScoreResultsR48" hidden="1">#REF!</definedName>
    <definedName name="IQRScoreResultsR49" hidden="1">#REF!</definedName>
    <definedName name="IQRScoreResultsR5" hidden="1">#REF!</definedName>
    <definedName name="IQRScoreResultsR6" hidden="1">#REF!</definedName>
    <definedName name="IQRScoreResultsR67" hidden="1">#REF!</definedName>
    <definedName name="IQRScoreResultsR87" hidden="1">#REF!</definedName>
    <definedName name="IQRScoreResultsS47" hidden="1">#REF!</definedName>
    <definedName name="IQRScoreResultsS48" hidden="1">#REF!</definedName>
    <definedName name="IQRScoreResultsS49" hidden="1">#REF!</definedName>
    <definedName name="IQRScoreResultsT113" hidden="1">#REF!</definedName>
    <definedName name="IQRScoreResultsT114" hidden="1">#REF!</definedName>
    <definedName name="IQRScoreResultsT117" hidden="1">#REF!</definedName>
    <definedName name="IQRScoreResultsT48" hidden="1">#REF!</definedName>
    <definedName name="IQRScoreResultsT49" hidden="1">#REF!</definedName>
    <definedName name="IQRScoreResultsW113" hidden="1">#REF!</definedName>
    <definedName name="IQRScoreResultsW117" hidden="1">#REF!</definedName>
    <definedName name="IQRScoreResultsW13" hidden="1">#REF!</definedName>
    <definedName name="IQRScoreResultsW25" hidden="1">#REF!</definedName>
    <definedName name="IQRScoreResultsW26" hidden="1">#REF!</definedName>
    <definedName name="IQRScoreResultsW27" hidden="1">#REF!</definedName>
    <definedName name="IQRScoreResultsW47" hidden="1">#REF!</definedName>
    <definedName name="IQRScoreResultsW48" hidden="1">#REF!</definedName>
    <definedName name="IQRScoreResultsW49" hidden="1">#REF!</definedName>
    <definedName name="IQRScoreResultsW67" hidden="1">#REF!</definedName>
    <definedName name="IQRScoreResultsW87" hidden="1">#REF!</definedName>
    <definedName name="IQRScoreResultsX13" hidden="1">#REF!</definedName>
    <definedName name="IQRScoreResultsX25" hidden="1">#REF!</definedName>
    <definedName name="IQRScoreResultsX26" hidden="1">#REF!</definedName>
    <definedName name="IQRScoreResultsX27" hidden="1">#REF!</definedName>
    <definedName name="IQRScoreResultsX67" hidden="1">#REF!</definedName>
    <definedName name="IQRScoreResultsX87" hidden="1">#REF!</definedName>
    <definedName name="IQRScoreResultsY113" hidden="1">#REF!</definedName>
    <definedName name="IQRScoreResultsY117" hidden="1">#REF!</definedName>
    <definedName name="IQRScoreResultsY13" hidden="1">#REF!</definedName>
    <definedName name="IQRScoreResultsY47" hidden="1">#REF!</definedName>
    <definedName name="IQRScoreResultsY48" hidden="1">#REF!</definedName>
    <definedName name="IQRScoreResultsY49" hidden="1">#REF!</definedName>
    <definedName name="IQRScoreResultsY67" hidden="1">#REF!</definedName>
    <definedName name="IQRScoreResultsY87" hidden="1">#REF!</definedName>
    <definedName name="IQRScoreResultsZ47" hidden="1">#REF!</definedName>
    <definedName name="IQRScoreResultsZ48" hidden="1">#REF!</definedName>
    <definedName name="IQRScoreResultsZ49" hidden="1">#REF!</definedName>
    <definedName name="IQRScoreSetupCodeA4" hidden="1">#REF!</definedName>
    <definedName name="IQRScoreSetupCodeAA35" hidden="1">#REF!</definedName>
    <definedName name="IQRScoreSetupCodeAA4" hidden="1">#REF!</definedName>
    <definedName name="IQRScoreSetupCodeAB35" hidden="1">#REF!</definedName>
    <definedName name="IQRScoreSetupCodeAB4" hidden="1">#REF!</definedName>
    <definedName name="IQRScoreSetupCodeAC35" hidden="1">#REF!</definedName>
    <definedName name="IQRScoreSetupCodeAC4" hidden="1">#REF!</definedName>
    <definedName name="IQRScoreSetupCodeAD35" hidden="1">#REF!</definedName>
    <definedName name="IQRScoreSetupCodeAD4" hidden="1">#REF!</definedName>
    <definedName name="IQRScoreSetupCodeAE35" hidden="1">#REF!</definedName>
    <definedName name="IQRScoreSetupCodeAE4" hidden="1">#REF!</definedName>
    <definedName name="IQRScoreSetupCodeAF35" hidden="1">#REF!</definedName>
    <definedName name="IQRScoreSetupCodeAF4" hidden="1">#REF!</definedName>
    <definedName name="IQRScoreSetupCodeAG35" hidden="1">#REF!</definedName>
    <definedName name="IQRScoreSetupCodeAG4" hidden="1">#REF!</definedName>
    <definedName name="IQRScoreSetupCodeAH35" hidden="1">#REF!</definedName>
    <definedName name="IQRScoreSetupCodeAH36" hidden="1">#REF!</definedName>
    <definedName name="IQRScoreSetupCodeAH4" hidden="1">#REF!</definedName>
    <definedName name="IQRScoreSetupCodeAI35" hidden="1">#REF!</definedName>
    <definedName name="IQRScoreSetupCodeAI36" hidden="1">#REF!</definedName>
    <definedName name="IQRScoreSetupCodeAI4" hidden="1">#REF!</definedName>
    <definedName name="IQRScoreSetupCodeAJ35" hidden="1">#REF!</definedName>
    <definedName name="IQRScoreSetupCodeAJ36" hidden="1">#REF!</definedName>
    <definedName name="IQRScoreSetupCodeAJ4" hidden="1">#REF!</definedName>
    <definedName name="IQRScoreSetupCodeAK35" hidden="1">#REF!</definedName>
    <definedName name="IQRScoreSetupCodeAK36" hidden="1">#REF!</definedName>
    <definedName name="IQRScoreSetupCodeAK4" hidden="1">#REF!</definedName>
    <definedName name="IQRScoreSetupCodeAL35" hidden="1">#REF!</definedName>
    <definedName name="IQRScoreSetupCodeAL4" hidden="1">#REF!</definedName>
    <definedName name="IQRScoreSetupCodeAM35" hidden="1">#REF!</definedName>
    <definedName name="IQRScoreSetupCodeAM4" hidden="1">#REF!</definedName>
    <definedName name="IQRScoreSetupCodeAN35" hidden="1">#REF!</definedName>
    <definedName name="IQRScoreSetupCodeAN4" hidden="1">#REF!</definedName>
    <definedName name="IQRScoreSetupCodeAO35" hidden="1">#REF!</definedName>
    <definedName name="IQRScoreSetupCodeAO4" hidden="1">#REF!</definedName>
    <definedName name="IQRScoreSetupCodeAP35" hidden="1">#REF!</definedName>
    <definedName name="IQRScoreSetupCodeAP4" hidden="1">#REF!</definedName>
    <definedName name="IQRScoreSetupCodeAQ35" hidden="1">#REF!</definedName>
    <definedName name="IQRScoreSetupCodeAQ4" hidden="1">#REF!</definedName>
    <definedName name="IQRScoreSetupCodeAR35" hidden="1">#REF!</definedName>
    <definedName name="IQRScoreSetupCodeAR4" hidden="1">#REF!</definedName>
    <definedName name="IQRScoreSetupCodeAS35" hidden="1">#REF!</definedName>
    <definedName name="IQRScoreSetupCodeAS4" hidden="1">#REF!</definedName>
    <definedName name="IQRScoreSetupCodeAT35" hidden="1">#REF!</definedName>
    <definedName name="IQRScoreSetupCodeAT4" hidden="1">#REF!</definedName>
    <definedName name="IQRScoreSetupCodeAU35" hidden="1">#REF!</definedName>
    <definedName name="IQRScoreSetupCodeAU4" hidden="1">#REF!</definedName>
    <definedName name="IQRScoreSetupCodeAV35" hidden="1">#REF!</definedName>
    <definedName name="IQRScoreSetupCodeAV4" hidden="1">#REF!</definedName>
    <definedName name="IQRScoreSetupCodeAW35" hidden="1">#REF!</definedName>
    <definedName name="IQRScoreSetupCodeJ34" hidden="1">#REF!</definedName>
    <definedName name="IQRScoreSetupCodeL24" hidden="1">#REF!</definedName>
    <definedName name="IQRScoreSetupCodeL25" hidden="1">#REF!</definedName>
    <definedName name="IQRScoreSetupCodeL3" hidden="1">#REF!</definedName>
    <definedName name="IQRScoreSetupCodeL31" hidden="1">#REF!</definedName>
    <definedName name="IQRScoreSetupCodeL32" hidden="1">#REF!</definedName>
    <definedName name="IQRScoreSetupCodeL33" hidden="1">#REF!</definedName>
    <definedName name="IQRScoreSetupCodeL4" hidden="1">#REF!</definedName>
    <definedName name="IQRScoreSetupCodeM33" hidden="1">#REF!</definedName>
    <definedName name="IQRScoreSetupCodeM34" hidden="1">#REF!</definedName>
    <definedName name="IQRScoreSetupCodeM4" hidden="1">#REF!</definedName>
    <definedName name="IQRScoreSetupCodeN24" hidden="1">#REF!</definedName>
    <definedName name="IQRScoreSetupCodeN25" hidden="1">#REF!</definedName>
    <definedName name="IQRScoreSetupCodeN3" hidden="1">#REF!</definedName>
    <definedName name="IQRScoreSetupCodeN31" hidden="1">#REF!</definedName>
    <definedName name="IQRScoreSetupCodeN32" hidden="1">#REF!</definedName>
    <definedName name="IQRScoreSetupCodeN33" hidden="1">#REF!</definedName>
    <definedName name="IQRScoreSetupCodeN4" hidden="1">#REF!</definedName>
    <definedName name="IQRScoreSetupCodeP33" hidden="1">#REF!</definedName>
    <definedName name="IQRScoreSetupCodeP4" hidden="1">#REF!</definedName>
    <definedName name="IQRScoreSetupCodeQ33" hidden="1">#REF!</definedName>
    <definedName name="IQRScoreSetupCodeQ4" hidden="1">#REF!</definedName>
    <definedName name="IQRScoreSetupCodeR33" hidden="1">#REF!</definedName>
    <definedName name="IQRScoreSetupCodeR34" hidden="1">#REF!</definedName>
    <definedName name="IQRScoreSetupCodeR4" hidden="1">#REF!</definedName>
    <definedName name="IQRScoreSetupCodeS28" hidden="1">#REF!</definedName>
    <definedName name="IQRScoreSetupCodeU20" hidden="1">#REF!</definedName>
    <definedName name="IQRScoreSetupCodeU23" hidden="1">#REF!</definedName>
    <definedName name="IQRScoreSetupCodeU28" hidden="1">#REF!</definedName>
    <definedName name="IQRScoreSetupCodeU34" hidden="1">#REF!</definedName>
    <definedName name="IQRScoreSetupCodeU36" hidden="1">#REF!</definedName>
    <definedName name="IQRScoreSetupCodeU4" hidden="1">#REF!</definedName>
    <definedName name="IQRScoreSetupCodeU63" hidden="1">#REF!</definedName>
    <definedName name="IQRScoreSetupCodeV20" hidden="1">#REF!</definedName>
    <definedName name="IQRScoreSetupCodeV23" hidden="1">#REF!</definedName>
    <definedName name="IQRScoreSetupCodeV34" hidden="1">#REF!</definedName>
    <definedName name="IQRScoreSetupCodeV36" hidden="1">#REF!</definedName>
    <definedName name="IQRScoreSetupCodeV4" hidden="1">#REF!</definedName>
    <definedName name="IQRScoreSetupCodeV63" hidden="1">#REF!</definedName>
    <definedName name="IQRScoreSetupCodeW63" hidden="1">#REF!</definedName>
    <definedName name="IQRScoreSetupCodeX20" hidden="1">#REF!</definedName>
    <definedName name="IQRScoreSetupCodeX35" hidden="1">#REF!</definedName>
    <definedName name="IQRScoreSetupCodeX4" hidden="1">#REF!</definedName>
    <definedName name="IQRScoreSetupCodeY20" hidden="1">#REF!</definedName>
    <definedName name="IQRScoreSetupCodeY35" hidden="1">#REF!</definedName>
    <definedName name="IQRScoreSetupCodeY4" hidden="1">#REF!</definedName>
    <definedName name="IQRScoreSetupCodeZ35" hidden="1">#REF!</definedName>
    <definedName name="IQRScoreSetupCodeZ4" hidden="1">#REF!</definedName>
    <definedName name="IQRScoreSetupV25" hidden="1">#REF!</definedName>
    <definedName name="IQRScoreSetupV4" hidden="1">#REF!</definedName>
    <definedName name="IQRScoreSetupW25" hidden="1">#REF!</definedName>
    <definedName name="IQRScoreSetupW4" hidden="1">#REF!</definedName>
    <definedName name="IQRScoreSetupX25" hidden="1">#REF!</definedName>
    <definedName name="IQRScoreSetupX4" hidden="1">#REF!</definedName>
    <definedName name="IQRScoreSetupY25" hidden="1">#REF!</definedName>
    <definedName name="IQRScoreSetupY4" hidden="1">#REF!</definedName>
    <definedName name="IQRSectorHistorical2AS41" hidden="1">#REF!</definedName>
    <definedName name="IQRSectorHistorical2BN41" hidden="1">#REF!</definedName>
    <definedName name="IQRSectorHistoricalAS41" hidden="1">#REF!</definedName>
    <definedName name="IQRSectorHistoricalAT41" hidden="1">#REF!</definedName>
    <definedName name="IQRSectorHistoricalAX41" hidden="1">#REF!</definedName>
    <definedName name="IQRSectorHistoricalBN41" hidden="1">#REF!</definedName>
    <definedName name="IQRSectorHistoricalBS41" hidden="1">#REF!</definedName>
    <definedName name="IQRSheet10H12" hidden="1">#REF!</definedName>
    <definedName name="IQRSheet10N12" hidden="1">#REF!</definedName>
    <definedName name="IQRSheet1B10" hidden="1">#REF!</definedName>
    <definedName name="IQRSheet1B5" hidden="1">#REF!</definedName>
    <definedName name="IQRSheet1B8" hidden="1">#REF!</definedName>
    <definedName name="IQRSheet1B9" hidden="1">#REF!</definedName>
    <definedName name="IQRSheet1C10" hidden="1">#REF!</definedName>
    <definedName name="IQRSheet1E2646" hidden="1">#REF!</definedName>
    <definedName name="IQRSheet1H11" hidden="1">#REF!</definedName>
    <definedName name="IQRSheet1K13" hidden="1">#REF!</definedName>
    <definedName name="IQRSheet1L13" hidden="1">#REF!</definedName>
    <definedName name="IQRSheet1M13" hidden="1">#REF!</definedName>
    <definedName name="IQRSheet1N13" hidden="1">#REF!</definedName>
    <definedName name="IQRSheet1O13" hidden="1">#REF!</definedName>
    <definedName name="IQRSheet1P13" hidden="1">#REF!</definedName>
    <definedName name="IQRSheet1P15" hidden="1">#REF!</definedName>
    <definedName name="IQRSheet1Q15" hidden="1">#REF!</definedName>
    <definedName name="IQRSheet1R13" hidden="1">#REF!</definedName>
    <definedName name="IQRSheet1S13" hidden="1">#REF!</definedName>
    <definedName name="IQRSheet1T13" hidden="1">#REF!</definedName>
    <definedName name="IQRSheet2I11" hidden="1">#REF!</definedName>
    <definedName name="IQRSheet2I12" hidden="1">#REF!</definedName>
    <definedName name="IQRSheet2I13" hidden="1">#REF!</definedName>
    <definedName name="IQRSheet2J11" hidden="1">#REF!</definedName>
    <definedName name="IQRSheet2J12" hidden="1">#REF!</definedName>
    <definedName name="IQRSheet2J13" hidden="1">#REF!</definedName>
    <definedName name="IQRSheet3D1" hidden="1">#REF!</definedName>
    <definedName name="IQRSheet3D10" hidden="1">#REF!</definedName>
    <definedName name="IQRSheet3D11" hidden="1">#REF!</definedName>
    <definedName name="IQRSheet3D12" hidden="1">#REF!</definedName>
    <definedName name="IQRSheet3D13" hidden="1">#REF!</definedName>
    <definedName name="IQRSheet3D14" hidden="1">#REF!</definedName>
    <definedName name="IQRSheet3D15" hidden="1">#REF!</definedName>
    <definedName name="IQRSheet3D16" hidden="1">#REF!</definedName>
    <definedName name="IQRSheet3D17" hidden="1">#REF!</definedName>
    <definedName name="IQRSheet3D18" hidden="1">#REF!</definedName>
    <definedName name="IQRSheet3D19" hidden="1">#REF!</definedName>
    <definedName name="IQRSheet3D2" hidden="1">#REF!</definedName>
    <definedName name="IQRSheet3D20" hidden="1">#REF!</definedName>
    <definedName name="IQRSheet3D21" hidden="1">#REF!</definedName>
    <definedName name="IQRSheet3D24" hidden="1">#REF!</definedName>
    <definedName name="IQRSheet3D25" hidden="1">#REF!</definedName>
    <definedName name="IQRSheet3D26" hidden="1">#REF!</definedName>
    <definedName name="IQRSheet3D28" hidden="1">#REF!</definedName>
    <definedName name="IQRSheet3D29" hidden="1">#REF!</definedName>
    <definedName name="IQRSheet3D3" hidden="1">#REF!</definedName>
    <definedName name="IQRSheet3D30" hidden="1">#REF!</definedName>
    <definedName name="IQRSheet3D31" hidden="1">#REF!</definedName>
    <definedName name="IQRSheet3D32" hidden="1">#REF!</definedName>
    <definedName name="IQRSheet3D33" hidden="1">#REF!</definedName>
    <definedName name="IQRSheet3D34" hidden="1">#REF!</definedName>
    <definedName name="IQRSheet3D35" hidden="1">#REF!</definedName>
    <definedName name="IQRSheet3D36" hidden="1">#REF!</definedName>
    <definedName name="IQRSheet3D37" hidden="1">#REF!</definedName>
    <definedName name="IQRSheet3D38" hidden="1">#REF!</definedName>
    <definedName name="IQRSheet3D39" hidden="1">#REF!</definedName>
    <definedName name="IQRSheet3D4" hidden="1">#REF!</definedName>
    <definedName name="IQRSheet3D40" hidden="1">#REF!</definedName>
    <definedName name="IQRSheet3D41" hidden="1">#REF!</definedName>
    <definedName name="IQRSheet3D42" hidden="1">#REF!</definedName>
    <definedName name="IQRSheet3D43" hidden="1">#REF!</definedName>
    <definedName name="IQRSheet3D44" hidden="1">#REF!</definedName>
    <definedName name="IQRSheet3D45" hidden="1">#REF!</definedName>
    <definedName name="IQRSheet3D46" hidden="1">#REF!</definedName>
    <definedName name="IQRSheet3D47" hidden="1">#REF!</definedName>
    <definedName name="IQRSheet3D48" hidden="1">#REF!</definedName>
    <definedName name="IQRSheet3D5" hidden="1">#REF!</definedName>
    <definedName name="IQRSheet3D6" hidden="1">#REF!</definedName>
    <definedName name="IQRSheet3D7" hidden="1">#REF!</definedName>
    <definedName name="IQRSheet3D8" hidden="1">#REF!</definedName>
    <definedName name="IQRSheet3D9" hidden="1">#REF!</definedName>
    <definedName name="IQRSheet4G10" hidden="1">#REF!</definedName>
    <definedName name="IQRSheet4G8" hidden="1">#REF!</definedName>
    <definedName name="IQRSheet4G9" hidden="1">#REF!</definedName>
    <definedName name="IQRSheet4H10" hidden="1">#REF!</definedName>
    <definedName name="IQRSheet4H8" hidden="1">#REF!</definedName>
    <definedName name="IQRSheet4H9" hidden="1">#REF!</definedName>
    <definedName name="IQRSheet4J10" hidden="1">#REF!</definedName>
    <definedName name="IQRSheet4J8" hidden="1">#REF!</definedName>
    <definedName name="IQRSheet4J9" hidden="1">#REF!</definedName>
    <definedName name="IQRSheet6BF9" hidden="1">#REF!</definedName>
    <definedName name="IQRSheet6BN9" hidden="1">#REF!</definedName>
    <definedName name="IQRSHPGH20" hidden="1">#REF!</definedName>
    <definedName name="IQRSingleScore2AH5" hidden="1">#REF!</definedName>
    <definedName name="IQRSingleScore2P15" hidden="1">#REF!</definedName>
    <definedName name="IQRSingleScore2P37" hidden="1">#REF!</definedName>
    <definedName name="IQRSingleScore2Q15" hidden="1">#REF!</definedName>
    <definedName name="IQRSingleScore2R37" hidden="1">#REF!</definedName>
    <definedName name="IQRSingleScore2S37" hidden="1">#REF!</definedName>
    <definedName name="IQRSingleScore2U37" hidden="1">#REF!</definedName>
    <definedName name="IQRSingleScore2V15" hidden="1">#REF!</definedName>
    <definedName name="IQRSingleScore2V5" hidden="1">#REF!</definedName>
    <definedName name="IQRSingleScore2X15" hidden="1">#REF!</definedName>
    <definedName name="IQRSingleScore2Z15" hidden="1">#REF!</definedName>
    <definedName name="IQRSingleScoreAB15" hidden="1">#REF!</definedName>
    <definedName name="IQRSingleScoreAC15" hidden="1">#REF!</definedName>
    <definedName name="IQRSingleScoreAC5" hidden="1">#REF!</definedName>
    <definedName name="IQRSingleScoreAD15" hidden="1">#REF!</definedName>
    <definedName name="IQRSingleScoreAD37" hidden="1">#REF!</definedName>
    <definedName name="IQRSingleScoreAD5" hidden="1">#REF!</definedName>
    <definedName name="IQRSingleScoreAE37" hidden="1">#REF!</definedName>
    <definedName name="IQRSingleScoreAF37" hidden="1">#REF!</definedName>
    <definedName name="IQRSingleScoreAG15" hidden="1">#REF!</definedName>
    <definedName name="IQRSingleScoreAG5" hidden="1">#REF!</definedName>
    <definedName name="IQRSingleScoreAH15" hidden="1">#REF!</definedName>
    <definedName name="IQRSingleScoreAH4" hidden="1">#REF!</definedName>
    <definedName name="IQRSingleScoreAH5" hidden="1">#REF!</definedName>
    <definedName name="IQRSingleScoreAI2003" hidden="1">#REF!</definedName>
    <definedName name="IQRSingleScoreAI4" hidden="1">#REF!</definedName>
    <definedName name="IQRSingleScoreAL16" hidden="1">#REF!</definedName>
    <definedName name="IQRSingleScoreAL5" hidden="1">#REF!</definedName>
    <definedName name="IQRSingleScoreAL7" hidden="1">#REF!</definedName>
    <definedName name="IQRSingleScoreAO5" hidden="1">#REF!</definedName>
    <definedName name="IQRSingleScoreAP5" hidden="1">#REF!</definedName>
    <definedName name="IQRSingleScoreAS5" hidden="1">#REF!</definedName>
    <definedName name="IQRSingleScoreH10" hidden="1">#REF!</definedName>
    <definedName name="IQRSingleScoreH11" hidden="1">#REF!</definedName>
    <definedName name="IQRSingleScoreH5" hidden="1">#REF!</definedName>
    <definedName name="IQRSingleScoreH8" hidden="1">#REF!</definedName>
    <definedName name="IQRSingleScoreH9" hidden="1">#REF!</definedName>
    <definedName name="IQRSingleScoreI5" hidden="1">#REF!</definedName>
    <definedName name="IQRSingleScoreJ11" hidden="1">#REF!</definedName>
    <definedName name="IQRSingleScoreJ12" hidden="1">#REF!</definedName>
    <definedName name="IQRSingleScoreJ5" hidden="1">#REF!</definedName>
    <definedName name="IQRSingleScoreK12" hidden="1">#REF!</definedName>
    <definedName name="IQRSingleScoreK5" hidden="1">#REF!</definedName>
    <definedName name="IQRSingleScoreL12" hidden="1">#REF!</definedName>
    <definedName name="IQRSingleScoreL13" hidden="1">#REF!</definedName>
    <definedName name="IQRSingleScoreL14" hidden="1">#REF!</definedName>
    <definedName name="IQRSingleScoreL15" hidden="1">#REF!</definedName>
    <definedName name="IQRSingleScoreL35" hidden="1">#REF!</definedName>
    <definedName name="IQRSingleScoreL36" hidden="1">#REF!</definedName>
    <definedName name="IQRSingleScoreL37" hidden="1">#REF!</definedName>
    <definedName name="IQRSingleScoreL38" hidden="1">#REF!</definedName>
    <definedName name="IQRSingleScoreL5" hidden="1">#REF!</definedName>
    <definedName name="IQRSingleScoreL6" hidden="1">#REF!</definedName>
    <definedName name="IQRSingleScoreM11" hidden="1">#REF!</definedName>
    <definedName name="IQRSingleScoreM12" hidden="1">#REF!</definedName>
    <definedName name="IQRSingleScoreM37" hidden="1">#REF!</definedName>
    <definedName name="IQRSingleScoreN11" hidden="1">#REF!</definedName>
    <definedName name="IQRSingleScoreN12" hidden="1">#REF!</definedName>
    <definedName name="IQRSingleScoreN37" hidden="1">#REF!</definedName>
    <definedName name="IQRSingleScoreO11" hidden="1">#REF!</definedName>
    <definedName name="IQRSingleScoreO12" hidden="1">#REF!</definedName>
    <definedName name="IQRSingleScoreO13" hidden="1">#REF!</definedName>
    <definedName name="IQRSingleScoreO14" hidden="1">#REF!</definedName>
    <definedName name="IQRSingleScoreO15" hidden="1">#REF!</definedName>
    <definedName name="IQRSingleScoreO37" hidden="1">#REF!</definedName>
    <definedName name="IQRSingleScoreP12" hidden="1">#REF!</definedName>
    <definedName name="IQRSingleScoreP13" hidden="1">#REF!</definedName>
    <definedName name="IQRSingleScoreP14" hidden="1">#REF!</definedName>
    <definedName name="IQRSingleScoreP15" hidden="1">#REF!</definedName>
    <definedName name="IQRSingleScoreP37" hidden="1">#REF!</definedName>
    <definedName name="IQRSingleScoreQ15" hidden="1">#REF!</definedName>
    <definedName name="IQRSingleScoreQ37" hidden="1">#REF!</definedName>
    <definedName name="IQRSingleScoreR37" hidden="1">#REF!</definedName>
    <definedName name="IQRSingleScoreS37" hidden="1">#REF!</definedName>
    <definedName name="IQRSingleScoreT37" hidden="1">#REF!</definedName>
    <definedName name="IQRSingleScoreU13" hidden="1">#REF!</definedName>
    <definedName name="IQRSingleScoreU14" hidden="1">#REF!</definedName>
    <definedName name="IQRSingleScoreU15" hidden="1">#REF!</definedName>
    <definedName name="IQRSingleScoreU37" hidden="1">#REF!</definedName>
    <definedName name="IQRSingleScoreU5" hidden="1">#REF!</definedName>
    <definedName name="IQRSingleScoreV15" hidden="1">#REF!</definedName>
    <definedName name="IQRSingleScoreV5" hidden="1">#REF!</definedName>
    <definedName name="IQRSingleScoreW13" hidden="1">#REF!</definedName>
    <definedName name="IQRSingleScoreW14" hidden="1">#REF!</definedName>
    <definedName name="IQRSingleScoreW15" hidden="1">#REF!</definedName>
    <definedName name="IQRSingleScoreX13" hidden="1">#REF!</definedName>
    <definedName name="IQRSingleScoreX14" hidden="1">#REF!</definedName>
    <definedName name="IQRSingleScoreX15" hidden="1">#REF!</definedName>
    <definedName name="IQRSingleScoreY15" hidden="1">#REF!</definedName>
    <definedName name="IQRSingleScoreZ15" hidden="1">#REF!</definedName>
    <definedName name="IQRSingleScoreZ37" hidden="1">#REF!</definedName>
    <definedName name="IQRSummaryTransparencyAZ77" hidden="1">#REF!</definedName>
    <definedName name="IQRSummaryTransparencyBC77" hidden="1">#REF!</definedName>
    <definedName name="IQRSummaryTransparencyBD77" hidden="1">#REF!</definedName>
    <definedName name="IQRSummaryTransparencyBE77" hidden="1">#REF!</definedName>
    <definedName name="IQRSummaryTransparencyBF77" hidden="1">#REF!</definedName>
    <definedName name="IQRSummaryTransparencyCR77" hidden="1">#REF!</definedName>
    <definedName name="IQRSummaryTransparencyCS77" hidden="1">#REF!</definedName>
    <definedName name="IQRSummaryTransparencyDH77" hidden="1">#REF!</definedName>
    <definedName name="IQRSummaryTransparencyDI77" hidden="1">#REF!</definedName>
    <definedName name="IQRSummaryTransparencyDJ77" hidden="1">#REF!</definedName>
    <definedName name="IQRSummaryTransparencyDK77" hidden="1">#REF!</definedName>
    <definedName name="IQRSummaryTransparencyDL77" hidden="1">#REF!</definedName>
    <definedName name="IQRSummaryTransparencyDM77" hidden="1">#REF!</definedName>
    <definedName name="IQRSummaryTransparencyDN77" hidden="1">#REF!</definedName>
    <definedName name="IQRSummaryTransparencyDO77" hidden="1">#REF!</definedName>
    <definedName name="IQRSummaryTransparencyDP77" hidden="1">#REF!</definedName>
    <definedName name="IQRSummaryTransparencyDQ77" hidden="1">#REF!</definedName>
    <definedName name="IQRSummaryTransparencyDR77" hidden="1">#REF!</definedName>
    <definedName name="IQRSummaryTransparencyDS77" hidden="1">#REF!</definedName>
    <definedName name="IQRSummaryTransparencyDT77" hidden="1">#REF!</definedName>
    <definedName name="IQRSummaryTransparencyDU77" hidden="1">#REF!</definedName>
    <definedName name="IQRSummaryTransparencyDV77" hidden="1">#REF!</definedName>
    <definedName name="IQRSummaryTransparencyDW77" hidden="1">#REF!</definedName>
    <definedName name="IQRSummaryTransparencyDX77" hidden="1">#REF!</definedName>
    <definedName name="IQRSummaryTransparencyDY77" hidden="1">#REF!</definedName>
    <definedName name="IQRSummaryTransparencyDZ77" hidden="1">#REF!</definedName>
    <definedName name="IQRSummaryTransparencyEA77" hidden="1">#REF!</definedName>
    <definedName name="IQRSummaryTransparencyEB77" hidden="1">#REF!</definedName>
    <definedName name="IQRSummaryTransparencyEC77" hidden="1">#REF!</definedName>
    <definedName name="IQRSummaryTransparencyED77" hidden="1">#REF!</definedName>
    <definedName name="IQRSummaryTransparencyEE77" hidden="1">#REF!</definedName>
    <definedName name="IQRSummaryTransparencyEF77" hidden="1">#REF!</definedName>
    <definedName name="IQRSummaryTransparencyEG77" hidden="1">#REF!</definedName>
    <definedName name="IQRSummaryTransparencyEH77" hidden="1">#REF!</definedName>
    <definedName name="IQRSummaryTransparencyEI77" hidden="1">#REF!</definedName>
    <definedName name="IQRSummaryTransparencyEJ77" hidden="1">#REF!</definedName>
    <definedName name="IQRSummaryTransparencyEK77" hidden="1">#REF!</definedName>
    <definedName name="IQRSummaryTransparencyEL77" hidden="1">#REF!</definedName>
    <definedName name="IQRSummaryTransparencyEM77" hidden="1">#REF!</definedName>
    <definedName name="IQRSummaryTransparencyEN77" hidden="1">#REF!</definedName>
    <definedName name="IQRSummaryTransparencyEO77" hidden="1">#REF!</definedName>
    <definedName name="IQRSummaryTransparencyEP77" hidden="1">#REF!</definedName>
    <definedName name="IQRSummaryTransparencyEQ77" hidden="1">#REF!</definedName>
    <definedName name="IQRSummaryTransparencyER77" hidden="1">#REF!</definedName>
    <definedName name="IQRSummaryTransparencyES77" hidden="1">#REF!</definedName>
    <definedName name="IQRSummaryTransparencyET77" hidden="1">#REF!</definedName>
    <definedName name="IQRSummaryTransparencyEU77" hidden="1">#REF!</definedName>
    <definedName name="IQRSummaryTransparencyEV77" hidden="1">#REF!</definedName>
    <definedName name="IQRSummaryTransparencyEW77" hidden="1">#REF!</definedName>
    <definedName name="IQRSummaryTransparencyEX77" hidden="1">#REF!</definedName>
    <definedName name="IQRSummaryTransparencyEY77" hidden="1">#REF!</definedName>
    <definedName name="IQRSummaryTransparencyEZ77" hidden="1">#REF!</definedName>
    <definedName name="IQRSummaryTransparencyFA77" hidden="1">#REF!</definedName>
    <definedName name="IQRSummaryTransparencyFB77" hidden="1">#REF!</definedName>
    <definedName name="IQRSummaryTransparencyFC77" hidden="1">#REF!</definedName>
    <definedName name="IQRSummaryTransparencyFD77" hidden="1">#REF!</definedName>
    <definedName name="IQRSummaryTransparencyFE77" hidden="1">#REF!</definedName>
    <definedName name="IQRSummaryTransparencyFF77" hidden="1">#REF!</definedName>
    <definedName name="IQRT1" hidden="1">"$T$2:$T$23"</definedName>
    <definedName name="IQRT10" hidden="1">"$T$11:$T$81"</definedName>
    <definedName name="IQRT13" hidden="1">"$T$14:$T$84"</definedName>
    <definedName name="IQRT14" hidden="1">"$T$15"</definedName>
    <definedName name="IQRT21" hidden="1">"$T$22"</definedName>
    <definedName name="IQRT23" hidden="1">"$T$24:$T$43"</definedName>
    <definedName name="IQRT24" hidden="1">"$T$25"</definedName>
    <definedName name="IQRT3" hidden="1">"$T$4:$T$253"</definedName>
    <definedName name="IQRT39" hidden="1">"$T$40:$T$56"</definedName>
    <definedName name="IQRT57" hidden="1">"$T$58:$T$127"</definedName>
    <definedName name="IQRT7" hidden="1">"$T$8"</definedName>
    <definedName name="IQRT8" hidden="1">#REF!</definedName>
    <definedName name="IQRT81" hidden="1">"$T$82"</definedName>
    <definedName name="IQRTabelle16AB8" hidden="1">#REF!</definedName>
    <definedName name="IQRTabelle16AF8" hidden="1">#REF!</definedName>
    <definedName name="IQRTabelle16AJ8" hidden="1">#REF!</definedName>
    <definedName name="IQRTabelle16AN8" hidden="1">#REF!</definedName>
    <definedName name="IQRTabelle16AR8" hidden="1">#REF!</definedName>
    <definedName name="IQRTabelle16AV8" hidden="1">#REF!</definedName>
    <definedName name="IQRTabelle16B50" hidden="1">#REF!</definedName>
    <definedName name="IQRTabelle16C50" hidden="1">#REF!</definedName>
    <definedName name="IQRTabelle16D8" hidden="1">#REF!</definedName>
    <definedName name="IQRTabelle16H8" hidden="1">#REF!</definedName>
    <definedName name="IQRTabelle16L8" hidden="1">#REF!</definedName>
    <definedName name="IQRTabelle16P8" hidden="1">#REF!</definedName>
    <definedName name="IQRTabelle16T8" hidden="1">#REF!</definedName>
    <definedName name="IQRTabelle16X8" hidden="1">#REF!</definedName>
    <definedName name="IQRTabelle17AB8" hidden="1">#REF!</definedName>
    <definedName name="IQRTabelle17AF8" hidden="1">#REF!</definedName>
    <definedName name="IQRTabelle17AJ8" hidden="1">#REF!</definedName>
    <definedName name="IQRTabelle17AN8" hidden="1">#REF!</definedName>
    <definedName name="IQRTabelle17AR8" hidden="1">#REF!</definedName>
    <definedName name="IQRTabelle17AV8" hidden="1">#REF!</definedName>
    <definedName name="IQRTabelle17B50" hidden="1">#REF!</definedName>
    <definedName name="IQRTabelle17C50" hidden="1">#REF!</definedName>
    <definedName name="IQRTabelle17D8" hidden="1">#REF!</definedName>
    <definedName name="IQRTabelle17H8" hidden="1">#REF!</definedName>
    <definedName name="IQRTabelle17L8" hidden="1">#REF!</definedName>
    <definedName name="IQRTabelle17P8" hidden="1">#REF!</definedName>
    <definedName name="IQRTabelle17T8" hidden="1">#REF!</definedName>
    <definedName name="IQRTabelle17X8" hidden="1">#REF!</definedName>
    <definedName name="IQRTabelle5C3" hidden="1">#REF!</definedName>
    <definedName name="IQRTabelle5D3" hidden="1">#REF!</definedName>
    <definedName name="IQRTabelle8C42" hidden="1">#REF!</definedName>
    <definedName name="IQRTabelle8M4" hidden="1">#REF!</definedName>
    <definedName name="IQRTabelle8P4" hidden="1">#REF!</definedName>
    <definedName name="IQRTabelle8R4" hidden="1">#REF!</definedName>
    <definedName name="IQRTD2AZ77" hidden="1">#REF!</definedName>
    <definedName name="IQRTD2BC77" hidden="1">#REF!</definedName>
    <definedName name="IQRTD2BD77" hidden="1">#REF!</definedName>
    <definedName name="IQRTD2BE77" hidden="1">#REF!</definedName>
    <definedName name="IQRTD2BF77" hidden="1">#REF!</definedName>
    <definedName name="IQRTDAT75" hidden="1">#REF!</definedName>
    <definedName name="IQRTDAT76" hidden="1">#REF!</definedName>
    <definedName name="IQRTDAT77" hidden="1">#REF!</definedName>
    <definedName name="IQRTDAW75" hidden="1">#REF!</definedName>
    <definedName name="IQRTDAW76" hidden="1">#REF!</definedName>
    <definedName name="IQRTDAW77" hidden="1">#REF!</definedName>
    <definedName name="IQRTDAW78" hidden="1">#REF!</definedName>
    <definedName name="IQRTDAW79" hidden="1">#REF!</definedName>
    <definedName name="IQRTDAW80" hidden="1">#REF!</definedName>
    <definedName name="IQRTDAX75" hidden="1">#REF!</definedName>
    <definedName name="IQRTDAX76" hidden="1">#REF!</definedName>
    <definedName name="IQRTDAX77" hidden="1">#REF!</definedName>
    <definedName name="IQRTDAX78" hidden="1">#REF!</definedName>
    <definedName name="IQRTDAX79" hidden="1">#REF!</definedName>
    <definedName name="IQRTDAX80" hidden="1">#REF!</definedName>
    <definedName name="IQRTDAY75" hidden="1">#REF!</definedName>
    <definedName name="IQRTDAY76" hidden="1">#REF!</definedName>
    <definedName name="IQRTDAY77" hidden="1">#REF!</definedName>
    <definedName name="IQRTDAY78" hidden="1">#REF!</definedName>
    <definedName name="IQRTDAY79" hidden="1">#REF!</definedName>
    <definedName name="IQRTDAY80" hidden="1">#REF!</definedName>
    <definedName name="IQRTDAZ75" hidden="1">#REF!</definedName>
    <definedName name="IQRTDAZ76" hidden="1">#REF!</definedName>
    <definedName name="IQRTDAZ77" hidden="1">#REF!</definedName>
    <definedName name="IQRTDAZ78" hidden="1">#REF!</definedName>
    <definedName name="IQRTDAZ79" hidden="1">#REF!</definedName>
    <definedName name="IQRTDAZ80" hidden="1">#REF!</definedName>
    <definedName name="IQRTDBA75" hidden="1">#REF!</definedName>
    <definedName name="IQRTDBA77" hidden="1">#REF!</definedName>
    <definedName name="IQRTDBB77" hidden="1">#REF!</definedName>
    <definedName name="IQRTDBC77" hidden="1">#REF!</definedName>
    <definedName name="IQRTDBD77" hidden="1">#REF!</definedName>
    <definedName name="IQRTDBE77" hidden="1">#REF!</definedName>
    <definedName name="IQRTDBF77" hidden="1">#REF!</definedName>
    <definedName name="IQRTDCR77" hidden="1">#REF!</definedName>
    <definedName name="IQRTDCS77" hidden="1">#REF!</definedName>
    <definedName name="IQRTearsheetAG15" hidden="1">#REF!</definedName>
    <definedName name="IQRTearsheetAH15" hidden="1">#REF!</definedName>
    <definedName name="IQRTearsheetAI15" hidden="1">#REF!</definedName>
    <definedName name="IQRTreasurymethod2AB24" hidden="1">#REF!</definedName>
    <definedName name="IQRTreasurymethod2AB7" hidden="1">#REF!</definedName>
    <definedName name="IQRTreasurymethod2AC24" hidden="1">#REF!</definedName>
    <definedName name="IQRTreasurymethod2AC7" hidden="1">#REF!</definedName>
    <definedName name="IQRTreasurymethodAB24" hidden="1">#REF!</definedName>
    <definedName name="IQRTreasurymethodAB7" hidden="1">#REF!</definedName>
    <definedName name="IQRTreasurymethodAC24" hidden="1">#REF!</definedName>
    <definedName name="IQRTreasurymethodAC7" hidden="1">#REF!</definedName>
    <definedName name="IQRTreasurymethodAD23" hidden="1">#REF!</definedName>
    <definedName name="IQRTreasurymethodAD24" hidden="1">#REF!</definedName>
    <definedName name="IQRTreasurymethodAD6" hidden="1">#REF!</definedName>
    <definedName name="IQRTreasurymethodAD7" hidden="1">#REF!</definedName>
    <definedName name="IQRTreasurymethodAE23" hidden="1">#REF!</definedName>
    <definedName name="IQRTreasurymethodAE24" hidden="1">#REF!</definedName>
    <definedName name="IQRTreasurymethodAE6" hidden="1">#REF!</definedName>
    <definedName name="IQRTreasurymethodAE7" hidden="1">#REF!</definedName>
    <definedName name="IQRTreasurymethodOptionsAC24" hidden="1">#REF!</definedName>
    <definedName name="IQRTreasurymethodOptionsAC7" hidden="1">#REF!</definedName>
    <definedName name="IQRU11" hidden="1">"$U$12:$U$264"</definedName>
    <definedName name="IQRU21" hidden="1">"$U$22"</definedName>
    <definedName name="IQRU24" hidden="1">"$U$25:$U$29"</definedName>
    <definedName name="IQRU28" hidden="1">"$U$29:$U$48"</definedName>
    <definedName name="IQRU3" hidden="1">"$U$4:$U$253"</definedName>
    <definedName name="IQRU36" hidden="1">"$U$37:$U$290"</definedName>
    <definedName name="IQRU39" hidden="1">"$U$40:$U$291"</definedName>
    <definedName name="IQRU40" hidden="1">"$U$41:$U$286"</definedName>
    <definedName name="IQRU5" hidden="1">"$U$6:$U$512"</definedName>
    <definedName name="IQRU7" hidden="1">"$U$8:$U$12"</definedName>
    <definedName name="IQRU81" hidden="1">"$U$82"</definedName>
    <definedName name="IQRUploadCAOnlyFinancialsR15" hidden="1">#REF!</definedName>
    <definedName name="IQRUploadCAOnlyFinancialsR16" hidden="1">#REF!</definedName>
    <definedName name="IQRUploadCAOnlyFinancialsR17" hidden="1">#REF!</definedName>
    <definedName name="IQRUploadCAOnlyFinancialsR5" hidden="1">#REF!</definedName>
    <definedName name="IQRUploadCAOnlyFinancialsS15" hidden="1">#REF!</definedName>
    <definedName name="IQRUploadCAOnlyFinancialsS16" hidden="1">#REF!</definedName>
    <definedName name="IQRUploadCAOnlyFinancialsS17" hidden="1">#REF!</definedName>
    <definedName name="IQRUploadCAOnlyFinancialsY15" hidden="1">#REF!</definedName>
    <definedName name="IQRUploadCAOnlyFinancialsY16" hidden="1">#REF!</definedName>
    <definedName name="IQRUploadCAOnlyFinancialsY17" hidden="1">#REF!</definedName>
    <definedName name="IQRUploadCAOnlyFinancialsY5" hidden="1">#REF!</definedName>
    <definedName name="IQRUploadCAOnlyFinancialsZ15" hidden="1">#REF!</definedName>
    <definedName name="IQRUploadCAOnlyFinancialsZ16" hidden="1">#REF!</definedName>
    <definedName name="IQRUploadCAOnlyFinancialsZ17" hidden="1">#REF!</definedName>
    <definedName name="IQRUploadSummaryFinancialsAA15" hidden="1">#REF!</definedName>
    <definedName name="IQRUploadSummaryFinancialsAA53" hidden="1">#REF!</definedName>
    <definedName name="IQRUploadSummaryFinancialsAA71" hidden="1">#REF!</definedName>
    <definedName name="IQRUploadSummaryFinancialsAH5" hidden="1">#REF!</definedName>
    <definedName name="IQRUploadSummaryFinancialsP15" hidden="1">#REF!</definedName>
    <definedName name="IQRUploadSummaryFinancialsP37" hidden="1">#REF!</definedName>
    <definedName name="IQRUploadSummaryFinancialsQ15" hidden="1">#REF!</definedName>
    <definedName name="IQRUploadSummaryFinancialsR15" hidden="1">#REF!</definedName>
    <definedName name="IQRUploadSummaryFinancialsR16" hidden="1">#REF!</definedName>
    <definedName name="IQRUploadSummaryFinancialsR31" hidden="1">#REF!</definedName>
    <definedName name="IQRUploadSummaryFinancialsR37" hidden="1">#REF!</definedName>
    <definedName name="IQRUploadSummaryFinancialsR38" hidden="1">#REF!</definedName>
    <definedName name="IQRUploadSummaryFinancialsR5" hidden="1">#REF!</definedName>
    <definedName name="IQRUploadSummaryFinancialsR53" hidden="1">#REF!</definedName>
    <definedName name="IQRUploadSummaryFinancialsR56" hidden="1">#REF!</definedName>
    <definedName name="IQRUploadSummaryFinancialsR71" hidden="1">#REF!</definedName>
    <definedName name="IQRUploadSummaryFinancialsS15" hidden="1">#REF!</definedName>
    <definedName name="IQRUploadSummaryFinancialsS16" hidden="1">#REF!</definedName>
    <definedName name="IQRUploadSummaryFinancialsS31" hidden="1">#REF!</definedName>
    <definedName name="IQRUploadSummaryFinancialsS37" hidden="1">#REF!</definedName>
    <definedName name="IQRUploadSummaryFinancialsT15" hidden="1">#REF!</definedName>
    <definedName name="IQRUploadSummaryFinancialsT53" hidden="1">#REF!</definedName>
    <definedName name="IQRUploadSummaryFinancialsT71" hidden="1">#REF!</definedName>
    <definedName name="IQRUploadSummaryFinancialsU37" hidden="1">#REF!</definedName>
    <definedName name="IQRUploadSummaryFinancialsV15" hidden="1">#REF!</definedName>
    <definedName name="IQRUploadSummaryFinancialsV5" hidden="1">#REF!</definedName>
    <definedName name="IQRUploadSummaryFinancialsX15" hidden="1">#REF!</definedName>
    <definedName name="IQRUploadSummaryFinancialsY15" hidden="1">#REF!</definedName>
    <definedName name="IQRUploadSummaryFinancialsY16" hidden="1">#REF!</definedName>
    <definedName name="IQRUploadSummaryFinancialsY31" hidden="1">#REF!</definedName>
    <definedName name="IQRUploadSummaryFinancialsY38" hidden="1">#REF!</definedName>
    <definedName name="IQRUploadSummaryFinancialsY5" hidden="1">#REF!</definedName>
    <definedName name="IQRUploadSummaryFinancialsY53" hidden="1">#REF!</definedName>
    <definedName name="IQRUploadSummaryFinancialsY56" hidden="1">#REF!</definedName>
    <definedName name="IQRUploadSummaryFinancialsY71" hidden="1">#REF!</definedName>
    <definedName name="IQRUploadSummaryFinancialsZ15" hidden="1">#REF!</definedName>
    <definedName name="IQRUploadSummaryFinancialsZ16" hidden="1">#REF!</definedName>
    <definedName name="IQRUploadSummaryFinancialsZ31" hidden="1">#REF!</definedName>
    <definedName name="IQRV11" hidden="1">"$V$12:$V$264"</definedName>
    <definedName name="IQRV125" hidden="1">"$V$126:$V$375"</definedName>
    <definedName name="IQRV126" hidden="1">"$V$127:$V$376"</definedName>
    <definedName name="IQRV127" hidden="1">"$V$128:$V$377"</definedName>
    <definedName name="IQRV128" hidden="1">"$V$129:$V$378"</definedName>
    <definedName name="IQRV129" hidden="1">"$V$130:$V$379"</definedName>
    <definedName name="IQRV20" hidden="1">"$V$21:$V$23"</definedName>
    <definedName name="IQRV24" hidden="1">"$V$25:$V$28"</definedName>
    <definedName name="IQRV28" hidden="1">"$V$29:$V$48"</definedName>
    <definedName name="IQRV3" hidden="1">"$V$4:$V$253"</definedName>
    <definedName name="IQRV39" hidden="1">"$V$40:$V$292"</definedName>
    <definedName name="IQRV4" hidden="1">"$V$5:$V$254"</definedName>
    <definedName name="IQRV40" hidden="1">"$V$41:$V$286"</definedName>
    <definedName name="IQRV5" hidden="1">"$V$6:$V$255"</definedName>
    <definedName name="IQRV6" hidden="1">"$V$7:$V$256"</definedName>
    <definedName name="IQRV7" hidden="1">"$V$8:$V$11"</definedName>
    <definedName name="IQRV81" hidden="1">"$V$82"</definedName>
    <definedName name="IQRV97" hidden="1">"$V$98:$V$347"</definedName>
    <definedName name="IQRValuationA53" hidden="1">#REF!</definedName>
    <definedName name="IQRW23" hidden="1">"$W$24:$W$275"</definedName>
    <definedName name="IQRW24" hidden="1">"$W$25:$W$26"</definedName>
    <definedName name="IQRW28" hidden="1">"$W$29:$W$48"</definedName>
    <definedName name="IQRW3" hidden="1">"$W$4:$W$253"</definedName>
    <definedName name="IQRW4" hidden="1">"$W$5:$W$254"</definedName>
    <definedName name="IQRW5" hidden="1">"$W$6:$W$393"</definedName>
    <definedName name="IQRW6" hidden="1">"$W$7:$W$256"</definedName>
    <definedName name="IQRW7" hidden="1">"$W$8:$W$9"</definedName>
    <definedName name="IQRW81" hidden="1">"$W$82"</definedName>
    <definedName name="IQRWACC_Comp5BN9" hidden="1">#REF!</definedName>
    <definedName name="IQRWACC_Comp6BF9" hidden="1">#REF!</definedName>
    <definedName name="IQRWACC_Comp7BN9" hidden="1">#REF!</definedName>
    <definedName name="IQRWACC_Comp8BF9" hidden="1">#REF!</definedName>
    <definedName name="IQRWACC_Comp8BN9" hidden="1">#REF!</definedName>
    <definedName name="IQRWACC_Comp9BF9" hidden="1">#REF!</definedName>
    <definedName name="IQRWACC_Comp9BN9" hidden="1">#REF!</definedName>
    <definedName name="IQRWACCAnalysisBV10" hidden="1">#REF!</definedName>
    <definedName name="IQRWarrantsAM24" hidden="1">#REF!</definedName>
    <definedName name="IQRWarrantsAM7" hidden="1">#REF!</definedName>
    <definedName name="IQRWarrantsC24" hidden="1">#REF!</definedName>
    <definedName name="IQRWarrantsC7" hidden="1">#REF!</definedName>
    <definedName name="IQRX10" hidden="1">"$X$11:$X$114"</definedName>
    <definedName name="IQRX24" hidden="1">"$X$25"</definedName>
    <definedName name="IQRX28" hidden="1">"$X$29:$X$48"</definedName>
    <definedName name="IQRX3" hidden="1">"$X$4:$X$253"</definedName>
    <definedName name="IQRX49" hidden="1">"$X$50:$X$302"</definedName>
    <definedName name="IQRX51" hidden="1">"$X$52"</definedName>
    <definedName name="IQRX7" hidden="1">"$X$8"</definedName>
    <definedName name="IQRX8" hidden="1">#REF!</definedName>
    <definedName name="IQRX81" hidden="1">"$X$82"</definedName>
    <definedName name="IQRY18" hidden="1">"$Y$19:$Y$81"</definedName>
    <definedName name="IQRY19" hidden="1">"$Y$20:$Y$81"</definedName>
    <definedName name="IQRY21" hidden="1">"$Y$22"</definedName>
    <definedName name="IQRY24" hidden="1">"$Y$25"</definedName>
    <definedName name="IQRY28" hidden="1">"$Y$29:$Y$48"</definedName>
    <definedName name="IQRY3" hidden="1">"$Y$4:$Y$253"</definedName>
    <definedName name="IQRY5" hidden="1">"$Y$6:$Y$512"</definedName>
    <definedName name="IQRY51" hidden="1">"$Y$52:$Y$310"</definedName>
    <definedName name="IQRY7" hidden="1">"$Y$8"</definedName>
    <definedName name="IQRY81" hidden="1">"$Y$82"</definedName>
    <definedName name="IQRYieldCurveAveragesN100" hidden="1">#REF!</definedName>
    <definedName name="IQRYieldCurveAveragesN101" hidden="1">#REF!</definedName>
    <definedName name="IQRYieldCurveAveragesN102" hidden="1">#REF!</definedName>
    <definedName name="IQRYieldCurveAveragesN103" hidden="1">#REF!</definedName>
    <definedName name="IQRYieldCurveAveragesN104" hidden="1">#REF!</definedName>
    <definedName name="IQRYieldCurveAveragesN30" hidden="1">#REF!</definedName>
    <definedName name="IQRYieldCurveAveragesN31" hidden="1">#REF!</definedName>
    <definedName name="IQRYieldCurveAveragesN32" hidden="1">#REF!</definedName>
    <definedName name="IQRYieldCurveAveragesN33" hidden="1">#REF!</definedName>
    <definedName name="IQRYieldCurveAveragesN34" hidden="1">#REF!</definedName>
    <definedName name="IQRYieldCurveAveragesN35" hidden="1">#REF!</definedName>
    <definedName name="IQRYieldCurveAveragesN36" hidden="1">#REF!</definedName>
    <definedName name="IQRYieldCurveAveragesN37" hidden="1">#REF!</definedName>
    <definedName name="IQRYieldCurveAveragesN38" hidden="1">#REF!</definedName>
    <definedName name="IQRYieldCurveAveragesN39" hidden="1">#REF!</definedName>
    <definedName name="IQRYieldCurveAveragesN40" hidden="1">#REF!</definedName>
    <definedName name="IQRYieldCurveAveragesN41" hidden="1">#REF!</definedName>
    <definedName name="IQRYieldCurveAveragesN42" hidden="1">#REF!</definedName>
    <definedName name="IQRYieldCurveAveragesN43" hidden="1">#REF!</definedName>
    <definedName name="IQRYieldCurveAveragesN44" hidden="1">#REF!</definedName>
    <definedName name="IQRYieldCurveAveragesN45" hidden="1">#REF!</definedName>
    <definedName name="IQRYieldCurveAveragesN46" hidden="1">#REF!</definedName>
    <definedName name="IQRYieldCurveAveragesN47" hidden="1">#REF!</definedName>
    <definedName name="IQRYieldCurveAveragesN48" hidden="1">#REF!</definedName>
    <definedName name="IQRYieldCurveAveragesN49" hidden="1">#REF!</definedName>
    <definedName name="IQRYieldCurveAveragesN50" hidden="1">#REF!</definedName>
    <definedName name="IQRYieldCurveAveragesN51" hidden="1">#REF!</definedName>
    <definedName name="IQRYieldCurveAveragesN52" hidden="1">#REF!</definedName>
    <definedName name="IQRYieldCurveAveragesN53" hidden="1">#REF!</definedName>
    <definedName name="IQRYieldCurveAveragesN54" hidden="1">#REF!</definedName>
    <definedName name="IQRYieldCurveAveragesN55" hidden="1">#REF!</definedName>
    <definedName name="IQRYieldCurveAveragesN56" hidden="1">#REF!</definedName>
    <definedName name="IQRYieldCurveAveragesN57" hidden="1">#REF!</definedName>
    <definedName name="IQRYieldCurveAveragesN58" hidden="1">#REF!</definedName>
    <definedName name="IQRYieldCurveAveragesN59" hidden="1">#REF!</definedName>
    <definedName name="IQRYieldCurveAveragesN60" hidden="1">#REF!</definedName>
    <definedName name="IQRYieldCurveAveragesN61" hidden="1">#REF!</definedName>
    <definedName name="IQRYieldCurveAveragesN62" hidden="1">#REF!</definedName>
    <definedName name="IQRYieldCurveAveragesN63" hidden="1">#REF!</definedName>
    <definedName name="IQRYieldCurveAveragesN71" hidden="1">#REF!</definedName>
    <definedName name="IQRYieldCurveAveragesN72" hidden="1">#REF!</definedName>
    <definedName name="IQRYieldCurveAveragesN73" hidden="1">#REF!</definedName>
    <definedName name="IQRYieldCurveAveragesN74" hidden="1">#REF!</definedName>
    <definedName name="IQRYieldCurveAveragesN75" hidden="1">#REF!</definedName>
    <definedName name="IQRYieldCurveAveragesN76" hidden="1">#REF!</definedName>
    <definedName name="IQRYieldCurveAveragesN77" hidden="1">#REF!</definedName>
    <definedName name="IQRYieldCurveAveragesN78" hidden="1">#REF!</definedName>
    <definedName name="IQRYieldCurveAveragesN79" hidden="1">#REF!</definedName>
    <definedName name="IQRYieldCurveAveragesN80" hidden="1">#REF!</definedName>
    <definedName name="IQRYieldCurveAveragesN81" hidden="1">#REF!</definedName>
    <definedName name="IQRYieldCurveAveragesN82" hidden="1">#REF!</definedName>
    <definedName name="IQRYieldCurveAveragesN83" hidden="1">#REF!</definedName>
    <definedName name="IQRYieldCurveAveragesN84" hidden="1">#REF!</definedName>
    <definedName name="IQRYieldCurveAveragesN85" hidden="1">#REF!</definedName>
    <definedName name="IQRYieldCurveAveragesN86" hidden="1">#REF!</definedName>
    <definedName name="IQRYieldCurveAveragesN87" hidden="1">#REF!</definedName>
    <definedName name="IQRYieldCurveAveragesN88" hidden="1">#REF!</definedName>
    <definedName name="IQRYieldCurveAveragesN89" hidden="1">#REF!</definedName>
    <definedName name="IQRYieldCurveAveragesN90" hidden="1">#REF!</definedName>
    <definedName name="IQRYieldCurveAveragesN91" hidden="1">#REF!</definedName>
    <definedName name="IQRYieldCurveAveragesN92" hidden="1">#REF!</definedName>
    <definedName name="IQRYieldCurveAveragesN93" hidden="1">#REF!</definedName>
    <definedName name="IQRYieldCurveAveragesN94" hidden="1">#REF!</definedName>
    <definedName name="IQRYieldCurveAveragesN95" hidden="1">#REF!</definedName>
    <definedName name="IQRYieldCurveAveragesN96" hidden="1">#REF!</definedName>
    <definedName name="IQRYieldCurveAveragesN97" hidden="1">#REF!</definedName>
    <definedName name="IQRYieldCurveAveragesN98" hidden="1">#REF!</definedName>
    <definedName name="IQRYieldCurveAveragesN99" hidden="1">#REF!</definedName>
    <definedName name="IQRYieldCurveAveragesO100" hidden="1">#REF!</definedName>
    <definedName name="IQRYieldCurveAveragesO101" hidden="1">#REF!</definedName>
    <definedName name="IQRYieldCurveAveragesO102" hidden="1">#REF!</definedName>
    <definedName name="IQRYieldCurveAveragesO103" hidden="1">#REF!</definedName>
    <definedName name="IQRYieldCurveAveragesO104" hidden="1">#REF!</definedName>
    <definedName name="IQRYieldCurveAveragesO30" hidden="1">#REF!</definedName>
    <definedName name="IQRYieldCurveAveragesO31" hidden="1">#REF!</definedName>
    <definedName name="IQRYieldCurveAveragesO32" hidden="1">#REF!</definedName>
    <definedName name="IQRYieldCurveAveragesO33" hidden="1">#REF!</definedName>
    <definedName name="IQRYieldCurveAveragesO34" hidden="1">#REF!</definedName>
    <definedName name="IQRYieldCurveAveragesO35" hidden="1">#REF!</definedName>
    <definedName name="IQRYieldCurveAveragesO36" hidden="1">#REF!</definedName>
    <definedName name="IQRYieldCurveAveragesO37" hidden="1">#REF!</definedName>
    <definedName name="IQRYieldCurveAveragesO38" hidden="1">#REF!</definedName>
    <definedName name="IQRYieldCurveAveragesO39" hidden="1">#REF!</definedName>
    <definedName name="IQRYieldCurveAveragesO40" hidden="1">#REF!</definedName>
    <definedName name="IQRYieldCurveAveragesO41" hidden="1">#REF!</definedName>
    <definedName name="IQRYieldCurveAveragesO42" hidden="1">#REF!</definedName>
    <definedName name="IQRYieldCurveAveragesO43" hidden="1">#REF!</definedName>
    <definedName name="IQRYieldCurveAveragesO44" hidden="1">#REF!</definedName>
    <definedName name="IQRYieldCurveAveragesO45" hidden="1">#REF!</definedName>
    <definedName name="IQRYieldCurveAveragesO46" hidden="1">#REF!</definedName>
    <definedName name="IQRYieldCurveAveragesO47" hidden="1">#REF!</definedName>
    <definedName name="IQRYieldCurveAveragesO48" hidden="1">#REF!</definedName>
    <definedName name="IQRYieldCurveAveragesO49" hidden="1">#REF!</definedName>
    <definedName name="IQRYieldCurveAveragesO50" hidden="1">#REF!</definedName>
    <definedName name="IQRYieldCurveAveragesO51" hidden="1">#REF!</definedName>
    <definedName name="IQRYieldCurveAveragesO52" hidden="1">#REF!</definedName>
    <definedName name="IQRYieldCurveAveragesO53" hidden="1">#REF!</definedName>
    <definedName name="IQRYieldCurveAveragesO54" hidden="1">#REF!</definedName>
    <definedName name="IQRYieldCurveAveragesO55" hidden="1">#REF!</definedName>
    <definedName name="IQRYieldCurveAveragesO56" hidden="1">#REF!</definedName>
    <definedName name="IQRYieldCurveAveragesO57" hidden="1">#REF!</definedName>
    <definedName name="IQRYieldCurveAveragesO58" hidden="1">#REF!</definedName>
    <definedName name="IQRYieldCurveAveragesO59" hidden="1">#REF!</definedName>
    <definedName name="IQRYieldCurveAveragesO60" hidden="1">#REF!</definedName>
    <definedName name="IQRYieldCurveAveragesO61" hidden="1">#REF!</definedName>
    <definedName name="IQRYieldCurveAveragesO62" hidden="1">#REF!</definedName>
    <definedName name="IQRYieldCurveAveragesO63" hidden="1">#REF!</definedName>
    <definedName name="IQRYieldCurveAveragesO71" hidden="1">#REF!</definedName>
    <definedName name="IQRYieldCurveAveragesO72" hidden="1">#REF!</definedName>
    <definedName name="IQRYieldCurveAveragesO73" hidden="1">#REF!</definedName>
    <definedName name="IQRYieldCurveAveragesO74" hidden="1">#REF!</definedName>
    <definedName name="IQRYieldCurveAveragesO75" hidden="1">#REF!</definedName>
    <definedName name="IQRYieldCurveAveragesO76" hidden="1">#REF!</definedName>
    <definedName name="IQRYieldCurveAveragesO77" hidden="1">#REF!</definedName>
    <definedName name="IQRYieldCurveAveragesO78" hidden="1">#REF!</definedName>
    <definedName name="IQRYieldCurveAveragesO79" hidden="1">#REF!</definedName>
    <definedName name="IQRYieldCurveAveragesO80" hidden="1">#REF!</definedName>
    <definedName name="IQRYieldCurveAveragesO81" hidden="1">#REF!</definedName>
    <definedName name="IQRYieldCurveAveragesO82" hidden="1">#REF!</definedName>
    <definedName name="IQRYieldCurveAveragesO83" hidden="1">#REF!</definedName>
    <definedName name="IQRYieldCurveAveragesO84" hidden="1">#REF!</definedName>
    <definedName name="IQRYieldCurveAveragesO85" hidden="1">#REF!</definedName>
    <definedName name="IQRYieldCurveAveragesO86" hidden="1">#REF!</definedName>
    <definedName name="IQRYieldCurveAveragesO87" hidden="1">#REF!</definedName>
    <definedName name="IQRYieldCurveAveragesO88" hidden="1">#REF!</definedName>
    <definedName name="IQRYieldCurveAveragesO89" hidden="1">#REF!</definedName>
    <definedName name="IQRYieldCurveAveragesO90" hidden="1">#REF!</definedName>
    <definedName name="IQRYieldCurveAveragesO91" hidden="1">#REF!</definedName>
    <definedName name="IQRYieldCurveAveragesO92" hidden="1">#REF!</definedName>
    <definedName name="IQRYieldCurveAveragesO93" hidden="1">#REF!</definedName>
    <definedName name="IQRYieldCurveAveragesO94" hidden="1">#REF!</definedName>
    <definedName name="IQRYieldCurveAveragesO95" hidden="1">#REF!</definedName>
    <definedName name="IQRYieldCurveAveragesO96" hidden="1">#REF!</definedName>
    <definedName name="IQRYieldCurveAveragesO97" hidden="1">#REF!</definedName>
    <definedName name="IQRYieldCurveAveragesO98" hidden="1">#REF!</definedName>
    <definedName name="IQRYieldCurveAveragesO99" hidden="1">#REF!</definedName>
    <definedName name="IQRYieldCurveComparisonv12AE15" hidden="1">#REF!</definedName>
    <definedName name="IQRYieldCurveComparisonv12AG15" hidden="1">#REF!</definedName>
    <definedName name="IQRYieldCurveComparisonv12AH15" hidden="1">#REF!</definedName>
    <definedName name="IQRYieldCurveComparisonv12AJ15" hidden="1">#REF!</definedName>
    <definedName name="IQRYieldCurveComparisonv12AK15" hidden="1">#REF!</definedName>
    <definedName name="IQRYieldCurveComparisonv12AL15" hidden="1">#REF!</definedName>
    <definedName name="IQRYieldCurveComparisonv12AT15" hidden="1">#REF!</definedName>
    <definedName name="IQRYieldCurveComparisonv1AE15" hidden="1">#REF!</definedName>
    <definedName name="IQRYieldCurveComparisonv1AE37" hidden="1">#REF!</definedName>
    <definedName name="IQRYieldCurveComparisonv1AE40" hidden="1">#REF!</definedName>
    <definedName name="IQRYieldCurveComparisonv1AE41" hidden="1">#REF!</definedName>
    <definedName name="IQRYieldCurveComparisonv1AH41" hidden="1">#REF!</definedName>
    <definedName name="IQRYieldCurveComparisonv1AR41" hidden="1">#REF!</definedName>
    <definedName name="IQRYieldCurveComparisonv1AS41" hidden="1">#REF!</definedName>
    <definedName name="IQRYieldCurveComparisonv1AT15" hidden="1">#REF!</definedName>
    <definedName name="IQRYieldCurveComparisonv1AT37" hidden="1">#REF!</definedName>
    <definedName name="IQRYieldCurveComparisonv1AT40" hidden="1">#REF!</definedName>
    <definedName name="IQRYieldCurveComparisonv1AT41" hidden="1">#REF!</definedName>
    <definedName name="IQRYieldCurveComparisonv1AV41" hidden="1">#REF!</definedName>
    <definedName name="IQRYieldCurveComparisonv1AW41" hidden="1">#REF!</definedName>
    <definedName name="IQRYieldCurveComparisonv1AZ41" hidden="1">#REF!</definedName>
    <definedName name="IQRYieldCurveComparisonv1BG41" hidden="1">#REF!</definedName>
    <definedName name="IQRYieldCurveComparisonv1BJ41" hidden="1">#REF!</definedName>
    <definedName name="IQRYieldCurveComparisonv1BM41" hidden="1">#REF!</definedName>
    <definedName name="IQRYieldCurveComparisonv1BN41" hidden="1">#REF!</definedName>
    <definedName name="IQRYieldCurveComparisonv2AL15" hidden="1">#REF!</definedName>
    <definedName name="IQRYieldCurves2AR75" hidden="1">#REF!</definedName>
    <definedName name="IQRYieldCurves2AS75" hidden="1">#REF!</definedName>
    <definedName name="IQRYieldCurves2AT75" hidden="1">#REF!</definedName>
    <definedName name="IQRYieldCurves2AU75" hidden="1">#REF!</definedName>
    <definedName name="IQRYieldCurves2AV75" hidden="1">#REF!</definedName>
    <definedName name="IQRYieldCurves2AW75" hidden="1">#REF!</definedName>
    <definedName name="IQRYieldCurves2AX75" hidden="1">#REF!</definedName>
    <definedName name="IQRYieldCurves2AY75" hidden="1">#REF!</definedName>
    <definedName name="IQRYieldCurves2AZ75" hidden="1">#REF!</definedName>
    <definedName name="IQRYieldCurvesAA15" hidden="1">#REF!</definedName>
    <definedName name="IQRYieldCurvesAI5" hidden="1">#REF!</definedName>
    <definedName name="IQRYieldCurvesAR37" hidden="1">#REF!</definedName>
    <definedName name="IQRYieldCurvesAS73" hidden="1">#REF!</definedName>
    <definedName name="IQRYieldCurvesAT37" hidden="1">#REF!</definedName>
    <definedName name="IQRYieldCurvesAU37" hidden="1">#REF!</definedName>
    <definedName name="IQRYieldCurvesAW37" hidden="1">#REF!</definedName>
    <definedName name="IQRYieldCurvesQ15" hidden="1">#REF!</definedName>
    <definedName name="IQRYieldCurvesR15" hidden="1">#REF!</definedName>
    <definedName name="IQRYieldCurvesW15" hidden="1">#REF!</definedName>
    <definedName name="IQRYieldCurvesW5" hidden="1">#REF!</definedName>
    <definedName name="IQRYieldCurvesY15" hidden="1">#REF!</definedName>
    <definedName name="IQRZ10" hidden="1">"$Z$11:$Z$263"</definedName>
    <definedName name="IQRZ21" hidden="1">"$Z$22"</definedName>
    <definedName name="IQRZ24" hidden="1">"$Z$25"</definedName>
    <definedName name="IQRZ28" hidden="1">"$Z$29:$Z$48"</definedName>
    <definedName name="IQRZ3" hidden="1">"$Z$4:$Z$253"</definedName>
    <definedName name="IQRZ4" hidden="1">"$Z$5:$Z$254"</definedName>
    <definedName name="IQRZ5" hidden="1">"$Z$6:$Z$255"</definedName>
    <definedName name="IQRZ6" hidden="1">"$Z$7:$Z$256"</definedName>
    <definedName name="IQRZ7" hidden="1">"$Z$8"</definedName>
    <definedName name="IQRZ8" hidden="1">"$Z$9:$Z$72"</definedName>
    <definedName name="IQRZ81" hidden="1">"$Z$82"</definedName>
    <definedName name="IQRZTSH20" hidden="1">#REF!</definedName>
    <definedName name="IQSCapIQDownloadA1" hidden="1">"$A$2:$A$56"</definedName>
    <definedName name="iQShowHideColumns" hidden="1">"iQShowAnnual"</definedName>
    <definedName name="IQSInputD4" hidden="1">#REF!</definedName>
    <definedName name="IQSTabelle5C4" hidden="1">#REF!</definedName>
    <definedName name="Irbe" hidden="1">{#N/A,#N/A,FALSE,"Pharm";#N/A,#N/A,FALSE,"WWCM"}</definedName>
    <definedName name="IRE" hidden="1">{#N/A,#N/A,FALSE,"단축1";#N/A,#N/A,FALSE,"단축2";#N/A,#N/A,FALSE,"단축3";#N/A,#N/A,FALSE,"장축";#N/A,#N/A,FALSE,"4WD"}</definedName>
    <definedName name="Irene" hidden="1">1/EUReXToPTE</definedName>
    <definedName name="IRI_WorkspaceId" hidden="1">"de30bb9444bc4d639e94ada41672e49b"</definedName>
    <definedName name="iris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sColHidden" hidden="1">FALSE</definedName>
    <definedName name="ISFOXAutomaticLabelingDisabled" hidden="1">"True"</definedName>
    <definedName name="ISFOXClassificationHistory_0" hidden="1">"EMEA\muellerpet;d4c75f49-f1ee-485c-aa75-2c54e2ab5223;Intern;2017-07-04T10:40:55;;Lorange|"</definedName>
    <definedName name="ISFOXClassificationId" hidden="1">"d4c75f49-f1ee-485c-aa75-2c54e2ab5223"</definedName>
    <definedName name="ISFOXClassificationName" hidden="1">"Intern"</definedName>
    <definedName name="ISFOXDocumentClassificationVersion" hidden="1">3</definedName>
    <definedName name="ISFOXOldClassificationId" hidden="1">"d4c75f49-f1ee-485c-aa75-2c54e2ab5223"</definedName>
    <definedName name="ISFOXPrefix" hidden="1">"Lorange"</definedName>
    <definedName name="ISFOXPreviousClassificationId" hidden="1">"d4c75f49-f1ee-485c-aa75-2c54e2ab5223"</definedName>
    <definedName name="ISFOXShowClassificationRequestWindow" hidden="1">"False"</definedName>
    <definedName name="ISFOXVersionHistoryCount" hidden="1">1</definedName>
    <definedName name="ISFOXWorkbookInitialized" hidden="1">"False"</definedName>
    <definedName name="ishideend" hidden="1">#REF!</definedName>
    <definedName name="ishidestart" hidden="1">#REF!</definedName>
    <definedName name="IsLTMColHidden" hidden="1">FALSE</definedName>
    <definedName name="ISS_DEBT_NET" hidden="1">"ISS_DEBT_NET"</definedName>
    <definedName name="ISS_STOCK_NET" hidden="1">"ISS_STOCK_NET"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ue" hidden="1">"BL7FKFTY6NDALOTZZF8PFRAS6"</definedName>
    <definedName name="it" hidden="1">{"";TRUE;TRUE;TRUE;TRUE;TRUE;TRUE;"R1C1:R32C11";FALSE;FALSE;FALSE;FALSE;FALSE;FALSE;FALSE;61;FALSE;FALSE;FALSE;FALSE;FALSE;"";FALSE;FALSE}</definedName>
    <definedName name="ITE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ITLeXToEUR" hidden="1">1/EUReXToITL</definedName>
    <definedName name="itre" hidden="1">{"HEADCOUNT",#N/A,FALSE,"labor"}</definedName>
    <definedName name="ityiu" hidden="1">{#N/A,#N/A,TRUE,"Historicals";#N/A,#N/A,TRUE,"Charts";#N/A,#N/A,TRUE,"Forecasts"}</definedName>
    <definedName name="iu" hidden="1">{#N/A,#N/A,TRUE,"Staffnos &amp; cost"}</definedName>
    <definedName name="iü" hidden="1">{"sbfk2",#N/A,FALSE,"A";"sbkf3",#N/A,FALSE,"A";"sbkf4",#N/A,FALSE,"A";"sbkf1",#N/A,FALSE,"A"}</definedName>
    <definedName name="iüip" hidden="1">{#N/A,#N/A,FALSE,"DK1VER";#N/A,#N/A,FALSE,"DK1VER"}</definedName>
    <definedName name="IUJ" hidden="1">{"'Demand Units'!$X$11:$AD$45"}</definedName>
    <definedName name="iungds" hidden="1">{"detail",#N/A,FALSE,"mfg";"summary",#N/A,FALSE,"mfg"}</definedName>
    <definedName name="iuou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iuoui" hidden="1">#REF!</definedName>
    <definedName name="IUYIYH" hidden="1">{"'Demand Units'!$X$11:$AD$45"}</definedName>
    <definedName name="iuyt" hidden="1">{"AS REP",#N/A,FALSE,"EEFSNAP2";"PROP",#N/A,FALSE,"EEFSNAP2";"RISKS",#N/A,FALSE,"EEFSNAP2";"VIEW ALL",#N/A,FALSE,"EEFSNAP2"}</definedName>
    <definedName name="iwonder" hidden="1">{"PA1",#N/A,FALSE,"BORDMW";"pa2",#N/A,FALSE,"BORDMW";"PA3",#N/A,FALSE,"BORDMW";"PA4",#N/A,FALSE,"BORDMW"}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y" hidden="1">{"AS REP",#N/A,FALSE,"EEFSNAP2";"PROP",#N/A,FALSE,"EEFSNAP2";"RISKS",#N/A,FALSE,"EEFSNAP2";"VIEW ALL",#N/A,FALSE,"EEFSNAP2"}</definedName>
    <definedName name="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janice" hidden="1">{"'FXRates AUD'!$AH$586"}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R" hidden="1">{"'Data'!$A$1:$D$17"}</definedName>
    <definedName name="Jarudo" hidden="1">{"Burden (burden)",#N/A,FALSE,"burden"}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 hidden="1">{"Tages_D",#N/A,FALSE,"Tagesbericht";"Tages_PL",#N/A,FALSE,"Tagesbericht"}</definedName>
    <definedName name="jbujbj" hidden="1">{"REVISED",#N/A,FALSE,"Sheet1"}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JBNG5" hidden="1">{"'Title Transfer Units6,7,&amp;8'!$A$1:$B$4","'Title Transfer Units6,7,&amp;8'!$C$6"}</definedName>
    <definedName name="je" hidden="1">{#N/A,#N/A,FALSE,"Aging Summary";#N/A,#N/A,FALSE,"Ratio Analysis";#N/A,#N/A,FALSE,"Test 120 Day Accts";#N/A,#N/A,FALSE,"Tickmarks"}</definedName>
    <definedName name="jedf" hidden="1">{#N/A,#N/A,TRUE,"Historicals";#N/A,#N/A,TRUE,"Charts";#N/A,#N/A,TRUE,"Forecasts"}</definedName>
    <definedName name="jeine" hidden="1">{"Tages_D",#N/A,FALSE,"Tagesbericht";"Tages_PL",#N/A,FALSE,"Tagesbericht"}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ni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jfdsir" hidden="1">{"YTD",#N/A,FALSE,"SUM"}</definedName>
    <definedName name="jffhd" hidden="1">{#N/A,#N/A,TRUE,"Staffnos &amp; cost"}</definedName>
    <definedName name="jfhk" hidden="1">{#N/A,#N/A,TRUE,"Historicals";#N/A,#N/A,TRUE,"Charts";#N/A,#N/A,TRUE,"Forecasts"}</definedName>
    <definedName name="JFMEWOP" hidden="1">{"'Demand Units'!$X$11:$AD$45"}</definedName>
    <definedName name="jg" hidden="1">{#N/A,#N/A,TRUE,"RIDE";#N/A,#N/A,TRUE,"STEERING";#N/A,#N/A,TRUE,"HANDLING";#N/A,#N/A,TRUE,"BRAKING"}</definedName>
    <definedName name="JGFKJG" hidden="1">{"'Demand Units'!$X$11:$AD$45"}</definedName>
    <definedName name="JGHJ" hidden="1">{#N/A,#N/A,FALSE,"단축1";#N/A,#N/A,FALSE,"단축2";#N/A,#N/A,FALSE,"단축3";#N/A,#N/A,FALSE,"장축";#N/A,#N/A,FALSE,"4WD"}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ghjg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" hidden="1">{"EVA",#N/A,FALSE,"EVA";"WACC",#N/A,FALSE,"WACC"}</definedName>
    <definedName name="jhhgjh" hidden="1">{#N/A,#N/A,FALSE,"KA CH  (2)"}</definedName>
    <definedName name="jhhjgj" hidden="1">{#N/A,#N/A,TRUE,"Historicals";#N/A,#N/A,TRUE,"Charts";#N/A,#N/A,TRUE,"Forecasts"}</definedName>
    <definedName name="jhj" hidden="1">#REF!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" hidden="1">{"print 1",#N/A,FALSE,"PrimeCo PCS";"print 2",#N/A,FALSE,"PrimeCo PCS";"valuation",#N/A,FALSE,"PrimeCo PCS"}</definedName>
    <definedName name="jhkgh" hidden="1">{#N/A,#N/A,TRUE,"Historicals";#N/A,#N/A,TRUE,"Charts";#N/A,#N/A,TRUE,"Forecasts"}</definedName>
    <definedName name="jhkjliij" hidden="1">{"res_travail",#N/A,FALSE,"Résultats"}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mnfhgvnb" hidden="1">{#N/A,#N/A,TRUE,"Historicals";#N/A,#N/A,TRUE,"Charts";#N/A,#N/A,TRUE,"Forecasts"}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jimm" hidden="1">{"'Directory'!$A$72:$E$91"}</definedName>
    <definedName name="jip" hidden="1">{"'Highlights'!$A$1:$M$123"}</definedName>
    <definedName name="jj" hidden="1">#REF!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j" hidden="1">{#N/A,#N/A,FALSE,"Staffnos &amp; cost"}</definedName>
    <definedName name="jjjjj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k" hidden="1">{#N/A,#N/A,FALSE,"FY97";#N/A,#N/A,FALSE,"FY98";#N/A,#N/A,FALSE,"FY99";#N/A,#N/A,FALSE,"FY00";#N/A,#N/A,FALSE,"FY01"}</definedName>
    <definedName name="jkhklj" hidden="1">{#N/A,#N/A,FALSE,"Index";#N/A,#N/A,FALSE,"1.1";#N/A,#N/A,FALSE,"Scenario Summary"}</definedName>
    <definedName name="jkiu" hidden="1">{#N/A,"PURCHM",FALSE,"Business Analysis";#N/A,"SPADD",FALSE,"Business Analysis"}</definedName>
    <definedName name="jkj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kjk" hidden="1">{"GuVGmbH",#N/A,FALSE,"ratios";"BilanzGmbH",#N/A,FALSE,"ratios";"BilanzKG",#N/A,FALSE,"ratios";"GuVKG",#N/A,FALSE,"ratios"}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j" hidden="1">{"Sum1",#N/A,FALSE,"Reserve Report";"Sum2",#N/A,FALSE,"Reserve Report";"Sum3",#N/A,FALSE,"Reserve Report";"Sum4",#N/A,FALSE,"Reserve Report"}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ö" hidden="1">{#N/A,#N/A,FALSE,"Mittelherkunft";#N/A,#N/A,FALSE,"Mittelverwendung"}</definedName>
    <definedName name="jkwsd" hidden="1">{"detail",#N/A,FALSE,"mfg";"summary",#N/A,FALSE,"mfg"}</definedName>
    <definedName name="jl" hidden="1">{#N/A,#N/A,FALSE,"INPUTS";#N/A,#N/A,FALSE,"PROFORMA BSHEET";#N/A,#N/A,FALSE,"COMBINED";#N/A,#N/A,FALSE,"HIGH YIELD";#N/A,#N/A,FALSE,"COMB_GRAPHS"}</definedName>
    <definedName name="jn" hidden="1">{"'Demand Units'!$Z$2:$AF$53"}</definedName>
    <definedName name="jnbid" hidden="1">{"detail",#N/A,FALSE,"mfg";"summary",#N/A,FALSE,"mfg"}</definedName>
    <definedName name="jo" hidden="1">{"TAG1AGMS",#N/A,FALSE,"TAG 1A"}</definedName>
    <definedName name="joe" hidden="1">{"PrintView",#N/A,FALSE,"Cash &amp; Equiv";"PrintView",#N/A,FALSE,"Investments";"Other Assets Print View",#N/A,FALSE,"Other Assets"}</definedName>
    <definedName name="joj" hidden="1">{"fleisch",#N/A,FALSE,"WG HK";"food",#N/A,FALSE,"WG HK";"hartwaren",#N/A,FALSE,"WG HK";"weichwaren",#N/A,FALSE,"WG HK"}</definedName>
    <definedName name="jok" hidden="1">IF(COUNTA(#REF!)=0,0,INDEX(#REF!,MATCH(ROW(#REF!),#REF!,TRUE)))+1</definedName>
    <definedName name="jomn" hidden="1">{"pro_view",#N/A,FALSE,"EEFSNAP2";"rep_view",#N/A,FALSE,"EEFSNAP2"}</definedName>
    <definedName name="joo" hidden="1">{"fleisch",#N/A,FALSE,"WG HK";"food",#N/A,FALSE,"WG HK";"hartwaren",#N/A,FALSE,"WG HK";"weichwaren",#N/A,FALSE,"WG HK"}</definedName>
    <definedName name="Jose" hidden="1">{"vi1",#N/A,FALSE,"Financial Statements";"vi2",#N/A,FALSE,"Financial Statements";#N/A,#N/A,FALSE,"DCF"}</definedName>
    <definedName name="jöuiuiuzi" hidden="1">{#N/A,#N/A,FALSE,"Umsatz 99";#N/A,#N/A,FALSE,"ER 99 "}</definedName>
    <definedName name="JP" hidden="1">{"'SIVA Pricing Model'!$A$1:$F$39"}</definedName>
    <definedName name="jpb" hidden="1">{"fleisch",#N/A,FALSE,"WG HK";"food",#N/A,FALSE,"WG HK";"hartwaren",#N/A,FALSE,"WG HK";"weichwaren",#N/A,FALSE,"WG HK"}</definedName>
    <definedName name="jrfghfg" hidden="1">{#N/A,#N/A,TRUE,"Historicals";#N/A,#N/A,TRUE,"Charts";#N/A,#N/A,TRUE,"Forecasts"}</definedName>
    <definedName name="jrjhgjhjty" hidden="1">{#N/A,#N/A,TRUE,"Historicals";#N/A,#N/A,TRUE,"Charts";#N/A,#N/A,TRUE,"Forecasts"}</definedName>
    <definedName name="js" hidden="1">{"DCF1",#N/A,FALSE,"SIERRA DCF";"MATRIX1",#N/A,FALSE,"SIERRA DCF"}</definedName>
    <definedName name="jsgjghk" hidden="1">{"qchm_dcf",#N/A,FALSE,"QCHMDCF2";"qchm_terminal",#N/A,FALSE,"QCHMDCF2"}</definedName>
    <definedName name="jsx" hidden="1">{"DCF","UPSIDE CASE",FALSE,"Sheet1";"DCF","BASE CASE",FALSE,"Sheet1";"DCF","DOWNSIDE CASE",FALSE,"Sheet1"}</definedName>
    <definedName name="jtygh" hidden="1">{#N/A,#N/A,TRUE,"Historicals";#N/A,#N/A,TRUE,"Charts";#N/A,#N/A,TRUE,"Forecasts"}</definedName>
    <definedName name="ju" hidden="1">{"detail",#N/A,FALSE,"mfg";"summary",#N/A,FALSE,"mfg"}</definedName>
    <definedName name="judy" hidden="1">{#N/A,#N/A,FALSE,"Pharm";#N/A,#N/A,FALSE,"WWCM"}</definedName>
    <definedName name="judy1" hidden="1">{#N/A,#N/A,FALSE,"Pharm";#N/A,#N/A,FALSE,"WWCM"}</definedName>
    <definedName name="jughngh" hidden="1">{#N/A,#N/A,TRUE,"Historicals";#N/A,#N/A,TRUE,"Charts";#N/A,#N/A,TRUE,"Forecasts"}</definedName>
    <definedName name="jui" hidden="1">{"YD OTHER",#N/A,FALSE,"YTD"}</definedName>
    <definedName name="juio" hidden="1">{"Page 1",#N/A,FALSE,"OpExJanVsPY";"Page 2",#N/A,FALSE,"OpExJanVsPY"}</definedName>
    <definedName name="July2014">#REF!</definedName>
    <definedName name="July2014_1">#REF!</definedName>
    <definedName name="jun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oü" hidden="1">{"Tages_D",#N/A,FALSE,"Tagesbericht";"Tages_PL",#N/A,FALSE,"Tagesbericht"}</definedName>
    <definedName name="jurhfds" hidden="1">{#N/A,#N/A,TRUE,"Historicals";#N/A,#N/A,TRUE,"Charts";#N/A,#N/A,TRUE,"Forecasts"}</definedName>
    <definedName name="juyjrtds" hidden="1">{#N/A,#N/A,TRUE,"Historicals";#N/A,#N/A,TRUE,"Charts";#N/A,#N/A,TRUE,"Forecasts"}</definedName>
    <definedName name="juyjtg" hidden="1">{#N/A,#N/A,TRUE,"Historicals";#N/A,#N/A,TRUE,"Charts";#N/A,#N/A,TRUE,"Forecasts"}</definedName>
    <definedName name="JWG" hidden="1">{#N/A,#N/A,FALSE,"단축1";#N/A,#N/A,FALSE,"단축2";#N/A,#N/A,FALSE,"단축3";#N/A,#N/A,FALSE,"장축";#N/A,#N/A,FALSE,"4WD"}</definedName>
    <definedName name="jyrjfgh" hidden="1">{#N/A,#N/A,TRUE,"Historicals";#N/A,#N/A,TRUE,"Charts";#N/A,#N/A,TRUE,"Forecasts"}</definedName>
    <definedName name="jytjkjuyk" hidden="1">{#N/A,#N/A,TRUE,"Historicals";#N/A,#N/A,TRUE,"Charts";#N/A,#N/A,TRUE,"Forecasts"}</definedName>
    <definedName name="k" hidden="1">{"budget95",#N/A,TRUE,"Tabelle1";"Tab1",#N/A,TRUE,"Tabelle2"}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0</definedName>
    <definedName name="Kalle" hidden="1">{#N/A,#N/A,FALSE,"PrintS"}</definedName>
    <definedName name="kalle01" hidden="1">{#N/A,#N/A,FALSE,"PrintS"}</definedName>
    <definedName name="Kalle1" hidden="1">{#N/A,#N/A,FALSE,"PrintS"}</definedName>
    <definedName name="Kalle2" hidden="1">{#N/A,#N/A,FALSE,"PrintS"}</definedName>
    <definedName name="Kamimura" hidden="1">{#VALUE!,#N/A,FALSE,0;#N/A,#N/A,FALSE,0;#N/A,#N/A,FALSE,0;#N/A,#N/A,FALSE,0}</definedName>
    <definedName name="kapex" hidden="1">{"'Process Flow'!$A$1:$F$1","'Process Flow'!$A$2:$F$2"}</definedName>
    <definedName name="Kappahl" hidden="1">#REF!</definedName>
    <definedName name="kararaer" hidden="1">{#VALUE!,#N/A,FALSE,0;#N/A,#N/A,FALSE,0;#N/A,#N/A,FALSE,0;#N/A,#N/A,FALSE,0}</definedName>
    <definedName name="kas" hidden="1">{"TOTAL",#N/A,FALSE,"A";"FISCAL94",#N/A,FALSE,"A";"FISCAL95",#N/A,FALSE,"A";"FISCAL96",#N/A,FALSE,"A";"misc page",#N/A,FALSE,"A"}</definedName>
    <definedName name="katkg" hidden="1">{#N/A,#N/A,FALSE,"ACQ_GRAPHS";#N/A,#N/A,FALSE,"T_1 GRAPHS";#N/A,#N/A,FALSE,"T_2 GRAPHS";#N/A,#N/A,FALSE,"COMB_GRAPHS"}</definedName>
    <definedName name="Kaufleasing" hidden="1">#REF!</definedName>
    <definedName name="Kaufleasing_" hidden="1">#REF!</definedName>
    <definedName name="KaufleasingK" hidden="1">#REF!</definedName>
    <definedName name="KaufleasingM" hidden="1">#REF!</definedName>
    <definedName name="KaufleasingZ" hidden="1">#REF!</definedName>
    <definedName name="KC" hidden="1">{#N/A,#N/A,FALSE,"을지 (4)";#N/A,#N/A,FALSE,"을지 (5)";#N/A,#N/A,FALSE,"을지 (6)"}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eine" hidden="1">{"Tages_D",#N/A,FALSE,"Tagesbericht";"Tages_PL",#N/A,FALSE,"Tagesbericht"}</definedName>
    <definedName name="Kele" hidden="1">"c1359"</definedName>
    <definedName name="kenn" hidden="1">{"sbhko",#N/A,FALSE,"A";"sbhko2",#N/A,FALSE,"A";"sbhko3",#N/A,FALSE,"A"}</definedName>
    <definedName name="kennz" hidden="1">#N/A</definedName>
    <definedName name="Kennzahl" hidden="1">{#N/A,#N/A,FALSE,"WOB_1.XLS";#N/A,#N/A,FALSE,"WOB_2.XLS";#N/A,#N/A,FALSE,"WOB_3.XLS";#N/A,#N/A,FALSE,"WOB_4.XLS";#N/A,#N/A,FALSE,"WOB_5.XLS"}</definedName>
    <definedName name="keren" hidden="1">{"REP1",#N/A,FALSE,"ריכוז";"REP2",#N/A,FALSE,"מפורט1";"REP3",#N/A,FALSE,"מפורט1";"REP4",#N/A,FALSE,"מפורט2";"REP5",#N/A,FALSE,"מפורט2";"REP6",#N/A,FALSE,"מפורט2"}</definedName>
    <definedName name="key" hidden="1">#N/A</definedName>
    <definedName name="Key1V2" hidden="1">#REF!</definedName>
    <definedName name="KeyAnaly_Header" hidden="1">#REF!</definedName>
    <definedName name="keybookltm" hidden="1">#REF!</definedName>
    <definedName name="keybookty" hidden="1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2" hidden="1">{#N/A,#N/A,TRUE,"Cover sheet";#N/A,#N/A,TRUE,"DCF analysis";#N/A,#N/A,TRUE,"WACC calculation"}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kh" hidden="1">{"fleisch",#N/A,FALSE,"WG HK";"food",#N/A,FALSE,"WG HK";"hartwaren",#N/A,FALSE,"WG HK";"weichwaren",#N/A,FALSE,"WG HK"}</definedName>
    <definedName name="khjk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A" hidden="1">{#N/A,#N/A,FALSE,"단축1";#N/A,#N/A,FALSE,"단축2";#N/A,#N/A,FALSE,"단축3";#N/A,#N/A,FALSE,"장축";#N/A,#N/A,FALSE,"4WD"}</definedName>
    <definedName name="kid" hidden="1">{#N/A,#N/A,FALSE,"Title Page";#N/A,#N/A,FALSE,"Summary Sheet"}</definedName>
    <definedName name="kinji" hidden="1">#N/A</definedName>
    <definedName name="kinjs" hidden="1">{"detail",#N/A,FALSE,"mfg";"summary",#N/A,FALSE,"mfg"}</definedName>
    <definedName name="kip" hidden="1">{"detail",#N/A,FALSE,"mfg";"summary",#N/A,FALSE,"mfg"}</definedName>
    <definedName name="KIT" hidden="1">{"equity comps",#N/A,FALSE,"CS Comps";"equity comps",#N/A,FALSE,"PS Comps";"equity comps",#N/A,FALSE,"GIC_Comps";"equity comps",#N/A,FALSE,"GIC2_Comps"}</definedName>
    <definedName name="k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kjas" hidden="1">{#N/A,#N/A,FALSE,"Cover Page";#N/A,#N/A,FALSE,"Facing Page";#N/A,#N/A,FALSE,"Main Page";#N/A,#N/A,FALSE,"Risk-Adjusted";#N/A,#N/A,FALSE,"Profit Improvement"}</definedName>
    <definedName name="kjbk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KJDHLJKGSF" hidden="1">{"'Title Transfer Units6,7,&amp;8'!$A$1:$B$4","'Title Transfer Units6,7,&amp;8'!$C$6"}</definedName>
    <definedName name="kjdslf" hidden="1">{#N/A,#N/A,FALSE,"Sheet1"}</definedName>
    <definedName name="kjfukf" hidden="1">{#N/A,#N/A,TRUE,"Historicals";#N/A,#N/A,TRUE,"Charts";#N/A,#N/A,TRUE,"Forecasts"}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gkjgk" hidden="1">{#N/A,#N/A,TRUE,"Historicals";#N/A,#N/A,TRUE,"Charts";#N/A,#N/A,TRUE,"Forecasts"}</definedName>
    <definedName name="kjhg" hidden="1">{"ICD Details",#N/A,FALSE,"Current Yr";"ICD Details",#N/A,FALSE,"Budget";"ICD Details",#N/A,FALSE,"Prior Year"}</definedName>
    <definedName name="kjhkhkmnb" hidden="1">{#N/A,#N/A,TRUE,"Historicals";#N/A,#N/A,TRUE,"Charts";#N/A,#N/A,TRUE,"Forecasts"}</definedName>
    <definedName name="kjhkj" hidden="1">{#N/A,#N/A,FALSE,"Z3 1,8i";#N/A,#N/A,FALSE,"Z3 1,9iS";#N/A,#N/A,FALSE,"Z3 2,8i";#N/A,#N/A,FALSE,"Z3 2,8i Coupé"}</definedName>
    <definedName name="kjhl" hidden="1">{"'Analysis'!$A$1:$B$4,$A$6:$N$129"}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j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JKJKJ" hidden="1">{"'Demand Units'!$X$11:$AD$45"}</definedName>
    <definedName name="kjkk" hidden="1">{"Sum1",#N/A,FALSE,"Reserve Report";"Sum2",#N/A,FALSE,"Reserve Report";"Sum3",#N/A,FALSE,"Reserve Report";"Sum4",#N/A,FALSE,"Reserve Report"}</definedName>
    <definedName name="kjlj" hidden="1">{"EVA",#N/A,FALSE,"EVA";"WACC",#N/A,FALSE,"WACC"}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ö" hidden="1">{#N/A,#N/A,FALSE,"Mittelherkunft";#N/A,#N/A,FALSE,"Mittelverwendung"}</definedName>
    <definedName name="kjlui" hidden="1">{#N/A,#N/A,FALSE,"Layout Aktiva";#N/A,#N/A,FALSE,"Layout Passiva"}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k" hidden="1">#N/A</definedName>
    <definedName name="kkkk.llll" hidden="1">{#N/A,#N/A,FALSE,"Umsatz 99";#N/A,#N/A,FALSE,"ER 99 "}</definedName>
    <definedName name="kkkkk" hidden="1">{#VALUE!,#N/A,FALSE,0;#N/A,#N/A,FALSE,0;#N/A,#N/A,FALSE,0;#N/A,#N/A,FALSE,0}</definedName>
    <definedName name="kkkkkkkkkkk" hidden="1">#REF!</definedName>
    <definedName name="kkkkkkkkkkkkk" hidden="1">{"London cttee condensed",#N/A,FALSE,"Dev Panel Cut Report";"South East cttee condensed",#N/A,FALSE,"Dev Panel Cut Report"}</definedName>
    <definedName name="KKKKKKKKKKKKKKK" hidden="1">{#N/A,#N/A,FALSE,"Cover";#N/A,#N/A,FALSE,"Profits";#N/A,#N/A,FALSE,"ABS";#N/A,#N/A,FALSE,"TFLE Detail";#N/A,#N/A,FALSE,"TFLE Walk";#N/A,#N/A,FALSE,"Variable Cost";#N/A,#N/A,FALSE,"V.C. Walk"}</definedName>
    <definedName name="KKKKKKKKKKKKKKKKK" hidden="1">{"London cttee condensed",#N/A,FALSE,"Dev Panel Cut Report";"South East cttee condensed",#N/A,FALSE,"Dev Panel Cut Report"}</definedName>
    <definedName name="kklleinene" hidden="1">{"Tages_D",#N/A,FALSE,"Tagesbericht";"Tages_PL",#N/A,FALSE,"Tagesbericht"}</definedName>
    <definedName name="kkuykt" hidden="1">{#N/A,#N/A,TRUE,"Historicals";#N/A,#N/A,TRUE,"Charts";#N/A,#N/A,TRUE,"Forecasts"}</definedName>
    <definedName name="kl" hidden="1">{#N/A,#N/A,FALSE,"FY97";#N/A,#N/A,FALSE,"FY98";#N/A,#N/A,FALSE,"FY99";#N/A,#N/A,FALSE,"FY00";#N/A,#N/A,FALSE,"FY01"}</definedName>
    <definedName name="kläop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Klaus" hidden="1">#N/A</definedName>
    <definedName name="klei2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ene" hidden="1">{"TAG1AGMS",#N/A,FALSE,"TAG 1A"}</definedName>
    <definedName name="kli" hidden="1">{"Total",#N/A,FALSE,"Total Proved";"PDP",#N/A,FALSE,"Total Proved";"PNP",#N/A,FALSE,"Total Proved";"PUD",#N/A,FALSE,"Total Proved"}</definedName>
    <definedName name="klinsi" hidden="1">{#N/A,#N/A,FALSE,"Mittelherkunft";#N/A,#N/A,FALSE,"Mittelverwendung"}</definedName>
    <definedName name="klj" hidden="1">{#N/A,#N/A,TRUE,"Cover sheet";#N/A,#N/A,TRUE,"DCF analysis";#N/A,#N/A,TRUE,"WACC calculation"}</definedName>
    <definedName name="KLJDHSFLKH" hidden="1">{"'Title Transfer Units6,7,&amp;8'!$A$1:$B$4","'Title Transfer Units6,7,&amp;8'!$C$6"}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jkjljjjjökl" hidden="1">1/EUReXToDEM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i" hidden="1">{#N/A,#N/A,FALSE,"Layout Cash Flow"}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{"fleisch",#N/A,FALSE,"WG HK";"food",#N/A,FALSE,"WG HK";"hartwaren",#N/A,FALSE,"WG HK";"weichwaren",#N/A,FALSE,"WG HK"}</definedName>
    <definedName name="klklkl" hidden="1">{#N/A,#N/A,FALSE,"Umsatz 99";#N/A,#N/A,FALSE,"ER 99 "}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ñ" hidden="1">{"AS REP",#N/A,FALSE,"EEFSNAP2";"PROP",#N/A,FALSE,"EEFSNAP2";"RISKS",#N/A,FALSE,"EEFSNAP2";"VIEW ALL",#N/A,FALSE,"EEFSNAP2"}</definedName>
    <definedName name="klöiioui" hidden="1">{#N/A,#N/A,FALSE,"Mittelherkunft";#N/A,#N/A,FALSE,"Mittelverwendung"}</definedName>
    <definedName name="klöö" hidden="1">{#N/A,#N/A,FALSE,"Mittelherkunft";#N/A,#N/A,FALSE,"Mittelverwendung"}</definedName>
    <definedName name="klu" hidden="1">{#N/A,#N/A,FALSE,"WOB_1.XLS";#N/A,#N/A,FALSE,"WOB_2.XLS";#N/A,#N/A,FALSE,"WOB_3.XLS";#N/A,#N/A,FALSE,"WOB_4.XLS";#N/A,#N/A,FALSE,"WOB_5.XLS"}</definedName>
    <definedName name="km" hidden="1">{"fleisch",#N/A,FALSE,"WG HK";"food",#N/A,FALSE,"WG HK";"hartwaren",#N/A,FALSE,"WG HK";"weichwaren",#N/A,FALSE,"WG HK"}</definedName>
    <definedName name="kmh" hidden="1">{#N/A,#N/A,TRUE,"Cover sheet";#N/A,#N/A,TRUE,"DCF analysis";#N/A,#N/A,TRUE,"WACC calculation"}</definedName>
    <definedName name="KN" hidden="1">{#N/A,#N/A,FALSE,"Valuation Assumptions";#N/A,#N/A,FALSE,"Summary";#N/A,#N/A,FALSE,"DCF";#N/A,#N/A,FALSE,"Valuation";#N/A,#N/A,FALSE,"WACC";#N/A,#N/A,FALSE,"UBVH";#N/A,#N/A,FALSE,"Free Cash Flow"}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belt" hidden="1">{#N/A,#N/A,TRUE,"Deckblatt PMS";#N/A,#N/A,TRUE,"Ergebnis und Cash-flow PMS";#N/A,#N/A,TRUE,"Kennzahlen PMS"}</definedName>
    <definedName name="Kol" hidden="1">{#N/A,#N/A,FALSE,"Staffnos &amp; cost"}</definedName>
    <definedName name="Kontrolle" hidden="1">{#N/A,#N/A,FALSE,"Mittelherkunft";#N/A,#N/A,FALSE,"Mittelverwendung"}</definedName>
    <definedName name="Konzern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kostas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P" hidden="1">{"pep204a",#N/A,FALSE,"tpepsum4a";"pep205a",#N/A,FALSE,"tpepsum4a";"wpep204a",#N/A,FALSE,"tpepsum4a";"wpep205a",#N/A,FALSE,"tpepsum4a"}</definedName>
    <definedName name="kpmg12" hidden="1">#REF!</definedName>
    <definedName name="kpmg7" hidden="1">#REF!</definedName>
    <definedName name="kpmg9" hidden="1">#REF!</definedName>
    <definedName name="KPOWFPKFPW" hidden="1">{"'Demand Units'!$X$11:$AD$45"}</definedName>
    <definedName name="kris" hidden="1">{"budget95",#N/A,TRUE,"Tabelle1";"Tab1",#N/A,TRUE,"Tabelle2"}</definedName>
    <definedName name="Kronach_eng" hidden="1">#REF!</definedName>
    <definedName name="KRPROZ80K" hidden="1">#REF!</definedName>
    <definedName name="KRPROZ80K_" hidden="1">#REF!</definedName>
    <definedName name="KRPROZ80L" hidden="1">#REF!</definedName>
    <definedName name="KRPROZ80L_" hidden="1">#REF!</definedName>
    <definedName name="KRTAGE" hidden="1">#REF!</definedName>
    <definedName name="KRTAGE_" hidden="1">#REF!</definedName>
    <definedName name="KRTIMEAK" hidden="1">#REF!</definedName>
    <definedName name="KRTIMEAPK" hidden="1">#REF!</definedName>
    <definedName name="KRTIMEPK" hidden="1">#REF!</definedName>
    <definedName name="KRTIMEPKJ" hidden="1">#REF!</definedName>
    <definedName name="KRTIMEVK" hidden="1">#REF!</definedName>
    <definedName name="KRTIMEVKJ" hidden="1">#REF!</definedName>
    <definedName name="KRTOPK0" hidden="1">#REF!</definedName>
    <definedName name="KRTOPK0_" hidden="1">#REF!</definedName>
    <definedName name="KRTOPK0N" hidden="1">#REF!</definedName>
    <definedName name="KRTOPK1" hidden="1">#REF!</definedName>
    <definedName name="KRTOPK1_" hidden="1">#REF!</definedName>
    <definedName name="KRTOPK1N" hidden="1">#REF!</definedName>
    <definedName name="KRTOPK2" hidden="1">#REF!</definedName>
    <definedName name="KRTOPK2_" hidden="1">#REF!</definedName>
    <definedName name="KRTOPK2N" hidden="1">#REF!</definedName>
    <definedName name="KRTOPK3" hidden="1">#REF!</definedName>
    <definedName name="KRTOPK3_" hidden="1">#REF!</definedName>
    <definedName name="KRTOPK3N" hidden="1">#REF!</definedName>
    <definedName name="KRTOPK4" hidden="1">#REF!</definedName>
    <definedName name="KRTOPK4_" hidden="1">#REF!</definedName>
    <definedName name="KRTOPK4N" hidden="1">#REF!</definedName>
    <definedName name="KRTOPK5" hidden="1">#REF!</definedName>
    <definedName name="KRTOPK5_" hidden="1">#REF!</definedName>
    <definedName name="KRTOPK5N" hidden="1">#REF!</definedName>
    <definedName name="KRTOPK6" hidden="1">#REF!</definedName>
    <definedName name="KRTOPK6_" hidden="1">#REF!</definedName>
    <definedName name="KRTOPK6N" hidden="1">#REF!</definedName>
    <definedName name="KRTOPK7" hidden="1">#REF!</definedName>
    <definedName name="KRTOPK7_" hidden="1">#REF!</definedName>
    <definedName name="KRTOPK7N" hidden="1">#REF!</definedName>
    <definedName name="KRTOPK8" hidden="1">#REF!</definedName>
    <definedName name="KRTOPK8_" hidden="1">#REF!</definedName>
    <definedName name="KRTOPK8N" hidden="1">#REF!</definedName>
    <definedName name="KRTOPK9" hidden="1">#REF!</definedName>
    <definedName name="KRTOPK9_" hidden="1">#REF!</definedName>
    <definedName name="KRTOPK9N" hidden="1">#REF!</definedName>
    <definedName name="KRTOPL0" hidden="1">#REF!</definedName>
    <definedName name="KRTOPL0_" hidden="1">#REF!</definedName>
    <definedName name="KRTOPL0N" hidden="1">#REF!</definedName>
    <definedName name="KRTOPL1" hidden="1">#REF!</definedName>
    <definedName name="KRTOPL1_" hidden="1">#REF!</definedName>
    <definedName name="KRTOPL1N" hidden="1">#REF!</definedName>
    <definedName name="KRTOPL2" hidden="1">#REF!</definedName>
    <definedName name="KRTOPL2_" hidden="1">#REF!</definedName>
    <definedName name="KRTOPL2N" hidden="1">#REF!</definedName>
    <definedName name="KRTOPL3" hidden="1">#REF!</definedName>
    <definedName name="KRTOPL3_" hidden="1">#REF!</definedName>
    <definedName name="KRTOPL3N" hidden="1">#REF!</definedName>
    <definedName name="KRTOPL4" hidden="1">#REF!</definedName>
    <definedName name="KRTOPL4_" hidden="1">#REF!</definedName>
    <definedName name="KRTOPL4N" hidden="1">#REF!</definedName>
    <definedName name="KRTOPL5" hidden="1">#REF!</definedName>
    <definedName name="KRTOPL5_" hidden="1">#REF!</definedName>
    <definedName name="KRTOPL5N" hidden="1">#REF!</definedName>
    <definedName name="KRTOPL6" hidden="1">#REF!</definedName>
    <definedName name="KRTOPL6_" hidden="1">#REF!</definedName>
    <definedName name="KRTOPL6N" hidden="1">#REF!</definedName>
    <definedName name="KRTOPL7" hidden="1">#REF!</definedName>
    <definedName name="KRTOPL7_" hidden="1">#REF!</definedName>
    <definedName name="KRTOPL7N" hidden="1">#REF!</definedName>
    <definedName name="KRTOPL8" hidden="1">#REF!</definedName>
    <definedName name="KRTOPL8_" hidden="1">#REF!</definedName>
    <definedName name="KRTOPL8N" hidden="1">#REF!</definedName>
    <definedName name="KRTOPL9" hidden="1">#REF!</definedName>
    <definedName name="KRTOPL9_" hidden="1">#REF!</definedName>
    <definedName name="KRTOPL9N" hidden="1">#REF!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lkjkjlkjd" hidden="1">{#N/A,#N/A,FALSE,"REPORT"}</definedName>
    <definedName name="KST" hidden="1">{"K Bilanz o. Kommentar",#N/A,FALSE,"Kaufhof"}</definedName>
    <definedName name="KTY" hidden="1">{#N/A,#N/A,FALSE,"단축1";#N/A,#N/A,FALSE,"단축2";#N/A,#N/A,FALSE,"단축3";#N/A,#N/A,FALSE,"장축";#N/A,#N/A,FALSE,"4WD"}</definedName>
    <definedName name="ktykjghk" hidden="1">{#N/A,#N/A,TRUE,"Historicals";#N/A,#N/A,TRUE,"Charts";#N/A,#N/A,TRUE,"Forecasts"}</definedName>
    <definedName name="ktzuk" hidden="1">{#N/A,#N/A,FALSE,"Aging Summary";#N/A,#N/A,FALSE,"Ratio Analysis";#N/A,#N/A,FALSE,"Test 120 Day Accts";#N/A,#N/A,FALSE,"Tickmarks"}</definedName>
    <definedName name="kui" hidden="1">{#N/A,#N/A,FALSE,"Aging Summary";#N/A,#N/A,FALSE,"Ratio Analysis";#N/A,#N/A,FALSE,"Test 120 Day Accts";#N/A,#N/A,FALSE,"Tickmarks"}</definedName>
    <definedName name="kuiuk" hidden="1">{#N/A,#N/A,TRUE,"Historicals";#N/A,#N/A,TRUE,"Charts";#N/A,#N/A,TRUE,"Forecasts"}</definedName>
    <definedName name="kului" hidden="1">{"'Other IPS'!$A$5","'Other IPS'!$A$4:$K$38"}</definedName>
    <definedName name="kuykgkg" hidden="1">{#N/A,#N/A,TRUE,"Historicals";#N/A,#N/A,TRUE,"Charts";#N/A,#N/A,TRUE,"Forecasts"}</definedName>
    <definedName name="kuyy" hidden="1">{"'Other IPS'!$A$5","'Other IPS'!$A$4:$K$38"}</definedName>
    <definedName name="kw" hidden="1">{1;"Konsol_Eingabe";2;"Konsol_Ausgabe";"Yellow";"No value";TRUE}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ItemType.01." hidden="1">1</definedName>
    <definedName name="kyd.ItemType.02." hidden="1">2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"TOTAL PRODUCTION"</definedName>
    <definedName name="kyd.ParentName.02." hidden="1">""</definedName>
    <definedName name="kyd.PreScreenData." hidden="1">FALSE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{"budget95",#N/A,TRUE,"Tabelle1";"Tab1",#N/A,TRUE,"Tabelle2"}</definedName>
    <definedName name="l.l." hidden="1">{#N/A,#N/A,FALSE,"Layout Cash Flow"}</definedName>
    <definedName name="L_COVER" hidden="1">{#N/A,#N/A,FALSE,"단축1";#N/A,#N/A,FALSE,"단축2";#N/A,#N/A,FALSE,"단축3";#N/A,#N/A,FALSE,"장축";#N/A,#N/A,FALSE,"4WD"}</definedName>
    <definedName name="ladro" hidden="1">{"FY97Q1",#N/A,FALSE,"FY97 - Q1";"FY97Q2",#N/A,FALSE,"FY97 - Q2";"FY97Q3",#N/A,FALSE,"FY97 - Q3";"FY97Q4",#N/A,FALSE,"FY97 - Q4"}</definedName>
    <definedName name="lala" hidden="1">{#N/A,#N/A,TRUE,"Cover sheet";#N/A,#N/A,TRUE,"DCF analysis";#N/A,#N/A,TRUE,"WACC calculation"}</definedName>
    <definedName name="LARM문제대책" hidden="1">{#N/A,#N/A,FALSE,"단축1";#N/A,#N/A,FALSE,"단축2";#N/A,#N/A,FALSE,"단축3";#N/A,#N/A,FALSE,"장축";#N/A,#N/A,FALSE,"4WD"}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SALEPRICE" hidden="1">"LASTSALEPRICE"</definedName>
    <definedName name="LATESTK" hidden="1">1000</definedName>
    <definedName name="LATESTKFR" hidden="1">50</definedName>
    <definedName name="LATESTKNONPRESS" hidden="1">50</definedName>
    <definedName name="LATESTQ" hidden="1">500</definedName>
    <definedName name="LATESTQFR" hidden="1">100</definedName>
    <definedName name="LATESTQNONPRESS" hidden="1">100</definedName>
    <definedName name="lbo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dkeir" hidden="1">{#N/A,"PURCHM",FALSE,"Business Analysis";#N/A,"SPADD",FALSE,"Business Analysis"}</definedName>
    <definedName name="ldsjglsgls" hidden="1">{#N/A,#N/A,FALSE,"Performance Flash Report"}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 hidden="1">{#N/A,#N/A,FALSE,"Pharm";#N/A,#N/A,FALSE,"WWCM"}</definedName>
    <definedName name="leien" hidden="1">{"fleisch",#N/A,FALSE,"WG HK";"food",#N/A,FALSE,"WG HK";"hartwaren",#N/A,FALSE,"WG HK";"weichwaren",#N/A,FALSE,"WG HK"}</definedName>
    <definedName name="Leo" hidden="1">{"'Future Reviews'!$A$1:$D$58"}</definedName>
    <definedName name="l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lgm" hidden="1">{"'Sample Status'!$A$1:$J$21"}</definedName>
    <definedName name="lgui" hidden="1">{"CLEARING",#N/A,FALSE,"clearing"}</definedName>
    <definedName name="lh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glkjhglkjlkjg" hidden="1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" hidden="1">{"en FRF",#N/A,FALSE,"mars99";"en €uros",#N/A,FALSE,"mars99"}</definedName>
    <definedName name="lim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 hidden="1">1</definedName>
    <definedName name="limey" hidden="1">{#N/A,#N/A,FALSE,"Calc";#N/A,#N/A,FALSE,"Sensitivity";#N/A,#N/A,FALSE,"LT Earn.Dil.";#N/A,#N/A,FALSE,"Dil. AVP"}</definedName>
    <definedName name="limone" hidden="1">{"FY97Q1 var",#N/A,FALSE,"FY97 - Q1";"FY97Q2 var",#N/A,FALSE,"FY97 - Q2";"FY97Q3 var",#N/A,FALSE,"FY97 - Q3";"FY97Q4 var",#N/A,FALSE,"FY97 - Q4"}</definedName>
    <definedName name="Linda" hidden="1">{#N/A,#N/A,FALSE,"Sheet2"}</definedName>
    <definedName name="LINE검토2" hidden="1">{#N/A,#N/A,TRUE,"Y생산";#N/A,#N/A,TRUE,"Y판매";#N/A,#N/A,TRUE,"Y총물량";#N/A,#N/A,TRUE,"Y능력";#N/A,#N/A,TRUE,"YKD"}</definedName>
    <definedName name="Liste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istOffset" hidden="1">1</definedName>
    <definedName name="liulkjm" hidden="1">{#N/A,#N/A,TRUE,"Historicals";#N/A,#N/A,TRUE,"Charts";#N/A,#N/A,TRUE,"Forecasts"}</definedName>
    <definedName name="liyh" hidden="1">{#N/A,#N/A,TRUE,"RIDE";#N/A,#N/A,TRUE,"STEERING";#N/A,#N/A,TRUE,"HANDLING";#N/A,#N/A,TRUE,"BRAKING"}</definedName>
    <definedName name="liyljk" hidden="1">{#N/A,#N/A,TRUE,"Historicals";#N/A,#N/A,TRUE,"Charts";#N/A,#N/A,TRUE,"Forecasts"}</definedName>
    <definedName name="lj" hidden="1">{#N/A,#N/A,TRUE,"Staffnos &amp; cost"}</definedName>
    <definedName name="ljiljj" hidden="1">{#N/A,#N/A,TRUE,"Historicals";#N/A,#N/A,TRUE,"Charts";#N/A,#N/A,TRUE,"Forecasts"}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sdff" hidden="1">{"Burden (burden)",#N/A,FALSE,"burden"}</definedName>
    <definedName name="lk" hidden="1">{#N/A,#N/A,FALSE,"Deals in month";#N/A,#N/A,FALSE,"Order Tracking";#N/A,#N/A,FALSE,"Major Sales Top 20";#N/A,#N/A,FALSE,"OS Rev Track";#N/A,#N/A,FALSE,"HPS Rev Track";#N/A,#N/A,FALSE,"Lost Bids"}</definedName>
    <definedName name="lkajsdl" hidden="1">{0,0,0,0;0,0,0,0;0,0,0,0}</definedName>
    <definedName name="lkalsdkhvfjjf" hidden="1">{"'Title Transfer Units6,7,&amp;8'!$A$1:$B$4","'Title Transfer Units6,7,&amp;8'!$C$6"}</definedName>
    <definedName name="lkhlh" hidden="1">{#N/A,#N/A,TRUE,"Historicals";#N/A,#N/A,TRUE,"Charts";#N/A,#N/A,TRUE,"Forecasts"}</definedName>
    <definedName name="lkj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ｌｋｊ" hidden="1">#REF!</definedName>
    <definedName name="LKJD" hidden="1">{"'Demand Units'!$X$11:$AD$45"}</definedName>
    <definedName name="lkjlk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kjlkj" hidden="1">{"Final",#N/A,FALSE,"Feb-96"}</definedName>
    <definedName name="lkjlklkjlkjlkj" hidden="1">{"page1",#N/A,TRUE,"CSC";"page2",#N/A,TRUE,"CSC"}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klk" hidden="1">{"Presentation",#N/A,FALSE,"Feb96 - ALL"}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0" hidden="1">{"Bilanz grob",#N/A,FALSE,"Planbilanz";"Erfolgsrechnung grob",#N/A,FALSE,"Plan-ER";#N/A,#N/A,FALSE,"Geldfluss"}</definedName>
    <definedName name="llb" hidden="1">{"Bilanz grob",#N/A,FALSE,"Planbilanz";"Erfolgsrechnung grob",#N/A,FALSE,"Plan-ER";#N/A,#N/A,FALSE,"Geldfluss"}</definedName>
    <definedName name="LLG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llk" hidden="1">{"pro_view",#N/A,FALSE,"EEFSNAP2";"rep_view",#N/A,FALSE,"EEFSNAP2"}</definedName>
    <definedName name="lll" hidden="1">{#N/A,#N/A,FALSE,"Bezirk SW";#N/A,#N/A,FALSE,"Dir S (GK)";#N/A,#N/A,FALSE,"Dir FR (PK)"}</definedName>
    <definedName name="llll" hidden="1">{#N/A,#N/A,FALSE,"invpln"}</definedName>
    <definedName name="LLLLL" hidden="1">{#N/A,#N/A,FALSE,"단축1";#N/A,#N/A,FALSE,"단축2";#N/A,#N/A,FALSE,"단축3";#N/A,#N/A,FALSE,"장축";#N/A,#N/A,FALSE,"4WD"}</definedName>
    <definedName name="llllll" hidden="1">{"detail",#N/A,FALSE,"mfg";"summary",#N/A,FALSE,"mfg"}</definedName>
    <definedName name="lllllllllllllllllllllllllllllllllllllllllllllllllllllllllllllllllllllllllllllllllllllllllllllllllllllllllllllllllll" hidden="1">{"Summary",#N/A,FALSE,"Summary";"A&amp;A's",#N/A,FALSE,"Aids &amp; A's";"MajorWorks",#N/A,FALSE,"Major Works";"EstateImps",#N/A,FALSE,"Estate Imps";"CatC",#N/A,FALSE,"Cat C Voids";"CycProg",#N/A,FALSE,"Cyclical Prog inc MR"}</definedName>
    <definedName name="llp" hidden="1">{"YD LPH2",#N/A,FALSE,"YTD"}</definedName>
    <definedName name="llpk" hidden="1">{"MATERIAL",#N/A,FALSE,"material"}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ö" hidden="1">"c5584"</definedName>
    <definedName name="LOAHC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LOAN_LOSS" hidden="1">"LOAN_LOSS"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logh" hidden="1">{"Tages_D",#N/A,FALSE,"Tagesbericht";"Tages_PL",#N/A,FALSE,"Tagesbericht"}</definedName>
    <definedName name="logistik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loiuj" hidden="1">{"'Other IPS'!$A$5","'Other IPS'!$A$4:$K$38"}</definedName>
    <definedName name="loki" hidden="1">{#N/A,#N/A,TRUE,"CF brut";#N/A,#N/A,TRUE,"CashFlow";#N/A,#N/A,TRUE,"RCE";#N/A,#N/A,TRUE,"amort"}</definedName>
    <definedName name="lökj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oklk" hidden="1">{#N/A,#N/A,TRUE,"Historicals";#N/A,#N/A,TRUE,"Charts";#N/A,#N/A,TRUE,"Forecasts"}</definedName>
    <definedName name="lol" hidden="1">{"fleisch",#N/A,FALSE,"WG HK";"food",#N/A,FALSE,"WG HK";"hartwaren",#N/A,FALSE,"WG HK";"weichwaren",#N/A,FALSE,"WG HK"}</definedName>
    <definedName name="lolo" hidden="1">{"scrap",#N/A,FALSE,"scrap"}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p" hidden="1">{"fleisch",#N/A,FALSE,"WG HK";"food",#N/A,FALSE,"WG HK";"hartwaren",#N/A,FALSE,"WG HK";"weichwaren",#N/A,FALSE,"WG HK"}</definedName>
    <definedName name="Lorena" hidden="1">{"'Data'!$A$1:$D$17"}</definedName>
    <definedName name="lost" hidden="1">{"'comite'!$A$9:$G$44","'comite'!$A$1:$G$6"}</definedName>
    <definedName name="LostTimeJAR" hidden="1">{"'Data'!$A$1:$D$17"}</definedName>
    <definedName name="LotusGraphChart1" hidden="1">#REF!</definedName>
    <definedName name="lotusgraphchart1b" hidden="1">#REF!</definedName>
    <definedName name="lotusgraphchart1x" hidden="1">#REF!</definedName>
    <definedName name="LowPrice" hidden="1">#REF!</definedName>
    <definedName name="lp" hidden="1">#N/A</definedName>
    <definedName name="lplpl" hidden="1">{#N/A,#N/A,FALSE,"Index";#N/A,#N/A,FALSE,"1.1";#N/A,#N/A,FALSE,"Scenario Summary"}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s" hidden="1">{#N/A,#N/A,FALSE,"단축1";#N/A,#N/A,FALSE,"단축2";#N/A,#N/A,FALSE,"단축3";#N/A,#N/A,FALSE,"장축";#N/A,#N/A,FALSE,"4WD"}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nonasset1" hidden="1">#REF!</definedName>
    <definedName name="ltmnonasset2" hidden="1">#REF!</definedName>
    <definedName name="ltmnonasset4" hidden="1">#REF!</definedName>
    <definedName name="ltmnonliab1" hidden="1">#REF!</definedName>
    <definedName name="ltmnonliab2" hidden="1">#REF!</definedName>
    <definedName name="ltmnonliab4" hidden="1">#REF!</definedName>
    <definedName name="LUFeXToEUR" hidden="1">1/EUReXToLUF</definedName>
    <definedName name="luiyuy" hidden="1">{"'Other IPS'!$A$5","'Other IPS'!$A$4:$K$38"}</definedName>
    <definedName name="LUP" hidden="1">#REF!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XURY" hidden="1">{"EXPORT",#N/A,FALSE,"A8CONTENT"}</definedName>
    <definedName name="luyit" hidden="1">{#N/A,#N/A,FALSE,"Staffnos &amp; cost"}</definedName>
    <definedName name="LV仕様" hidden="1">#REF!</definedName>
    <definedName name="lylyyy" hidden="1">{"'Other IPS'!$A$5","'Other IPS'!$A$4:$K$38"}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A" hidden="1">{#N/A,#N/A,FALSE,"Rev Grwth";#N/A,#N/A,FALSE,"Op Inc Grwth";#N/A,#N/A,FALSE,"Net Grwth";#N/A,#N/A,FALSE,"EPS Growth"}</definedName>
    <definedName name="M_PlaceofPath" hidden="1">"F:\JCLARK\AHC\ahc_vdf.xls"</definedName>
    <definedName name="MA" hidden="1">{#N/A,#N/A,FALSE,"Consol P&amp;L ";#N/A,#N/A,FALSE,"CP P&amp;L";#N/A,#N/A,FALSE,"ADS P&amp;L";#N/A,#N/A,FALSE,"Corp P&amp;L"}</definedName>
    <definedName name="MaD" hidden="1">{"BS",#N/A,FALSE,"USA"}</definedName>
    <definedName name="MA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Main" hidden="1">{"'ID(2)'!$E$1:$N$4"}</definedName>
    <definedName name="Maintenanc" hidden="1">{"'ID(2)'!$E$1:$N$4"}</definedName>
    <definedName name="maji" hidden="1">{"detail",#N/A,FALSE,"mfg";"summary",#N/A,FALSE,"mfg"}</definedName>
    <definedName name="MAL" hidden="1">#REF!</definedName>
    <definedName name="Mandantenname" hidden="1">#REF!</definedName>
    <definedName name="MANHRS" hidden="1">{"LCCOST",#N/A,FALSE,"FC-3 "}</definedName>
    <definedName name="mans" hidden="1">{"quarterly",#N/A,FALSE,"Income Statement";#N/A,#N/A,FALSE,"print segment";#N/A,#N/A,FALSE,"Balance Sheet";#N/A,#N/A,FALSE,"Annl Inc";#N/A,#N/A,FALSE,"Cash Flow"}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" hidden="1">"MATRA - AUTOMOBILE"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en" hidden="1">"4WJPO5PFX073GKVK4BI986WG1"</definedName>
    <definedName name="margin" hidden="1">{#N/A,#N/A,FALSE,"Aging Summary";#N/A,#N/A,FALSE,"Ratio Analysis";#N/A,#N/A,FALSE,"Test 120 Day Accts";#N/A,#N/A,FALSE,"Tickmarks"}</definedName>
    <definedName name="margrossty" hidden="1">#REF!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RKETCAP" hidden="1">"MARKETCAP"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sterCheck" hidden="1">#REF!</definedName>
    <definedName name="MasterGM" hidden="1">{"'Future Reviews'!$A$1:$D$58"}</definedName>
    <definedName name="MasterS" hidden="1">{"'Future Reviews'!$A$1:$D$58"}</definedName>
    <definedName name="maur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x" hidden="1">1/EUReXToBEF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b_inputLocation" hidden="1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dfsd" hidden="1">Main.SAPF4Help()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dmult" hidden="1">#REF!</definedName>
    <definedName name="Mehrjahresplanung" hidden="1">#REF!</definedName>
    <definedName name="mens" hidden="1">{"direct labor",#N/A,FALSE,"labor";"direct labor1",#N/A,FALSE,"labor"}</definedName>
    <definedName name="mensual" hidden="1">{"indirect labor",#N/A,FALSE,"labor"}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rillPrintIt" hidden="1">#REF!</definedName>
    <definedName name="MEWarning" hidden="1">1</definedName>
    <definedName name="mfoew" hidden="1">{#N/A,"PURCHM",FALSE,"Business Analysis";#N/A,"SPADD",FALSE,"Business Analysis"}</definedName>
    <definedName name="mi" hidden="1">2</definedName>
    <definedName name="micio" hidden="1">{"FY98Q1",#N/A,FALSE,"FY98 - Q1";"FY98Q2",#N/A,FALSE,"FY98 - Q2";"FY98Q3",#N/A,FALSE,"FY98 - Q3";"FY98Q4",#N/A,FALSE,"FY98 - Q4"}</definedName>
    <definedName name="Midmarket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MietleasingMitKfz" hidden="1">#REF!</definedName>
    <definedName name="MietleasingMitKfz_" hidden="1">#REF!</definedName>
    <definedName name="MietleasingMitKfzK" hidden="1">#REF!</definedName>
    <definedName name="MietleasingMitKfzM" hidden="1">#REF!</definedName>
    <definedName name="MietleasingMitKfzN" hidden="1">#REF!</definedName>
    <definedName name="MietleasingMitKfzZ" hidden="1">#REF!</definedName>
    <definedName name="mike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milner" hidden="1">{#N/A,#N/A,FALSE,"Aging Summary";#N/A,#N/A,FALSE,"Ratio Analysis";#N/A,#N/A,FALSE,"Test 120 Day Accts";#N/A,#N/A,FALSE,"Tickmarks"}</definedName>
    <definedName name="min" hidden="1">{#N/A,#N/A,FALSE,"REPORT"}</definedName>
    <definedName name="mina" hidden="1">{#N/A,#N/A,FALSE,"REPORT"}</definedName>
    <definedName name="minadj" hidden="1">#REF!</definedName>
    <definedName name="minadj2" hidden="1">#REF!</definedName>
    <definedName name="MINORITY_INTEREST" hidden="1">"MINORITY_INTEREST"</definedName>
    <definedName name="minorityintyes" hidden="1">#REF!</definedName>
    <definedName name="mirto" hidden="1">{"FY97Total var",#N/A,FALSE,"FY97 - Total";"FY98Total var",#N/A,FALSE,"FY98 - Total"}</definedName>
    <definedName name="MISC_EARN_ADJ" hidden="1">"MISC_EARN_ADJ"</definedName>
    <definedName name="Mittelbeantragung2" hidden="1">{#N/A,#N/A,FALSE,"1. PTI Ziele";#N/A,#N/A,FALSE,"2. Zielkatalog ";#N/A,#N/A,FALSE,"3. Masterterminplan"}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FJKFJHF25" hidden="1">{"'Title Transfer Units6,7,&amp;8'!$A$1:$B$4","'Title Transfer Units6,7,&amp;8'!$C$6"}</definedName>
    <definedName name="MJN" hidden="1">{"'Demand Units'!$X$11:$AD$45"}</definedName>
    <definedName name="MJP" hidden="1">#REF!</definedName>
    <definedName name="mk" hidden="1">{"fleisch",#N/A,FALSE,"WG HK";"food",#N/A,FALSE,"WG HK";"hartwaren",#N/A,FALSE,"WG HK";"weichwaren",#N/A,FALSE,"WG HK"}</definedName>
    <definedName name="MKK" hidden="1">{"'下期集計（10.27迄・速報値）'!$Q$16"}</definedName>
    <definedName name="mkl" hidden="1">{"pro_view",#N/A,FALSE,"EEFSNAP2";"rep_view",#N/A,FALSE,"EEFSNAP2"}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l" hidden="1">"4DO9W1IBUQC8WGIYA1DM5Z571"</definedName>
    <definedName name="MLNK001a80ff05c14549b6968cbe46f7b9fe" hidden="1">#REF!</definedName>
    <definedName name="MLNK0029a2db3fcc4eecbadadd84ea97e13e" hidden="1">#REF!</definedName>
    <definedName name="MLNK0080f629ed1b41818e3b4168146b044c" hidden="1">#REF!</definedName>
    <definedName name="MLNK01c5ceaa10e24507adab41de59f80724" hidden="1">#REF!</definedName>
    <definedName name="MLNK01e74e1779f34329bdd3cef410ce912c" hidden="1">#REF!</definedName>
    <definedName name="MLNK022d45756e5e4e6b8964df9c378c7002" hidden="1">#REF!</definedName>
    <definedName name="MLNK024d4c9e6a1341b1b1119be6ccb6f648" hidden="1">#REF!</definedName>
    <definedName name="MLNK030ec4e17eb0487881db060d5a162257" hidden="1">#REF!</definedName>
    <definedName name="MLNK03de70ec765b4556904bb17cc6e17d76" hidden="1">#REF!</definedName>
    <definedName name="MLNK04229f2b76194fd28d202652a32f7fac" hidden="1">#REF!</definedName>
    <definedName name="MLNK046370ffb7484ea3942f5d15ebefe1bc" hidden="1">#REF!</definedName>
    <definedName name="MLNK04e8232b24f444d2a3653f138d1f593c" hidden="1">#REF!</definedName>
    <definedName name="MLNK05109aa1a4b2467aa894f159e7a35b92" hidden="1">#REF!</definedName>
    <definedName name="MLNK069e0db62d8f4d178f7b11015e2bb116" hidden="1">#REF!</definedName>
    <definedName name="MLNK0761816f6d124df585ee85ea9b345fa9" hidden="1">#REF!</definedName>
    <definedName name="MLNK078041be487045718b5f76501901082a" hidden="1">#REF!</definedName>
    <definedName name="MLNK0858ea2ce6934f10b4f2dbbc5e98b009" hidden="1">#REF!</definedName>
    <definedName name="MLNK094ae2cf73854f25be3daae2785ec707" hidden="1">#REF!</definedName>
    <definedName name="MLNK0954c33bf5ef4bdf9aba19fe5f904926" hidden="1">#REF!</definedName>
    <definedName name="MLNK09ee301443a24207a7888c268487f4fd" hidden="1">#REF!</definedName>
    <definedName name="MLNK0a90d0354dee49cfba38eb32d32466a9" hidden="1">#REF!</definedName>
    <definedName name="MLNK0b363239dd854af3baf9bb633a72f560" hidden="1">#REF!</definedName>
    <definedName name="MLNK0caa629f9f1f48779101cf8af00425e3" hidden="1">#REF!</definedName>
    <definedName name="MLNK0d196377627e48fbbb797f385521e7c9" hidden="1">#REF!</definedName>
    <definedName name="MLNK0da82c4bc2834e139e720997143fb0cb" hidden="1">#REF!</definedName>
    <definedName name="MLNK0dab32f843164184b6ee674d256a3c9e" hidden="1">#REF!</definedName>
    <definedName name="MLNK0dd155b2e6b341ccad931e7db3c33951" hidden="1">#REF!</definedName>
    <definedName name="MLNK0de49bfd9597493fb9147395aab54590" hidden="1">#REF!</definedName>
    <definedName name="MLNK0e40149d86134610bd9e0ab52d13718c" hidden="1">#REF!</definedName>
    <definedName name="MLNK0e7a1970c7c344b6a7e0895f9ab2aadd" hidden="1">#REF!</definedName>
    <definedName name="MLNK0ea8bc194f4241288f82d08c90be0821" hidden="1">#REF!</definedName>
    <definedName name="MLNK0f3c1287ebad467fb7341ce5261f30c6" hidden="1">#REF!</definedName>
    <definedName name="MLNK10341875af084525a3ca6890e4d310f3" hidden="1">#REF!</definedName>
    <definedName name="MLNK104aee804f734992af8beb0715d3b386" hidden="1">#REF!</definedName>
    <definedName name="MLNK1289e78ed9504efcabdc74a25eddbe70" hidden="1">#REF!</definedName>
    <definedName name="MLNK12dee047aa3f4beaafd3936e540ac18e" hidden="1">#REF!</definedName>
    <definedName name="MLNK13d9f7e3738248ce824895de9107feff" hidden="1">#REF!</definedName>
    <definedName name="MLNK14e36f743f6547fe964b1154c4ea46b6" hidden="1">#REF!</definedName>
    <definedName name="MLNK16e85f3eb0134fdeb7310375f53ac2b3" hidden="1">#REF!</definedName>
    <definedName name="MLNK187850a6f3894d11b89b4b356149b532" hidden="1">#REF!</definedName>
    <definedName name="MLNK1af1fd7f37c94571b7555035f20d920b" hidden="1">#REF!</definedName>
    <definedName name="MLNK1b86c43398924f9c951516a9c520c2e5" hidden="1">#REF!</definedName>
    <definedName name="MLNK1c00a9eb395d446e8bf018bc45475189" hidden="1">#REF!</definedName>
    <definedName name="MLNK1f53fbd0f82445d487d511a1688291b9" hidden="1">#REF!</definedName>
    <definedName name="MLNK1fd6f9b924584427b2f67c71605bf9d1" hidden="1">#REF!</definedName>
    <definedName name="MLNK20a14aca840b49c58c617e2257f3e40f" hidden="1">#REF!</definedName>
    <definedName name="MLNK20fac060f3db4f53bb3582eabeeb0e24" hidden="1">#REF!</definedName>
    <definedName name="MLNK21d78cce335a47e8ab27ec1350941ca7" hidden="1">#REF!</definedName>
    <definedName name="MLNK2411e5cb7bff402d889283397d34726d" hidden="1">#REF!</definedName>
    <definedName name="MLNK24382ac55747434cbe84f45dcfb87558" hidden="1">#REF!</definedName>
    <definedName name="MLNK244ce5eb9da14a188d20aa5ea094acba" hidden="1">#REF!</definedName>
    <definedName name="MLNK2789e4b38b7f46b69b9d4766b0bc429b" hidden="1">#REF!</definedName>
    <definedName name="MLNK27d320fefa4e405c95e425d38b1adc3e" hidden="1">#REF!</definedName>
    <definedName name="MLNK29b2bb1aa9bf45749e13e66d755fdd6b" hidden="1">#REF!</definedName>
    <definedName name="MLNK2a7da34465b3497c9cc27baaf7ba74a7" hidden="1">#REF!</definedName>
    <definedName name="MLNK2b22fd3110794f1c8d4757cfd586e683" hidden="1">#REF!</definedName>
    <definedName name="MLNK2b9149c4a06640ada2c37fb49eaca1a2" hidden="1">#REF!</definedName>
    <definedName name="MLNK2bfd0b75c2bf4f0bac45103f2dffc4db" hidden="1">#REF!</definedName>
    <definedName name="MLNK2de2a48b620b4e4fbac5812f62d83186" hidden="1">#REF!</definedName>
    <definedName name="MLNK2eaeed4539ad4f4b9cbbf43e4ed28afb" hidden="1">#REF!</definedName>
    <definedName name="MLNK2f0f016eefbb4db68c9e897c2e3499f8" hidden="1">#REF!</definedName>
    <definedName name="MLNK308c9e56529b4852a1df350f7283bb84" hidden="1">#REF!</definedName>
    <definedName name="MLNK30c53cb0e6fd46c39173cd882490e169" hidden="1">#REF!</definedName>
    <definedName name="MLNK33bab530a5194983bf4b4703f77206e6" hidden="1">#REF!</definedName>
    <definedName name="MLNK34446c0eda3740efa955cbb26f178486" hidden="1">#REF!</definedName>
    <definedName name="MLNK34e3e0364e7b455996c004eee5501acd" hidden="1">#REF!</definedName>
    <definedName name="MLNK35459868630e41c0a7cd4448fbf94924" hidden="1">#REF!</definedName>
    <definedName name="MLNK36ca01efc7864a408d74ad660c8067ff" hidden="1">#REF!</definedName>
    <definedName name="MLNK37160acaaf704b628bc0ad174ed738e4" hidden="1">#REF!</definedName>
    <definedName name="MLNK372abd0aff0e4ac8b0c9521d48bcc39c" hidden="1">#REF!</definedName>
    <definedName name="MLNK383e435ce9f444f9959820f25cd226a1" hidden="1">#REF!</definedName>
    <definedName name="MLNK384a12934a284d7a9c70760d85610f5e" hidden="1">#REF!</definedName>
    <definedName name="MLNK3b5cf33141fc47289bdf490a14302e8e" hidden="1">#REF!</definedName>
    <definedName name="MLNK3b9240663d244bc0967fefbea414b6a4" hidden="1">#REF!</definedName>
    <definedName name="MLNK3bbf463efb92434392c6d607f9e86527" hidden="1">#REF!</definedName>
    <definedName name="MLNK3bd7c0e5924841f2ad9ef2b0653da3d7" hidden="1">#REF!</definedName>
    <definedName name="MLNK3c594e3686c1417fa251abb6a654f583" hidden="1">#REF!</definedName>
    <definedName name="MLNK3d82fba1c532431c9f9d70f99e5fcdd4" hidden="1">#REF!</definedName>
    <definedName name="MLNK3e6f96ef26944aa7af6f072c8c7ed5e5" hidden="1">#REF!</definedName>
    <definedName name="MLNK40eaf1033aeb4c62b173a9c4fb3aaf25" hidden="1">#REF!</definedName>
    <definedName name="MLNK453a8aaa7aef4c16a9805aedc7fde307" hidden="1">#REF!</definedName>
    <definedName name="MLNK4658c580a224432eb80f943a7241bb05" hidden="1">#REF!</definedName>
    <definedName name="MLNK465ed50b393240f0bc895eb259a95267" hidden="1">#REF!</definedName>
    <definedName name="MLNK46ac712039c14ebabe61431bb9556b7e" hidden="1">#REF!</definedName>
    <definedName name="MLNK479bc61a53514e77810a2ac220305049" hidden="1">#REF!</definedName>
    <definedName name="MLNK47a3bd0c4d2e4bf0b38af6c9bbf898dc" hidden="1">#REF!</definedName>
    <definedName name="MLNK485607a3bca545f8b55cf9c97b2e9e62" hidden="1">#REF!</definedName>
    <definedName name="MLNK49d1217ec34a4979bba2efd528376dca" hidden="1">#REF!</definedName>
    <definedName name="MLNK49f5392899ef40cb85e53f1ea2c500a6" hidden="1">#REF!</definedName>
    <definedName name="MLNK4c5893de0c6b411dbecc625423767105" hidden="1">#REF!</definedName>
    <definedName name="MLNK4c92e2693961479ca9178be4bfea1401" hidden="1">#REF!</definedName>
    <definedName name="MLNK4d30c65824be4a41a633b26131c2b192" hidden="1">#REF!</definedName>
    <definedName name="MLNK4d4368c2fb29476d84b074219fca3645" hidden="1">#REF!</definedName>
    <definedName name="MLNK4ee2a1786efd49a0a4dc5e745731b145" hidden="1">#REF!</definedName>
    <definedName name="MLNK4f37261b9ecc4dbdb97cf6b3af08ff16" hidden="1">#REF!</definedName>
    <definedName name="MLNK4ff8572370fe4f15bb47aab28d8f8bd2" hidden="1">#REF!</definedName>
    <definedName name="MLNK5022e304572c46cd940c97fef362cf41" hidden="1">#REF!</definedName>
    <definedName name="MLNK5144749db37348199928f12213c7c66e" hidden="1">#REF!</definedName>
    <definedName name="MLNK5174d69f057849e4a042282e9e2296c0" hidden="1">#REF!</definedName>
    <definedName name="MLNK517e4b51d02947e3ba0594260ba0d45e" hidden="1">#REF!</definedName>
    <definedName name="MLNK519de93bf78f47a1891887d3e149a825" hidden="1">#REF!</definedName>
    <definedName name="MLNK52215100950345f7ac4fb1cf09422517" hidden="1">#REF!</definedName>
    <definedName name="MLNK523938909daa4113b5389f7f3367a70b" hidden="1">#REF!</definedName>
    <definedName name="MLNK52622e2fd25943f9b38cacc978394d03" hidden="1">#REF!</definedName>
    <definedName name="MLNK528af4a9e502414ea24e9bb0a0041200" hidden="1">#REF!</definedName>
    <definedName name="MLNK5396b3f096794ec392a4d747f245981f" hidden="1">#REF!</definedName>
    <definedName name="MLNK540009530c974479b128fdaaec98b51d" hidden="1">#REF!</definedName>
    <definedName name="MLNK5427b219985343eb844cf7ee5f64e601" hidden="1">#REF!</definedName>
    <definedName name="MLNK55ad1f9073064640b409adffd2cb8165" hidden="1">#REF!</definedName>
    <definedName name="MLNK596365a0066d4aeb967d6d36a6736762" hidden="1">#REF!</definedName>
    <definedName name="MLNK5a72b3eded524719b5746b0b14f3b6c4" hidden="1">#REF!</definedName>
    <definedName name="MLNK5b2f68d714724a7b9b02126821c61413" hidden="1">#REF!</definedName>
    <definedName name="MLNK5b5905e52d9e40b284e9ac9ffbaf90a0" hidden="1">#REF!</definedName>
    <definedName name="MLNK5c433bc2bff143cf971a50e9def7025b" hidden="1">#REF!</definedName>
    <definedName name="MLNK5df452a98d774da0b7a4c9ae5c37aa38" hidden="1">#REF!</definedName>
    <definedName name="MLNK5e3d26b9b9a84ddca7455fd7f7145399" hidden="1">#REF!</definedName>
    <definedName name="MLNK5e5fc4f1516345b6af18940a03d9cafe" hidden="1">#REF!</definedName>
    <definedName name="MLNK5e857408172044d287c568a5075ee9a5" hidden="1">#REF!</definedName>
    <definedName name="MLNK5ea02ac23f6d4fd383f5d5a7eecdd744" hidden="1">#REF!</definedName>
    <definedName name="MLNK5ea734fd650e44128a317394f222e324" hidden="1">#REF!</definedName>
    <definedName name="MLNK5f48a83efdae4ed8826196cf51d5bc9a" hidden="1">#REF!</definedName>
    <definedName name="MLNK5fd76e0369fb431e94268b472ef5af82" hidden="1">#REF!</definedName>
    <definedName name="MLNK6088f2d54aec4353bcefa5fc3169b2ef" hidden="1">#REF!</definedName>
    <definedName name="MLNK635bee11a1824ba4bd2db7c63bf33d14" hidden="1">#REF!</definedName>
    <definedName name="MLNK6429455a706741b99dcc3ad1ccb404c8" hidden="1">#REF!</definedName>
    <definedName name="MLNK644b676c85b449c6826a8dc93f8070df" hidden="1">#REF!</definedName>
    <definedName name="MLNK65c71766418d4694bd6032beb15991d8" hidden="1">#REF!</definedName>
    <definedName name="MLNK65d6fea9489d44759fe86a382828b089" hidden="1">#REF!</definedName>
    <definedName name="MLNK66d40a0f09914585ae88988f0cd8f2a8" hidden="1">#REF!</definedName>
    <definedName name="MLNK678b903b7eb04cf38383dc3e26fe2330" hidden="1">#REF!</definedName>
    <definedName name="MLNK678ca70bb7df4803ab1d660f38b700ae" hidden="1">#REF!</definedName>
    <definedName name="MLNK679e22ef6b334a10b30277f3c3dfb283" hidden="1">#REF!</definedName>
    <definedName name="MLNK688d691807224a78a76de9b4b3d81713" hidden="1">#REF!</definedName>
    <definedName name="MLNK6966108912cc465b865058aa1f369ef8" hidden="1">#REF!</definedName>
    <definedName name="MLNK69b5bac49e1b459a978447ebd6a321a7" hidden="1">#REF!</definedName>
    <definedName name="MLNK6a4023ae88d0498ab1e29c6ab049f63f" hidden="1">#REF!</definedName>
    <definedName name="MLNK6d4d614547a04ccc8d122cdf30f25a19" hidden="1">#REF!</definedName>
    <definedName name="MLNK6dafe59d938f4663a75ca0727877fad0" hidden="1">#REF!</definedName>
    <definedName name="MLNK6e3746900cb6466aa94ca76ecdfc0dbd" hidden="1">#REF!</definedName>
    <definedName name="MLNK6ea964c653f74013a6e9ae07ca782606" hidden="1">#REF!</definedName>
    <definedName name="MLNK6ff6768252744844943fc133d0bc9a91" hidden="1">#REF!</definedName>
    <definedName name="MLNK701bd67f9ee644ed820e48e4c6c51fd1" hidden="1">#REF!</definedName>
    <definedName name="MLNK7034f501682043b29d7d55ed3acf1bbb" hidden="1">#REF!</definedName>
    <definedName name="MLNK70377839452e4f538165fc304845a919" hidden="1">#REF!</definedName>
    <definedName name="MLNK7103eb4f64694ac089092067afa57978" hidden="1">#REF!</definedName>
    <definedName name="MLNK723b396db9da4b4d947b2e397736fbb5" hidden="1">#REF!</definedName>
    <definedName name="MLNK725819b8362d45c2838b428ce4903aeb" hidden="1">#REF!</definedName>
    <definedName name="MLNK72b7bc16f1dc494ab0fbd76959a4b7d0" hidden="1">#REF!</definedName>
    <definedName name="MLNK7355383a90b8412092281bae261d6baf" hidden="1">#REF!</definedName>
    <definedName name="MLNK736b06d8710a4fbf961591216781fd31" hidden="1">#REF!</definedName>
    <definedName name="MLNK73b5c7b3edcb4c10ab994a0d2374e79d" hidden="1">#REF!</definedName>
    <definedName name="MLNK744582e7439149c6a153946907e12d91" hidden="1">#REF!</definedName>
    <definedName name="MLNK755938f2d24046a6964c1d8e53acbba4" hidden="1">#REF!</definedName>
    <definedName name="MLNK76096c60638340928ee538819b82a413" hidden="1">#REF!</definedName>
    <definedName name="MLNK76bd1ee4a2d045ea9b58c42c3510f247" hidden="1">#REF!</definedName>
    <definedName name="MLNK76fab2f7fe074a458c3c06934b932af0" hidden="1">#REF!</definedName>
    <definedName name="MLNK7812aa6760374fdd9eca2e6083ce8682" hidden="1">#REF!</definedName>
    <definedName name="MLNK78beda1a73364725a75937e8205480c1" hidden="1">#REF!</definedName>
    <definedName name="MLNK794a7ff7f0d34a458ca2ba95fe41531a" hidden="1">#REF!</definedName>
    <definedName name="MLNK797abaf7d30047c28f549b9f33bd5558" hidden="1">#REF!</definedName>
    <definedName name="MLNK797fcebf443a497889da61883b87681b" hidden="1">#REF!</definedName>
    <definedName name="MLNK7af73d6e1a0944daa47edc5ee7861b7f" hidden="1">#REF!</definedName>
    <definedName name="MLNK7c59d6f17a3a44c281ec6c2c2c38459c" hidden="1">#REF!</definedName>
    <definedName name="MLNK7dee903e630649f9b1fc1a70a2b5a344" hidden="1">#REF!</definedName>
    <definedName name="MLNK7f6914a2a6874c84bca30dab787faeac" hidden="1">#REF!</definedName>
    <definedName name="MLNK7fa2602c78e74b62933d3e1484a131f5" hidden="1">#REF!</definedName>
    <definedName name="MLNK7faab2ed727b4d7e942bedb991e140ac" hidden="1">#REF!</definedName>
    <definedName name="MLNK80c4da403d774884b696f664c835d87e" hidden="1">#REF!</definedName>
    <definedName name="MLNK8119969ea85a4738913c6b5ffc4e5b47" hidden="1">#REF!</definedName>
    <definedName name="MLNK816e60b1b42d406cb83b5aea47e651e5" hidden="1">#REF!</definedName>
    <definedName name="MLNK817083a263fd4c02b817bba9652a03fc" hidden="1">#REF!</definedName>
    <definedName name="MLNK83997c3e11034e0497f855cee8017166" hidden="1">#REF!</definedName>
    <definedName name="MLNK83a10c488e524411a5d7255cf51329ff" hidden="1">#REF!</definedName>
    <definedName name="MLNK84490d06fc514eb4a2ba84d5143b01f2" hidden="1">#REF!</definedName>
    <definedName name="MLNK84aa17c5906c42dc82cfd45947152553" hidden="1">#REF!</definedName>
    <definedName name="MLNK84ceb3c0cad04fff8302b3f5397f62b1" hidden="1">#REF!</definedName>
    <definedName name="MLNK84f79b8c28c74229a67b3e38d724aaac" hidden="1">#REF!</definedName>
    <definedName name="MLNK856cf20f4ba04b0f8e48240f5c8283e2" hidden="1">#REF!</definedName>
    <definedName name="MLNK85860e6be238427781715dd6b3f99ceb" hidden="1">#REF!</definedName>
    <definedName name="MLNK863fed94d13e4e1384efe352bd5de863" hidden="1">#REF!</definedName>
    <definedName name="MLNK8670041e3f504b298273c7fb441cf04b" hidden="1">#REF!</definedName>
    <definedName name="MLNK86c8fa4eadc8448fbebef0fba5bbfaa2" hidden="1">#REF!</definedName>
    <definedName name="MLNK87c3859ed7c64f7a9cd37c1e51009512" hidden="1">#REF!</definedName>
    <definedName name="MLNK8888dbbf11db4aa4ac4f46ee6b3f6905" hidden="1">#REF!</definedName>
    <definedName name="MLNK89ad4112f55a43eab4125a53ea36c02e" hidden="1">#REF!</definedName>
    <definedName name="MLNK8a3c33f15cb0460899936a7cfeb71942" hidden="1">#REF!</definedName>
    <definedName name="MLNK8b1a85b14dad4186b7d4a9edb29e734e" hidden="1">#REF!</definedName>
    <definedName name="MLNK8bcb2c10f3ab48c5b9c8c0d7c6d76f5f" hidden="1">#REF!</definedName>
    <definedName name="MLNK8d53dd43989a48b4aa46a95c36e95c4b" hidden="1">#REF!</definedName>
    <definedName name="MLNK8e1d08524e9645799eca34b2c1a3676d" hidden="1">#REF!</definedName>
    <definedName name="MLNK8ebe2f2fa5844f40862558eb44269a1b" hidden="1">#REF!</definedName>
    <definedName name="MLNK8f2833a18d1442d79d9cad7416936b64" hidden="1">#REF!</definedName>
    <definedName name="MLNK8f6b7a3388644ac4a680a6ed038c530c" hidden="1">#REF!</definedName>
    <definedName name="MLNK8fa2458f8fc1409c9fc14049453e719f" hidden="1">#REF!</definedName>
    <definedName name="MLNK905d361164f64aa49bae69da49e71a02" hidden="1">#REF!</definedName>
    <definedName name="MLNK90a1892e6e314bc790fdce17fff28cd6" hidden="1">#REF!</definedName>
    <definedName name="MLNK91d6707331574eb9a27337eecfd6a166" hidden="1">#REF!</definedName>
    <definedName name="MLNK91ff59e1cb504e9cb9603c5801641617" hidden="1">#REF!</definedName>
    <definedName name="MLNK930992c9ff72469a886a317c78db1148" hidden="1">#REF!</definedName>
    <definedName name="MLNK941d7b51de6540e3bda2b0deab6122a2" hidden="1">#REF!</definedName>
    <definedName name="MLNK98115a3f25a94b8089b62605e1a5b9ae" hidden="1">#REF!</definedName>
    <definedName name="MLNK98b7c86d5f244f72833d95cd83a81686" hidden="1">#REF!</definedName>
    <definedName name="MLNK98f98db2133b4a40a1ad135fe286d3e6" hidden="1">#REF!</definedName>
    <definedName name="MLNK997d31598d1647c3820a3135f82fe9db" hidden="1">#REF!</definedName>
    <definedName name="MLNK998aa4e2cad641329c50826f69f20af3" hidden="1">#REF!</definedName>
    <definedName name="MLNK99d8485050b744b68dca90391c5b0b8c" hidden="1">#REF!</definedName>
    <definedName name="MLNK9a5dca0e000c4db184ef6f3e0137ed50" hidden="1">#REF!</definedName>
    <definedName name="MLNK9ac8c0852c29405ea552ad53346ea653" hidden="1">#REF!</definedName>
    <definedName name="MLNK9b6842c5461844be83497944c132feb7" hidden="1">#REF!</definedName>
    <definedName name="MLNK9b991932d17647aaa26719ff85bc3665" hidden="1">#REF!</definedName>
    <definedName name="MLNK9ceff0982f05451dadf9dbdfced4b4c9" hidden="1">#REF!</definedName>
    <definedName name="MLNK9dfd39fc179c428cbcac856bc6d93c7e" hidden="1">#REF!</definedName>
    <definedName name="MLNK9f1f0951ba784de9bc77a01b46bb665f" hidden="1">#REF!</definedName>
    <definedName name="MLNK9f29236c5f324f1799d3c222f2dd3c48" hidden="1">#REF!</definedName>
    <definedName name="MLNKa08bd6a42f9d418b928153f025ec4f16" hidden="1">#REF!</definedName>
    <definedName name="MLNKa2883d99854c4305802463d2970cd9fa" hidden="1">#REF!</definedName>
    <definedName name="MLNKa28b9dd67d9f41efab39da9ce80fc8ff" hidden="1">#REF!</definedName>
    <definedName name="MLNKa3a9e19603284ff183799f7033d0807f" hidden="1">#REF!</definedName>
    <definedName name="MLNKa3f64da458be4bb2bae54f6be6f5aef4" hidden="1">#REF!</definedName>
    <definedName name="MLNKa698b40a68bb400ead3314f6c5c1e48d" hidden="1">#REF!</definedName>
    <definedName name="MLNKa6a384ea77b44ca78c68befd575e7f3d" hidden="1">#REF!</definedName>
    <definedName name="MLNKa6fe67143b9640d795f95616f9e12da3" hidden="1">#REF!</definedName>
    <definedName name="MLNKa82e69ad7f994a6299e4e208b01e7d41" hidden="1">#REF!</definedName>
    <definedName name="MLNKa89aba8198604a8282aee6fb6bac6629" hidden="1">#REF!</definedName>
    <definedName name="MLNKa9d12f14bc064a12beda5eb29307e262" hidden="1">#REF!</definedName>
    <definedName name="MLNKaa126e3653fa4e4eab53a6f66c9651dc" hidden="1">#REF!</definedName>
    <definedName name="MLNKaa29980c452e4d358677bb1e580c1193" hidden="1">#REF!</definedName>
    <definedName name="MLNKab7636916cab4015a2544697742b41fa" hidden="1">#REF!</definedName>
    <definedName name="MLNKac55b2c50c4e4f0a99736144d3961e2e" hidden="1">#REF!</definedName>
    <definedName name="MLNKae2627f2f4fc48ccab41e7c8b27010c8" hidden="1">#REF!</definedName>
    <definedName name="MLNKae491f95828d4cdf8a41545d5829b3d4" hidden="1">#REF!</definedName>
    <definedName name="MLNKae5999c51bbb4a64b9344d35de61ee41" hidden="1">#REF!</definedName>
    <definedName name="MLNKae74a2606e5b4399b650dc6a8ca0db68" hidden="1">#REF!</definedName>
    <definedName name="MLNKaf806fd38a224e63b170505b779852b7" hidden="1">#REF!</definedName>
    <definedName name="MLNKb0dac471e373470a8123352482295ff0" hidden="1">#REF!</definedName>
    <definedName name="MLNKb17369c5ccfc40cca3be6bba00d691ca" hidden="1">#REF!</definedName>
    <definedName name="MLNKb1c7ddff5c4a4510a47e62c7d89fde0d" hidden="1">#REF!</definedName>
    <definedName name="MLNKb295d139e45442b885c0b2b32e8eb129" hidden="1">#REF!</definedName>
    <definedName name="MLNKb311cae9209542108710885411eddc83" hidden="1">#REF!</definedName>
    <definedName name="MLNKb345ff110a1641d683d1c3089278d440" hidden="1">#REF!</definedName>
    <definedName name="MLNKb346db5dc1134deb8f6d4da3fabf0cf2" hidden="1">#REF!</definedName>
    <definedName name="MLNKb434e258586142c4915e8489b226efb9" hidden="1">#REF!</definedName>
    <definedName name="MLNKb46f9cb2e28c4f49abaf45a18e5b218d" hidden="1">#REF!</definedName>
    <definedName name="MLNKb4a264961fd24bccbcdc50499ff26aad" hidden="1">#REF!</definedName>
    <definedName name="MLNKb5abeb83c63e48d1aa1cf2962ef3cdc4" hidden="1">#REF!</definedName>
    <definedName name="MLNKb5bba9e2157e4cab95fe027f047ebfae" hidden="1">#REF!</definedName>
    <definedName name="MLNKb6d6dd8844574d539b0bf3b983492e85" hidden="1">#REF!</definedName>
    <definedName name="MLNKb75d9366f3bd42278af280517ed8e049" hidden="1">#REF!</definedName>
    <definedName name="MLNKb81c88c55ca74dda9fbb12243eed3e20" hidden="1">#REF!</definedName>
    <definedName name="MLNKb84cf785ba454ce0bf291530d5446681" hidden="1">#REF!</definedName>
    <definedName name="MLNKb94a51c76e254601a2f178d46ed37eca" hidden="1">#REF!</definedName>
    <definedName name="MLNKb9ca99d7c9864621892fef5f033f278b" hidden="1">#REF!</definedName>
    <definedName name="MLNKb9f754aa51234997a4880324f84745bb" hidden="1">#REF!</definedName>
    <definedName name="MLNKbab8316fe2594d65a55caed63c1cdd4d" hidden="1">#REF!</definedName>
    <definedName name="MLNKbd3e8feecc1e43889a74c3f788cbf946" hidden="1">#REF!</definedName>
    <definedName name="MLNKbdb9fb7b1d42448bbf01e8474377d8d5" hidden="1">#REF!</definedName>
    <definedName name="MLNKbdd3cd11df9c436f96fd476e16ef670c" hidden="1">#REF!</definedName>
    <definedName name="MLNKbfc1818f65854692a07791d5581b7400" hidden="1">#REF!</definedName>
    <definedName name="MLNKc20401f235e04b6a82fdbe148afb2c4b" hidden="1">#REF!</definedName>
    <definedName name="MLNKc2e0434b8f2642e7a9f2b9bd5f8a29a8" hidden="1">#REF!</definedName>
    <definedName name="MLNKc4ee032cc5e54bf4bc875e689a03776f" hidden="1">#REF!</definedName>
    <definedName name="MLNKc51629cbed0648bfa17b3b188601aafe" hidden="1">#REF!</definedName>
    <definedName name="MLNKc52f12777b74490384881256335a7bb6" hidden="1">#REF!</definedName>
    <definedName name="MLNKc5f31f4d332541259549f5d3ff78b87b" hidden="1">#REF!</definedName>
    <definedName name="MLNKc6ac033e82464932b889cfcce3608557" hidden="1">#REF!</definedName>
    <definedName name="MLNKc6b6089dcd3e436882256ca318dd18ba" hidden="1">#REF!</definedName>
    <definedName name="MLNKc71a4975c7ab434d83b3383ee61e9225" hidden="1">#REF!</definedName>
    <definedName name="MLNKc82caa7e415c441593891b7b26cb36da" hidden="1">#REF!</definedName>
    <definedName name="MLNKcc4ace54fe3645dfb7903fc8fdede1c8" hidden="1">#REF!</definedName>
    <definedName name="MLNKcd9829540eec475e8599257d7af9f92c" hidden="1">#REF!</definedName>
    <definedName name="MLNKcdc923b50deb44a982c8d315e0c4120b" hidden="1">#REF!</definedName>
    <definedName name="MLNKcdd7963aeadc413babe72caaf824bb45" hidden="1">#REF!</definedName>
    <definedName name="MLNKcf0a377a468048658d11166831ab2043" hidden="1">#REF!</definedName>
    <definedName name="MLNKcf168e30e8ad4373b3219e1913320e27" hidden="1">#REF!</definedName>
    <definedName name="MLNKcf879a21ce7346cd8ec61d80d13225ac" hidden="1">#REF!</definedName>
    <definedName name="MLNKd05900f203364beda70dd2b009796af6" hidden="1">#REF!</definedName>
    <definedName name="MLNKd19114a1ce7c4b5ca5918b7b346f8858" hidden="1">#REF!</definedName>
    <definedName name="MLNKd1f8353484084f478cade8155bcc2a5b" hidden="1">#REF!</definedName>
    <definedName name="MLNKd214b0d5a54d48cd8c8d2b376c88a319" hidden="1">#REF!</definedName>
    <definedName name="MLNKd2274ca122b74f0b93ae2babfd443035" hidden="1">#REF!</definedName>
    <definedName name="MLNKd236c435973e4436a94a1e558f577cbd" hidden="1">#REF!</definedName>
    <definedName name="MLNKd2d7c772ab204b719dbd1b0e5df5790b" hidden="1">#REF!</definedName>
    <definedName name="MLNKd30f54fb61254cc4a643559986a71a22" hidden="1">#REF!</definedName>
    <definedName name="MLNKd3996deb64cc4b1aacbaf16886c67c74" hidden="1">#REF!</definedName>
    <definedName name="MLNKd4fddaf4390e48d5905bd6b43e9c175b" hidden="1">#REF!</definedName>
    <definedName name="MLNKd54ee578130e4ce593a1989537e0fab3" hidden="1">#REF!</definedName>
    <definedName name="MLNKd6459917d49a49769073cae59c25ac63" hidden="1">#REF!</definedName>
    <definedName name="MLNKd75a97d5eb9b493c95b15d73182dff50" hidden="1">#REF!</definedName>
    <definedName name="MLNKd80ec573312f48f3b04af354c7f22023" hidden="1">#REF!</definedName>
    <definedName name="MLNKd884042ad0894330992e5da81ec2cffd" hidden="1">#REF!</definedName>
    <definedName name="MLNKd95847544a7e4ccca32fd475760fc475" hidden="1">#REF!</definedName>
    <definedName name="MLNKd9dc13f2d3a340aa9c43dd0d78a04a4d" hidden="1">#REF!</definedName>
    <definedName name="MLNKd9e52f045da34df1a002e6da57db1b88" hidden="1">#REF!</definedName>
    <definedName name="MLNKda21786c186e4d87a69d38c92791c49d" hidden="1">#REF!</definedName>
    <definedName name="MLNKdaf4fd3f8c604159bbb081e2606ecff2" hidden="1">#REF!</definedName>
    <definedName name="MLNKdb3f8278ffb247fd94e1a79aac9a635d" hidden="1">#REF!</definedName>
    <definedName name="MLNKdc85d8c0e3fd4b2b9d1ced6e92c8967e" hidden="1">#REF!</definedName>
    <definedName name="MLNKdcdd9af4a86d41a5a3cf7c7fa583b5a3" hidden="1">#REF!</definedName>
    <definedName name="MLNKdcf49e99b17c4ca0a6b35a87994110a4" hidden="1">#REF!</definedName>
    <definedName name="MLNKde2590066e634cf6940e4229ebae8204" hidden="1">#REF!</definedName>
    <definedName name="MLNKde8b00841d2c4fd6905392590ae0496c" hidden="1">#REF!</definedName>
    <definedName name="MLNKdf29e1fc48674938992ca5f99261be73" hidden="1">#REF!</definedName>
    <definedName name="MLNKdf2c3b1573554ae989f7a974e53b719c" hidden="1">#REF!</definedName>
    <definedName name="MLNKe097aca64c5d468890b2a9b538c5eae1" hidden="1">#REF!</definedName>
    <definedName name="MLNKe18ba5d4c0214fb68e1fed427c2b8389" hidden="1">#REF!</definedName>
    <definedName name="MLNKe1b0f51d07c7441498e246c4b07a075a" hidden="1">#REF!</definedName>
    <definedName name="MLNKe268d983b74d4a328512940b826532c5" hidden="1">#REF!</definedName>
    <definedName name="MLNKe2ed17321bf14ac39821675da96cbb64" hidden="1">#REF!</definedName>
    <definedName name="MLNKe413ae76ac2842fd8c9f5692bba30418" hidden="1">#REF!</definedName>
    <definedName name="MLNKe4dbd13a8f664e26a623e7f24fd3b4b7" hidden="1">#REF!</definedName>
    <definedName name="MLNKe5e3b1913fce444b83cb1f567fa0f6ab" hidden="1">#REF!</definedName>
    <definedName name="MLNKe5ed8b85980d46fc844564088c5c9078" hidden="1">#REF!</definedName>
    <definedName name="MLNKe6068e0369c7470786d84aa6cc04702a" hidden="1">#REF!</definedName>
    <definedName name="MLNKe6577c5446e64e13926c4fed4340c717" hidden="1">#REF!</definedName>
    <definedName name="MLNKe762a070e43148d5b0cbdfc7e2f7643c" hidden="1">#REF!</definedName>
    <definedName name="MLNKe76d1c30b4eb4a0da8027774517610e8" hidden="1">#REF!</definedName>
    <definedName name="MLNKe79b3d09bf3c4683af4faf301a21f8af" hidden="1">#REF!</definedName>
    <definedName name="MLNKe83b3c61549d4f47b59e11acd5f83c34" hidden="1">#REF!</definedName>
    <definedName name="MLNKe9995d9c321243318f925ccbc206d07b" hidden="1">#REF!</definedName>
    <definedName name="MLNKea2c55a764514f12a9ebde99b5170901" hidden="1">#REF!</definedName>
    <definedName name="MLNKeb4b30284ee240a19381ed6b0ec7f275" hidden="1">#REF!</definedName>
    <definedName name="MLNKec10569efce84a13bda8f67f6d3ee18b" hidden="1">#REF!</definedName>
    <definedName name="MLNKec332e7fd23d499b8e4655d8952db79c" hidden="1">#REF!</definedName>
    <definedName name="MLNKeccd459f2e484acca574097f67043bff" hidden="1">#REF!</definedName>
    <definedName name="MLNKed2517cdc41444469905593e9834ea52" hidden="1">#REF!</definedName>
    <definedName name="MLNKed572b6599e3465cb118258854e40531" hidden="1">#REF!</definedName>
    <definedName name="MLNKedb5ce10b058453faa4fc97c53267f47" hidden="1">#REF!</definedName>
    <definedName name="MLNKee3f92f405114693806989f4e1157675" hidden="1">#REF!</definedName>
    <definedName name="MLNKee6009809ac8423dbe78d75c47656b17" hidden="1">#REF!</definedName>
    <definedName name="MLNKefb24792760f4103a52f98ff4de7561c" hidden="1">#REF!</definedName>
    <definedName name="MLNKf00f9967138b487c87729c51464a6c74" hidden="1">#REF!</definedName>
    <definedName name="MLNKf09238bdc5394acab42c7479b694e9cd" hidden="1">#REF!</definedName>
    <definedName name="MLNKf228051e3b254850b0e48e72a4047515" hidden="1">#REF!</definedName>
    <definedName name="MLNKf4743a4ee4cd411f91d538d32364806c" hidden="1">#REF!</definedName>
    <definedName name="MLNKf5b0ca48849c4406ae54c772bdaaaed1" hidden="1">#REF!</definedName>
    <definedName name="MLNKf6ac64467e9e484a8df8d1f2e261ab52" hidden="1">#REF!</definedName>
    <definedName name="MLNKf6ccc57de6e340aaa0594ee9597ee343" hidden="1">#REF!</definedName>
    <definedName name="MLNKf77df9d6d88c48518ad3db3cda454da3" hidden="1">#REF!</definedName>
    <definedName name="MLNKf7ff639c55f44a93a7b52b4923b84015" hidden="1">#REF!</definedName>
    <definedName name="MLNKf8a979ee68634d5f89a7d4f033ff7165" hidden="1">#REF!</definedName>
    <definedName name="MLNKf8c92c2e7e1e4736ab002eb619e9649c" hidden="1">#REF!</definedName>
    <definedName name="MLNKfb40683c10ee45dcb294f7c529134be8" hidden="1">#REF!</definedName>
    <definedName name="MLNKfbaf3bf9d6cc44fc8658f6aa65c601e1" hidden="1">#REF!</definedName>
    <definedName name="MLNKfbec82ccefb94f0ea6b772ec8c237d64" hidden="1">#REF!</definedName>
    <definedName name="MLNKfd0c738365244d4e9fd33906adb251a3" hidden="1">#REF!</definedName>
    <definedName name="MLNKfe91eb181d674acfb866254c1024b9f1" hidden="1">#REF!</definedName>
    <definedName name="MLNKfeceea57d9c041e8a1805740c1118e25" hidden="1">#REF!</definedName>
    <definedName name="mlw" hidden="1">{#N/A,#N/A,FALSE,"Pharm";#N/A,#N/A,FALSE,"WWCM"}</definedName>
    <definedName name="MM" hidden="1">"3SZIB3AZEUR09DXQ1IOMTIM15"</definedName>
    <definedName name="mmk" hidden="1">{"Pg1",#N/A,FALSE,"OpExYTDvsBud";"Pg2",#N/A,FALSE,"OpExYTDvsBud"}</definedName>
    <definedName name="mmm" hidden="1">{"'Form'!$A$2:$J$81"}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{#N/A,#N/A,FALSE,"Calc";#N/A,#N/A,FALSE,"Sensitivity";#N/A,#N/A,FALSE,"LT Earn.Dil.";#N/A,#N/A,FALSE,"Dil. AVP"}</definedName>
    <definedName name="mmmmmm" hidden="1">{#N/A,#N/A,FALSE,"Contribution Analysis"}</definedName>
    <definedName name="MMMMMM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mmmmmmmmmmmm" hidden="1">{#N/A,#N/A,TRUE,"CF brut";#N/A,#N/A,TRUE,"CashFlow";#N/A,#N/A,TRUE,"RCE";#N/A,#N/A,TRUE,"amort"}</definedName>
    <definedName name="mmmmmmmmmmmmmmmmmmmmmmmmmmmmmmm" hidden="1">{#N/A,#N/A,FALSE,"Staffnos &amp; cost"}</definedName>
    <definedName name="mmp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h" hidden="1">{#N/A,#N/A,FALSE,"Aging Summary";#N/A,#N/A,FALSE,"Ratio Analysis";#N/A,#N/A,FALSE,"Test 120 Day Accts";#N/A,#N/A,FALSE,"Tickmarks"}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del2" hidden="1">{#N/A,#N/A,FALSE,"Rev Grwth";#N/A,#N/A,FALSE,"Op Inc Grwth";#N/A,#N/A,FALSE,"Net Grwth";#N/A,#N/A,FALSE,"EPS Growth"}</definedName>
    <definedName name="MODER" hidden="1">{"'Data'!$A$1:$D$17"}</definedName>
    <definedName name="Modification.Time" hidden="1">"12/30/99 14:40:33"</definedName>
    <definedName name="mokp" hidden="1">{"QTD_LPO2N2",#N/A,FALSE,"QTD"}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at" hidden="1">#REF!</definedName>
    <definedName name="MoreThanOne" hidden="1">#REF!</definedName>
    <definedName name="MoreThanOneMember" hidden="1">#REF!</definedName>
    <definedName name="morto" hidden="1">{"FY98Q1 var",#N/A,FALSE,"FY98 - Q1";"FY98Q2 var",#N/A,FALSE,"FY98 - Q2";"FY98Q3 var",#N/A,FALSE,"FY98 - Q3";"FY98Q4 var",#N/A,FALSE,"FY98 - Q4"}</definedName>
    <definedName name="Moto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Motortransferpreis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MOVED" hidden="1">{"CHART",#N/A,FALSE,"Arch Communications"}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G" hidden="1">{"INCOME",#N/A,FALSE,"ProNet";"VALUE",#N/A,FALSE,"ProNet"}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try" hidden="1">{"'Server Configuration'!$A$1:$DB$281"}</definedName>
    <definedName name="MS.CreatedAt" hidden="1">"30.06.1998 11:53:43"</definedName>
    <definedName name="MS.CreatedBy" hidden="1">"JMA"</definedName>
    <definedName name="MS.ModifiedAt" hidden="1">"20.04.1999 10:43:12"</definedName>
    <definedName name="MS.ModifiedBy" hidden="1">"RL"</definedName>
    <definedName name="MS.Version" hidden="1">"1.0.2"</definedName>
    <definedName name="msgjs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msthkshkshk" hidden="1">{#N/A,#N/A,FALSE,"ACQ_GRAPHS";#N/A,#N/A,FALSE,"T_1 GRAPHS";#N/A,#N/A,FALSE,"T_2 GRAPHS";#N/A,#N/A,FALSE,"COMB_GRAPHS"}</definedName>
    <definedName name="mtr" hidden="1">{"'WS Sales by Rep'!$A$24:$L$46"}</definedName>
    <definedName name="MTUFN" hidden="1">{"mgmt forecast",#N/A,FALSE,"Mgmt Forecast";"dcf table",#N/A,FALSE,"Mgmt Forecast";"sensitivity",#N/A,FALSE,"Mgmt Forecast";"table inputs",#N/A,FALSE,"Mgmt Forecast";"calculations",#N/A,FALSE,"Mgmt Forecast"}</definedName>
    <definedName name="multcash1" hidden="1">#REF!</definedName>
    <definedName name="multcash2" hidden="1">#REF!</definedName>
    <definedName name="multcash4" hidden="1">#REF!</definedName>
    <definedName name="multformrow" hidden="1">#REF!</definedName>
    <definedName name="multformrow2" hidden="1">#REF!</definedName>
    <definedName name="multformrow4" hidden="1">#REF!</definedName>
    <definedName name="Multipli" hidden="1">{"'Sheet1'!$A$1:$H$96"}</definedName>
    <definedName name="multtable" hidden="1">#REF!</definedName>
    <definedName name="muroi" hidden="1">#N/A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ymyy" hidden="1">{"'Other IPS'!$A$5","'Other IPS'!$A$4:$K$38"}</definedName>
    <definedName name="myurr" hidden="1">{"'Other IPS'!$A$5","'Other IPS'!$A$4:$K$38"}</definedName>
    <definedName name="N" hidden="1">55</definedName>
    <definedName name="NA" hidden="1">{#N/A,#N/A,FALSE,"Consol P&amp;L ";#N/A,#N/A,FALSE,"CP P&amp;L";#N/A,#N/A,FALSE,"ADS P&amp;L";#N/A,#N/A,FALSE,"Corp P&amp;L"}</definedName>
    <definedName name="NAIRB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m90ng" hidden="1">{"detail",#N/A,FALSE,"mfg";"summary",#N/A,FALSE,"mfg"}</definedName>
    <definedName name="nam9njk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 hidden="1">{"Summary",#N/A,FALSE,"Covenants";"Detailed summary",#N/A,FALSE,"Covenants"}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nskonfl4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NameS" hidden="1">"10.1.0.2"</definedName>
    <definedName name="nanai" hidden="1">{"FY97Tot nvs",#N/A,FALSE,"FY97 - Total";"FY98Tot nvs",#N/A,FALSE,"FY98 - Total"}</definedName>
    <definedName name="NANAO" hidden="1">{"FY98Q1 var",#N/A,FALSE,"FY98 - Q1";"FY98Q2 var",#N/A,FALSE,"FY98 - Q2";"FY98Q3 var",#N/A,FALSE,"FY98 - Q3";"FY98Q4 var",#N/A,FALSE,"FY98 - Q4"}</definedName>
    <definedName name="nanda" hidden="1">{#N/A,#N/A,FALSE,"Staffnos &amp; cost"}</definedName>
    <definedName name="NATALE" hidden="1">{"FY98Q1 nvs",#N/A,FALSE,"FY98 - Q1";"FY98Q2 nvs",#N/A,FALSE,"FY98 - Q2";"FY98Q3 nvs",#N/A,FALSE,"FY98 - Q3";"FY98Q4 nvs",#N/A,FALSE,"FY98 - Q4"}</definedName>
    <definedName name="NatEssS" hidden="1">{"'WST RETAIL PRICE LIST Apr 9 (2)'!$B$1:$C$177"}</definedName>
    <definedName name="NatEssS2" hidden="1">{"'WST RETAIL PRICE LIST Apr 9 (2)'!$B$1:$C$177"}</definedName>
    <definedName name="nb" hidden="1">{"fleisch",#N/A,FALSE,"WG HK";"food",#N/A,FALSE,"WG HK";"hartwaren",#N/A,FALSE,"WG HK";"weichwaren",#N/A,FALSE,"WG HK"}</definedName>
    <definedName name="nbcngf" hidden="1">{#N/A,#N/A,TRUE,"Historicals";#N/A,#N/A,TRUE,"Charts";#N/A,#N/A,TRUE,"Forecasts"}</definedName>
    <definedName name="nbh" hidden="1">{#N/A,#N/A,FALSE,"Staffnos &amp; cost"}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jhgf" hidden="1">{#N/A,#N/A,TRUE,"Historicals";#N/A,#N/A,TRUE,"Charts";#N/A,#N/A,TRUE,"Forecasts"}</definedName>
    <definedName name="nbvncvj" hidden="1">{#N/A,#N/A,TRUE,"Historicals";#N/A,#N/A,TRUE,"Charts";#N/A,#N/A,TRUE,"Forecasts"}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lientkey1" hidden="1">#REF!</definedName>
    <definedName name="nclientsort" hidden="1">#REF!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mo" hidden="1">{"FY98Q1",#N/A,FALSE,"FY98 - Q1";"FY98Q2",#N/A,FALSE,"FY98 - Q2";"FY98Q3",#N/A,FALSE,"FY98 - Q3";"FY98Q4",#N/A,FALSE,"FY98 - Q4"}</definedName>
    <definedName name="NEON" hidden="1">{"FY98Q1 nvs",#N/A,FALSE,"FY98 - Q1";"FY98Q2 nvs",#N/A,FALSE,"FY98 - Q2";"FY98Q3 nvs",#N/A,FALSE,"FY98 - Q3";"FY98Q4 nvs",#N/A,FALSE,"FY98 - Q4"}</definedName>
    <definedName name="NERBAT" hidden="1">{"FY98Q1 var",#N/A,FALSE,"FY98 - Q1";"FY98Q2 var",#N/A,FALSE,"FY98 - Q2";"FY98Q3 var",#N/A,FALSE,"FY98 - Q3";"FY98Q4 var",#N/A,FALSE,"FY98 - Q4"}</definedName>
    <definedName name="nertd" hidden="1">{#N/A,#N/A,TRUE,"Historicals";#N/A,#N/A,TRUE,"Charts";#N/A,#N/A,TRUE,"Forecasts"}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to_gh" hidden="1">{"sbfk2",#N/A,FALSE,"A";"sbkf3",#N/A,FALSE,"A";"sbkf4",#N/A,FALSE,"A";"sbkf1",#N/A,FALSE,"A"}</definedName>
    <definedName name="NEU_IQ_div_payment_date" hidden="1">"c2205"</definedName>
    <definedName name="NEU_IQ_Xdiv_date" hidden="1">"c2203"</definedName>
    <definedName name="neue_Uebersicht" hidden="1">"4ZSNKZEPB8QVMSZI0R9CSS24H"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w" hidden="1">#REF!</definedName>
    <definedName name="new.project" hidden="1">{#N/A,#N/A,FALSE,"P1";#N/A,#N/A,FALSE,"P2";#N/A,#N/A,FALSE,"P4";#N/A,#N/A,FALSE,"P5";#N/A,#N/A,FALSE,"P6";#N/A,#N/A,FALSE,"P7";#N/A,#N/A,FALSE,"P8";#N/A,#N/A,FALSE,"P9";#N/A,#N/A,FALSE,"P10"}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HTML" hidden="1">{"'Data'!$A$1:$D$17"}</definedName>
    <definedName name="NEW_IQ_div_record_date" hidden="1">"c2204"</definedName>
    <definedName name="new_name" hidden="1">{#N/A,#N/A,TRUE,"Pro Forma";#N/A,#N/A,TRUE,"PF_Bal";#N/A,#N/A,TRUE,"PF_INC";#N/A,#N/A,TRUE,"CBE";#N/A,#N/A,TRUE,"SWK"}</definedName>
    <definedName name="new_w" hidden="1">{"comps1_1",#N/A,FALSE,"Comps1";"comps1_2",#N/A,FALSE,"Comps1";"comps1_3",#N/A,FALSE,"Comps1";"comps1_4",#N/A,FALSE,"Comps1";"comps1_5",#N/A,FALSE,"Comps1"}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ls" hidden="1">{"'Directory'!$A$72:$E$91"}</definedName>
    <definedName name="newDC" hidden="1">{#N/A,#N/A,TRUE,"Cover sheet";#N/A,#N/A,TRUE,"DCF analysis";#N/A,#N/A,TRUE,"WACC calculation"}</definedName>
    <definedName name="newer" hidden="1">#REF!</definedName>
    <definedName name="NEWEST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newname" hidden="1">{#N/A,#N/A,FALSE,"Info";#N/A,#N/A,FALSE,"Op I";#N/A,#N/A,FALSE,"Op O";#N/A,#N/A,FALSE,"LBO I";#N/A,#N/A,FALSE,"LBO O";#N/A,#N/A,FALSE,"Taxes"}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bel" hidden="1">{"IS",#N/A,FALSE,"IS";"RPTIS",#N/A,FALSE,"RPTIS";"STATS",#N/A,FALSE,"STATS";"CELL",#N/A,FALSE,"CELL";"BS",#N/A,FALSE,"BS"}</definedName>
    <definedName name="newnewnew" hidden="1">{#N/A,#N/A,FALSE,"Pharm";#N/A,#N/A,FALSE,"WWCM"}</definedName>
    <definedName name="NewRange" hidden="1">#REF!</definedName>
    <definedName name="newt" hidden="1">{"'Directory'!$A$72:$E$91"}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rn.BEL." hidden="1">{"IS",#N/A,FALSE,"IS";"RPTIS",#N/A,FALSE,"RPTIS";"STATS",#N/A,FALSE,"STATS";"CELL",#N/A,FALSE,"CELL";"BS",#N/A,FALSE,"BS"}</definedName>
    <definedName name="NEXT" hidden="1">{#N/A,#N/A,FALSE,"5 Company Total 2 inc buffer"}</definedName>
    <definedName name="nf" hidden="1">{#N/A,#N/A,FALSE,"Staffnos &amp; cost"}</definedName>
    <definedName name="nfj" hidden="1">{#N/A,#N/A,FALSE,"Staffnos &amp; cost"}</definedName>
    <definedName name="ngfndd" hidden="1">{#N/A,#N/A,TRUE,"Historicals";#N/A,#N/A,TRUE,"Charts";#N/A,#N/A,TRUE,"Forecasts"}</definedName>
    <definedName name="NGVHFJF" hidden="1">{"'Demand Units'!$X$11:$AD$45"}</definedName>
    <definedName name="nh" hidden="1">{"AS REP",#N/A,FALSE,"EEFSNAP2";"PROP",#N/A,FALSE,"EEFSNAP2";"RISKS",#N/A,FALSE,"EEFSNAP2";"VIEW ALL",#N/A,FALSE,"EEFSNAP2"}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 hidden="1">{"TAG1AGMS",#N/A,FALSE,"TAG 1A"}</definedName>
    <definedName name="nic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ENTE" hidden="1">{"FY98Q1",#N/A,FALSE,"FY98 - Q1";"FY98Q2",#N/A,FALSE,"FY98 - Q2";"FY98Q3",#N/A,FALSE,"FY98 - Q3";"FY98Q4",#N/A,FALSE,"FY98 - Q4"}</definedName>
    <definedName name="NIEVA" hidden="1">{"FY97Tot nvs",#N/A,FALSE,"FY97 - Total";"FY98Tot nvs",#N/A,FALSE,"FY98 - Total"}</definedName>
    <definedName name="nijnsh" hidden="1">{"detail",#N/A,FALSE,"mfg";"summary",#N/A,FALSE,"mfg"}</definedName>
    <definedName name="Niki" hidden="1">{#N/A,#N/A,FALSE,"Bezirk SW";#N/A,#N/A,FALSE,"Dir S (GK)";#N/A,#N/A,FALSE,"Dir FR (PK)"}</definedName>
    <definedName name="niki1" hidden="1">{#N/A,#N/A,FALSE,"Bezirk SW";#N/A,#N/A,FALSE,"Dir S (GK)";#N/A,#N/A,FALSE,"Dir FR (PK)"}</definedName>
    <definedName name="niki2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ki3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ki4" hidden="1">{#N/A,#N/A,FALSE,"Bezirk SW";#N/A,#N/A,FALSE,"Dir S (GK)";#N/A,#N/A,FALSE,"Dir FR (PK)"}</definedName>
    <definedName name="niki5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nj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nkjj" hidden="1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vb" hidden="1">{#N/A,#N/A,FALSE,"Layout Cash Flow"}</definedName>
    <definedName name="nnh" hidden="1">{"Pa1",#N/A,FALSE,"OpExYTDvsPY";"Pa2",#N/A,FALSE,"OpExYTDvsPY"}</definedName>
    <definedName name="NNN" hidden="1">{"GTI monthly IS",#N/A,FALSE,"gti";#N/A,#N/A,FALSE,"gti"}</definedName>
    <definedName name="nnnb" hidden="1">{"consolidated",#N/A,FALSE,"Sheet1";"cms",#N/A,FALSE,"Sheet1";"fse",#N/A,FALSE,"Sheet1"}</definedName>
    <definedName name="nnnnnnnnnnnnnnnnnnnnnnnnnnnnnnnnnnnnnnnnnnnnnnnnnnnnnnnnnnnnnnnnnnnnnnnnnnnnnnnn" hidden="1">{#N/A,#N/A,FALSE,"Staffnos &amp; cost"}</definedName>
    <definedName name="NOBILE" hidden="1">{"FY97Tot nvs",#N/A,FALSE,"FY97 - Total";"FY98Tot nvs",#N/A,FALSE,"FY98 - Total"}</definedName>
    <definedName name="nocontrol1" hidden="1">{"'Data'!$A$1:$D$17"}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N" hidden="1">{"FY97Total",#N/A,FALSE,"FY97 - Total";"FY98Total",#N/A,FALSE,"FY98 - Total"}</definedName>
    <definedName name="NON_CASH" hidden="1">"NON_CASH"</definedName>
    <definedName name="NON_INTEREST_EXP" hidden="1">"NON_INTEREST_EXP"</definedName>
    <definedName name="NON_INTEREST_INC" hidden="1">"NON_INTEREST_INC"</definedName>
    <definedName name="NONA" hidden="1">{"FY97Total",#N/A,FALSE,"FY97 - Total";"FY98Total",#N/A,FALSE,"FY98 - Total"}</definedName>
    <definedName name="NONAS" hidden="1">{"FY98Q1 var",#N/A,FALSE,"FY98 - Q1";"FY98Q2 var",#N/A,FALSE,"FY98 - Q2";"FY98Q3 var",#N/A,FALSE,"FY98 - Q3";"FY98Q4 var",#N/A,FALSE,"FY98 - Q4"}</definedName>
    <definedName name="none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NONIO" hidden="1">{"FY97Total",#N/A,FALSE,"FY97 - Total";"FY98Total",#N/A,FALSE,"FY98 - Total"}</definedName>
    <definedName name="NONNO" hidden="1">{"FY97Tot nvs",#N/A,FALSE,"FY97 - Total";"FY98Tot nvs",#N/A,FALSE,"FY98 - Total"}</definedName>
    <definedName name="nono" hidden="1">{"FY97Q1",#N/A,FALSE,"FY97 - Q1";"FY97Q2",#N/A,FALSE,"FY97 - Q2";"FY97Q3",#N/A,FALSE,"FY97 - Q3";"FY97Q4",#N/A,FALSE,"FY97 - Q4"}</definedName>
    <definedName name="Nope" hidden="1">{"'Bellville Acetylene'!$A$1:$L$99"}</definedName>
    <definedName name="NORMA" hidden="1">{"FY97Q1 nvs",#N/A,FALSE,"FY97 - Q1";"FY97Q2 nvs",#N/A,FALSE,"FY97 - Q2";"FY97Q3 nvs",#N/A,FALSE,"FY97 - Q3";"FY97Q4 nvs",#N/A,FALSE,"FY97 - Q4"}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rna" hidden="1">{"FY97Q1 nvs",#N/A,FALSE,"FY97 - Q1";"FY97Q2 nvs",#N/A,FALSE,"FY97 - Q2";"FY97Q3 nvs",#N/A,FALSE,"FY97 - Q3";"FY97Q4 nvs",#N/A,FALSE,"FY97 - Q4"}</definedName>
    <definedName name="NORSA" hidden="1">{"FY97Total var",#N/A,FALSE,"FY97 - Total";"FY98Total var",#N/A,FALSE,"FY98 - Total"}</definedName>
    <definedName name="NORTIZO" hidden="1">{"FY97Tot nvs",#N/A,FALSE,"FY97 - Total";"FY98Tot nvs",#N/A,FALSE,"FY98 - Total"}</definedName>
    <definedName name="NOTA" hidden="1">{"FY98Q1 nvs",#N/A,FALSE,"FY98 - Q1";"FY98Q2 nvs",#N/A,FALSE,"FY98 - Q2";"FY98Q3 nvs",#N/A,FALSE,"FY98 - Q3";"FY98Q4 nvs",#N/A,FALSE,"FY98 - Q4"}</definedName>
    <definedName name="NOTAI" hidden="1">{"FY97Q1",#N/A,FALSE,"FY97 - Q1";"FY97Q2",#N/A,FALSE,"FY97 - Q2";"FY97Q3",#N/A,FALSE,"FY97 - Q3";"FY97Q4",#N/A,FALSE,"FY97 - Q4"}</definedName>
    <definedName name="NOTAIO" hidden="1">{"FY98Q1",#N/A,FALSE,"FY98 - Q1";"FY98Q2",#N/A,FALSE,"FY98 - Q2";"FY98Q3",#N/A,FALSE,"FY98 - Q3";"FY98Q4",#N/A,FALSE,"FY98 - Q4"}</definedName>
    <definedName name="NOTES_PAY" hidden="1">"NOTES_PAY"</definedName>
    <definedName name="NOTRBA" hidden="1">{"FY97Q1",#N/A,FALSE,"FY97 - Q1";"FY97Q2",#N/A,FALSE,"FY97 - Q2";"FY97Q3",#N/A,FALSE,"FY97 - Q3";"FY97Q4",#N/A,FALSE,"FY97 - Q4"}</definedName>
    <definedName name="nouv" hidden="1">{#N/A,#N/A,FALSE,"Pharm";#N/A,#N/A,FALSE,"WWCM"}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o" hidden="1">{"'comite'!$A$9:$G$44","'comite'!$A$1:$G$6"}</definedName>
    <definedName name="noway" hidden="1">#REF!</definedName>
    <definedName name="nowayjose" hidden="1">#REF!</definedName>
    <definedName name="ñp" hidden="1">{#N/A,"PURCHM",FALSE,"Business Analysis";#N/A,"SPADD",FALSE,"Business Analysis"}</definedName>
    <definedName name="nso" hidden="1">{#N/A,#N/A,FALSE,"PROJPACK"}</definedName>
    <definedName name="NSS_IQ_div_payment_date" hidden="1">"c2205"</definedName>
    <definedName name="NSS_IQ_div_record_date" hidden="1">"c2204"</definedName>
    <definedName name="NSS_IQ_XDiv_date" hidden="1">"c2203"</definedName>
    <definedName name="Nuevo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ijh467" hidden="1">{"detail",#N/A,FALSE,"mfg";"summary",#N/A,FALSE,"mfg"}</definedName>
    <definedName name="nunu" hidden="1">{#N/A,#N/A,FALSE,"M1";#N/A,#N/A,FALSE,"K7";#N/A,#N/A,FALSE,"K6";#N/A,#N/A,FALSE,"K5";#N/A,#N/A,FALSE,"K4";#N/A,#N/A,FALSE,"K3";#N/A,#N/A,FALSE,"K2";#N/A,#N/A,FALSE,"K1"}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CBFDG" hidden="1">{"'Demand Units'!$X$11:$AD$45"}</definedName>
    <definedName name="nwnwn" hidden="1">{"GTI monthly IS",#N/A,FALSE,"gti";#N/A,#N/A,FALSE,"gti"}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o678o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bdin" hidden="1">{"'SIVA Pricing Model'!$A$1:$F$39"}</definedName>
    <definedName name="Obdin1" hidden="1">{"'SIVA Pricing Model'!$A$1:$F$39"}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BS" hidden="1">{#N/A,#N/A,FALSE,"Assump2";#N/A,#N/A,FALSE,"Income2";#N/A,#N/A,FALSE,"Balance2";#N/A,#N/A,FALSE,"DCF Filter";#N/A,#N/A,FALSE,"Trans Assump2";#N/A,#N/A,FALSE,"Combined Income2";#N/A,#N/A,FALSE,"Combined Balance2"}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gl" hidden="1">#REF!,#REF!,#REF!,#REF!,#REF!</definedName>
    <definedName name="ohewa" hidden="1">#REF!</definedName>
    <definedName name="oi" hidden="1">{"DCF1",#N/A,FALSE,"SIERRA DCF";"MATRIX1",#N/A,FALSE,"SIERRA DCF"}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OIK" hidden="1">{"'Demand Units'!$X$11:$AD$45"}</definedName>
    <definedName name="öipöüpioüpiüio" hidden="1">Word</definedName>
    <definedName name="ois." hidden="1">{#N/A,#N/A,FALSE,"A_D";#N/A,#N/A,FALSE,"WACC";#N/A,#N/A,FALSE,"DCF";#N/A,#N/A,FALSE,"A";#N/A,#N/A,FALSE,"LBO";#N/A,#N/A,FALSE,"C";#N/A,#N/A,FALSE,"impd";#N/A,#N/A,FALSE,"comps"}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OIU" hidden="1">{"'Demand Units'!$X$11:$AD$45"}</definedName>
    <definedName name="oiuoiuoiu" hidden="1">{#N/A,#N/A,FALSE,"Layout GuV"}</definedName>
    <definedName name="oiup" hidden="1">{#N/A,"PURCHM",FALSE,"Business Analysis";#N/A,"SPADD",FALSE,"Business Analysis"}</definedName>
    <definedName name="OIUPOI" hidden="1">{"'Demand Units'!$X$11:$AD$45"}</definedName>
    <definedName name="OIUUOI" hidden="1">{"'Demand Units'!$X$11:$AD$45"}</definedName>
    <definedName name="oiuy" hidden="1">{"Polymers Details",#N/A,FALSE,"Current Yr";"Polymer Details",#N/A,FALSE,"Budget";"Polymer Details",#N/A,FALSE,"Prior Year"}</definedName>
    <definedName name="OK" hidden="1">{#N/A,#N/A,FALSE,"Staffnos &amp; cost"}</definedName>
    <definedName name="okay" hidden="1">{#N/A,#N/A,FALSE,"Admin";#N/A,#N/A,FALSE,"Other"}</definedName>
    <definedName name="ökjösdjföklasjfd" hidden="1">{#N/A,#N/A,FALSE,"Index";#N/A,#N/A,FALSE,"1.1";#N/A,#N/A,FALSE,"Scenario Summary"}</definedName>
    <definedName name="oklyy" hidden="1">{"'Other IPS'!$A$5","'Other IPS'!$A$4:$K$38"}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KJ" hidden="1">{"'Demand Units'!$X$11:$AD$45"}</definedName>
    <definedName name="olo" hidden="1">{"Tages_D",#N/A,FALSE,"Tagesbericht";"Tages_PL",#N/A,FALSE,"Tagesbericht"}</definedName>
    <definedName name="Omega" hidden="1">{"'Data'!$A$1:$D$17"}</definedName>
    <definedName name="on" hidden="1">{"overview",#N/A,FALSE,"summary";"net assets",#N/A,FALSE,"summary";"asset turnover",#N/A,FALSE,"summary";"orona",#N/A,FALSE,"summary"}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"False"</definedName>
    <definedName name="OO_Book_Settings_BGColor" hidden="1">"FFFFFF"</definedName>
    <definedName name="OO_Book_Settings_CellBGColor" hidden="1">"33CCCC"</definedName>
    <definedName name="OO_Book_Settings_Destination" hidden="1">"\\tm1dev\TM1\TM1Web\Applications\SCO\Manufacturing\Websheets\Manufacturing slice Aug 4.xml"</definedName>
    <definedName name="OO_Book_Settings_Footer" hidden="1">""</definedName>
    <definedName name="OO_Book_Settings_Header" hidden="1">""</definedName>
    <definedName name="OO_Book_Settings_HorizontalCenter" hidden="1">"True"</definedName>
    <definedName name="OO_Book_Settings_IgnoreNoPublishWarning" hidden="1">"False"</definedName>
    <definedName name="OO_Book_Settings_Menu" hidden="1">""</definedName>
    <definedName name="OO_Book_Settings_MenuType" hidden="1">"XML"</definedName>
    <definedName name="OO_Book_Settings_RecalOnDropDownChange" hidden="1">"True"</definedName>
    <definedName name="OO_Book_Settings_RecalOnInputCellChange" hidden="1">"False"</definedName>
    <definedName name="OO_Book_Settings_SynchDestination" hidden="1">"1"</definedName>
    <definedName name="OO_Book_Settings_TBExport" hidden="1">"True"</definedName>
    <definedName name="OO_Book_Settings_TBPaste" hidden="1">"True"</definedName>
    <definedName name="OO_Book_Settings_TBUpdate" hidden="1">"True"</definedName>
    <definedName name="OO_Book_Settings_TBWorksheets" hidden="1">"False"</definedName>
    <definedName name="OO_Book_Settings_TBZoomIn" hidden="1">"True"</definedName>
    <definedName name="OO_Book_Settings_TBZoomOut" hidden="1">"True"</definedName>
    <definedName name="OO_Book_Settings_Toolbar" hidden="1">"False"</definedName>
    <definedName name="OO_Book_Settings_UpdateButton" hidden="1">""</definedName>
    <definedName name="OO_Book_Settings_UseNamedRanges" hidden="1">"True"</definedName>
    <definedName name="OO_Book_Settings_UseWorkbookSettings" hidden="1">"False"</definedName>
    <definedName name="OO_Book_Settings_WorksheetTabs" hidden="1">"False"</definedName>
    <definedName name="OO_Book_Settings_XCDestination" hidden="1">"Z:\TM1Web\Applications\SCO\Manufacturing\Worksheets\Manufacturing slice July 19a_xCelsius.xls"</definedName>
    <definedName name="ooi" hidden="1">{#N/A,#N/A,FALSE,"5yr.hist."}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ööölllpp" hidden="1">{"fleisch",#N/A,FALSE,"WG HK";"food",#N/A,FALSE,"WG HK";"hartwaren",#N/A,FALSE,"WG HK";"weichwaren",#N/A,FALSE,"WG HK"}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hidden="1">{#N/A,#N/A,FALSE,"Calc";#N/A,#N/A,FALSE,"Sensitivity";#N/A,#N/A,FALSE,"LT Earn.Dil.";#N/A,#N/A,FALSE,"Dil. AVP"}</definedName>
    <definedName name="OOOOOO" hidden="1">{"'Data'!$A$1:$D$17"}</definedName>
    <definedName name="oooooooo" hidden="1">{#N/A,#N/A,FALSE,"Umsatz 99";#N/A,#N/A,FALSE,"ER 99 "}</definedName>
    <definedName name="oooooooooo" hidden="1">#REF!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ujg" hidden="1">{"scrap",#N/A,FALSE,"scrap"}</definedName>
    <definedName name="OPENPRICE" hidden="1">"OPENPRICE"</definedName>
    <definedName name="OPER_INC" hidden="1">"OPER_INC"</definedName>
    <definedName name="opi" hidden="1">{"bhv1",#N/A,FALSE,"A";"bhv2",#N/A,FALSE,"A";"bhv4",#N/A,FALSE,"A";"bhv3",#N/A,FALSE,"A"}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p" hidden="1">{#N/A,#N/A,FALSE,"P1";#N/A,#N/A,FALSE,"P2";#N/A,#N/A,FALSE,"P4";#N/A,#N/A,FALSE,"P5";#N/A,#N/A,FALSE,"P6";#N/A,#N/A,FALSE,"P7";#N/A,#N/A,FALSE,"P8";#N/A,#N/A,FALSE,"P9";#N/A,#N/A,FALSE,"P10"}</definedName>
    <definedName name="oppp" hidden="1">{"indirect labor",#N/A,FALSE,"labor"}</definedName>
    <definedName name="opü" hidden="1">{#N/A,#N/A,FALSE,"Layout GuV"}</definedName>
    <definedName name="Order__1" hidden="1">0</definedName>
    <definedName name="Order1" hidden="1">0</definedName>
    <definedName name="Order2" hidden="1">1</definedName>
    <definedName name="OrderTable" hidden="1">#REF!</definedName>
    <definedName name="Original" hidden="1">{#N/A,#N/A,FALSE,"Performance Flash Report"}</definedName>
    <definedName name="o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os56rt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OTCS" hidden="1">{"'Data'!$A$1:$D$17"}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hidden="1">{#N/A,#N/A,FALSE,"Pharm";#N/A,#N/A,FALSE,"WWCM"}</definedName>
    <definedName name="othermar" hidden="1">{#N/A,#N/A,FALSE,"Pharm";#N/A,#N/A,FALSE,"WWCM"}</definedName>
    <definedName name="otto" hidden="1">{"SCM_Detail",#N/A,FALSE,"SCM";"SCM_Top",#N/A,FALSE,"SCM"}</definedName>
    <definedName name="ou" hidden="1">{#N/A,#N/A,FALSE,"invpln"}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out" hidden="1">{"direct labor",#N/A,FALSE,"labor";"direct labor1",#N/A,FALSE,"labor"}</definedName>
    <definedName name="outlookjune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{"'comite'!$A$9:$G$44","'comite'!$A$1:$G$6"}</definedName>
    <definedName name="Outstanding" hidden="1">#REF!</definedName>
    <definedName name="owmkib" hidden="1">{"detail",#N/A,FALSE,"mfg";"summary",#N/A,FALSE,"mfg"}</definedName>
    <definedName name="Ownership" hidden="1">OFFSET(#REF!,1,0)</definedName>
    <definedName name="oyi" hidden="1">{#N/A,#N/A,TRUE,"Historicals";#N/A,#N/A,TRUE,"Charts";#N/A,#N/A,TRUE,"Forecasts"}</definedName>
    <definedName name="oyuo" hidden="1">{#N/A,#N/A,TRUE,"Staffnos &amp; cost"}</definedName>
    <definedName name="p" hidden="1">{#N/A,#N/A,TRUE,"Model"}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bl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KAGE3" hidden="1">{#N/A,#N/A,FALSE,"단축1";#N/A,#N/A,FALSE,"단축2";#N/A,#N/A,FALSE,"단축3";#N/A,#N/A,FALSE,"장축";#N/A,#N/A,FALSE,"4WD"}</definedName>
    <definedName name="PADWN" hidden="1">#N/A</definedName>
    <definedName name="PAGE4" hidden="1">{#N/A,#N/A,FALSE,"단축1";#N/A,#N/A,FALSE,"단축2";#N/A,#N/A,FALSE,"단축3";#N/A,#N/A,FALSE,"장축";#N/A,#N/A,FALSE,"4WD"}</definedName>
    <definedName name="pal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Pal_Workbook_GUID" hidden="1">"ZZU87UBNNTHPS8J3VXQSJ2Y9"</definedName>
    <definedName name="papam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Parcel2" hidden="1">{"First Page",#N/A,FALSE,"Surfactants LBO";"Second Page",#N/A,FALSE,"Surfactants LBO"}</definedName>
    <definedName name="PARVEEN" hidden="1">{#N/A,#N/A,TRUE,"Staffnos &amp; cost"}</definedName>
    <definedName name="PAY_ACCRUED" hidden="1">"PAY_ACCRUED"</definedName>
    <definedName name="payable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AYABLES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b" hidden="1">{"net assets",#N/A,FALSE,"summary";"asset turnover",#N/A,FALSE,"summary";"orona",#N/A,FALSE,"summary"}</definedName>
    <definedName name="PCap" hidden="1">#REF!</definedName>
    <definedName name="pcs" hidden="1">{#N/A,#N/A,FALSE,"PCS"}</definedName>
    <definedName name="pd" hidden="1">{"detail",#N/A,FALSE,"mfg";"summary",#N/A,FALSE,"mfg"}</definedName>
    <definedName name="peace" hidden="1">0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erTickers" hidden="1">#REF!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bolag" hidden="1">{#N/A,#N/A,FALSE,"intag";#N/A,#N/A,FALSE,"budg";#N/A,#N/A,FALSE,"samtl"}</definedName>
    <definedName name="Perf" hidden="1">{"GTI monthly IS",#N/A,FALSE,"gti";#N/A,#N/A,FALSE,"gti"}</definedName>
    <definedName name="perflog__pT__10__PivotTable2" hidden="1">"20.04.2020 13:03:00#20.04.2020 13:03:00#0"</definedName>
    <definedName name="perflog__pT__11__PivotTable2" hidden="1">"20.04.2020 13:03:00#20.04.2020 13:03:00#0"</definedName>
    <definedName name="perflog__pT__12__PivotTable2" hidden="1">"20.04.2020 13:03:00#20.04.2020 13:03:00#0"</definedName>
    <definedName name="perflog__pT__13__PivotTable2" hidden="1">"20.04.2020 13:03:00#20.04.2020 13:03:01#1"</definedName>
    <definedName name="perflog__pT__4__PivotTable8" hidden="1">"07.09.2020 14:22:07#07.09.2020 14:22:08#1"</definedName>
    <definedName name="perflog__pT__4__PivotTable9" hidden="1">"07.09.2020 14:22:08#07.09.2020 14:22:10#2"</definedName>
    <definedName name="perflog__pT__5__PivotTable1" hidden="1">"20.04.2020 13:02:33#20.04.2020 13:02:38#5"</definedName>
    <definedName name="perflog__pT__5__PivotTable8" hidden="1">"07.09.2020 14:22:11#07.09.2020 14:22:12#1"</definedName>
    <definedName name="perflog__pT__6__PivotTable1" hidden="1">"20.04.2020 13:02:38#20.04.2020 13:02:42#4"</definedName>
    <definedName name="perflog__pT__6__PivotTable8" hidden="1">"07.09.2020 14:22:12#07.09.2020 14:22:13#1"</definedName>
    <definedName name="perflog__pT__7__PivotTable1" hidden="1">"20.04.2020 13:02:42#20.04.2020 13:02:47#5"</definedName>
    <definedName name="perflog__pT__7__PivotTable8" hidden="1">"07.09.2020 14:22:13#07.09.2020 14:22:13#0"</definedName>
    <definedName name="perflog__pT__8__PivotTable1" hidden="1">"20.04.2020 13:02:51#20.04.2020 13:02:56#5"</definedName>
    <definedName name="perflog__pT__8__PivotTable2" hidden="1">"20.04.2020 13:02:47#20.04.2020 13:02:51#4"</definedName>
    <definedName name="perflog__pT__8__PivotTable8" hidden="1">"07.09.2020 14:22:13#07.09.2020 14:22:14#1"</definedName>
    <definedName name="perflog__pT__8__PivotTable9" hidden="1">"07.09.2020 14:22:14#07.09.2020 14:22:16#2"</definedName>
    <definedName name="perflog__pT__9__PivotTable1" hidden="1">"20.04.2020 13:02:56#20.04.2020 13:03:00#4"</definedName>
    <definedName name="PERIODDATE" hidden="1">"PERIODDATE"</definedName>
    <definedName name="pe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scd" hidden="1">{"budget95",#N/A,TRUE,"Tabelle1";"Tab1",#N/A,TRUE,"Tabelle2"}</definedName>
    <definedName name="pershold" hidden="1">{"budget95",#N/A,TRUE,"Tabelle1";"Tab1",#N/A,TRUE,"Tabelle2"}</definedName>
    <definedName name="Personalkst" hidden="1">{"TAG1AGMS",#N/A,FALSE,"TAG 1A"}</definedName>
    <definedName name="Personell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persSP" hidden="1">{"budget95",#N/A,TRUE,"Tabelle1";"Tab1",#N/A,TRUE,"Tabelle2"}</definedName>
    <definedName name="PETRP" hidden="1">{"'Supply Chain'!$B$1:$AB$13"}</definedName>
    <definedName name="PETSia04" hidden="1">{"'Supply Chain'!$B$1:$AB$13"}</definedName>
    <definedName name="Pfan" hidden="1">{"'Munka1'!$B$1:$G$101"}</definedName>
    <definedName name="pfmea" hidden="1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hidden="1">{#N/A,#N/A,FALSE,"Sales Graph";#N/A,#N/A,FALSE,"PSBM";#N/A,#N/A,FALSE,"BUC Graph";#N/A,#N/A,FALSE,"P&amp;L - YTD"}</definedName>
    <definedName name="pi" hidden="1">{"oct_res_comm",#N/A,FALSE,"VarToBud"}</definedName>
    <definedName name="PIG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pilk" hidden="1">{"YD LPH2",#N/A,FALSE,"YTD"}</definedName>
    <definedName name="Pitchbook" hidden="1">{#N/A,#N/A,TRUE,"Sheet16"}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AM3Yr" hidden="1">{"INCOME",#N/A,FALSE,"ProNet";"VALUE",#N/A,FALSE,"ProNet"}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g.gom" hidden="1">{"2000PPE",#N/A,FALSE,"PPE 2000";"2000DD",#N/A,FALSE,"DrydocksOther"}</definedName>
    <definedName name="pkist" hidden="1">{"budget95",#N/A,TRUE,"Tabelle1";"Tab1",#N/A,TRUE,"Tabelle2"}</definedName>
    <definedName name="pl" hidden="1">{#N/A,#N/A,FALSE,"P&amp;L";#N/A,#N/A,FALSE,"Capital";#N/A,#N/A,FALSE,"Summary";#N/A,#N/A,FALSE,"VAR Rec";#N/A,#N/A,FALSE,"EBIT Rec"}</definedName>
    <definedName name="PL1a" hidden="1">{#N/A,#N/A,FALSE,"Umsatz 99";#N/A,#N/A,FALSE,"ER 99 "}</definedName>
    <definedName name="PL5YRP" hidden="1">{"ebitda",#N/A,FALSE,"EBITDA";"consolidated",#N/A,FALSE,"CCC PL";"divisions",#N/A,FALSE,"Divisions"}</definedName>
    <definedName name="pla" hidden="1">{"budget95",#N/A,TRUE,"Tabelle1";"Tab1",#N/A,TRUE,"Tabelle2"}</definedName>
    <definedName name="placeholder" hidden="1">{#N/A,#N/A,FALSE,"Performance Flash Report"}</definedName>
    <definedName name="Plan_info_FooterType" hidden="1">"INTERNAL"</definedName>
    <definedName name="planassumptions" hidden="1">{"budget95",#N/A,TRUE,"Tabelle1";"Tab1",#N/A,TRUE,"Tabelle2"}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LCepi" hidden="1">{#N/A,#N/A,FALSE,"REPORT"}</definedName>
    <definedName name="please" hidden="1">{"SCM_Detail",#N/A,FALSE,"SCM";"SCM_Top",#N/A,FALSE,"SCM"}</definedName>
    <definedName name="plo" hidden="1">255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nsji5" hidden="1">{#N/A,"PURCHM",FALSE,"Business Analysis";#N/A,"SPADD",FALSE,"Business Analysis"}</definedName>
    <definedName name="po" hidden="1">{#N/A,#N/A,FALSE,"Calc";#N/A,#N/A,FALSE,"Sensitivity";#N/A,#N/A,FALSE,"LT Earn.Dil.";#N/A,#N/A,FALSE,"Dil. AVP"}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" hidden="1">{"Performance Details",#N/A,FALSE,"Current Yr";"Performance Details",#N/A,FALSE,"Budget";"Performance Details",#N/A,FALSE,"Prior Year"}</definedName>
    <definedName name="pokj" hidden="1">{"QTD_LOUISIANA",#N/A,FALSE,"QTD"}</definedName>
    <definedName name="pol" hidden="1">{"sbhko",#N/A,FALSE,"A";"sbhko2",#N/A,FALSE,"A";"sbhko3",#N/A,FALSE,"A"}</definedName>
    <definedName name="pompelmo" hidden="1">{"FY98Q1 var",#N/A,FALSE,"FY98 - Q1";"FY98Q2 var",#N/A,FALSE,"FY98 - Q2";"FY98Q3 var",#N/A,FALSE,"FY98 - Q3";"FY98Q4 var",#N/A,FALSE,"FY98 - Q4"}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p" hidden="1">{#N/A,#N/A,FALSE,"5yr.hist."}</definedName>
    <definedName name="port29" hidden="1">{#N/A,#N/A,FALSE,"Pharm";#N/A,#N/A,FALSE,"WWCM"}</definedName>
    <definedName name="powq" hidden="1">{#N/A,"PURCHM",FALSE,"Business Analysis";#N/A,"SPADD",FALSE,"Business Analysis"}</definedName>
    <definedName name="PPK" hidden="1">{#N/A,#N/A,FALSE,"96 3월물량표";#N/A,#N/A,FALSE,"96 4월물량표";#N/A,#N/A,FALSE,"96 5월물량표"}</definedName>
    <definedName name="ppo" hidden="1">{"Capital",#N/A,FALSE,"capital"}</definedName>
    <definedName name="ppooo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ppp" hidden="1">{"Bilanz grob",#N/A,FALSE,"Planbilanz";"Erfolgsrechnung grob",#N/A,FALSE,"Plan-ER";#N/A,#N/A,FALSE,"Geldfluss"}</definedName>
    <definedName name="PPPPP" hidden="1">{"'Data'!$A$1:$D$17"}</definedName>
    <definedName name="pppppppp" hidden="1">{"'Other IPS'!$A$5","'Other IPS'!$A$4:$K$38"}</definedName>
    <definedName name="PPPPPPPPPPPPPPPP" hidden="1">{"Summary",#N/A,FALSE,"Summary";"A&amp;A's",#N/A,FALSE,"Aids &amp; A's";"MajorWorks",#N/A,FALSE,"Major Works";"EstateImps",#N/A,FALSE,"Estate Imps";"CatC",#N/A,FALSE,"Cat C Voids";"CycProg",#N/A,FALSE,"Cyclical Prog inc MR"}</definedName>
    <definedName name="PPPPPPPPPPPPPPPPPPPPPPPPPPPPPPPP" hidden="1">{"London cttee condensed",#N/A,FALSE,"Dev Panel Cut Report";"South East cttee condensed",#N/A,FALSE,"Dev Panel Cut Report"}</definedName>
    <definedName name="pqmjuz" hidden="1">{"detail",#N/A,FALSE,"mfg";"summary",#N/A,FALSE,"mfg"}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rashanth" hidden="1">{#N/A,#N/A,FALSE,"COMP"}</definedName>
    <definedName name="pRAVEEN" hidden="1">{#N/A,#N/A,FALSE,"Staffnos &amp; cost"}</definedName>
    <definedName name="p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F_DIVID" hidden="1">"PREF_DIVID"</definedName>
    <definedName name="PREF_STOCK" hidden="1">"PREF_STOCK"</definedName>
    <definedName name="prefyes" hidden="1">#REF!</definedName>
    <definedName name="PREPAID_EXPEN" hidden="1">"PREPAID_EXPEN"</definedName>
    <definedName name="Prepayments" hidden="1">{"ratios",#N/A,FALSE,"Analyse";"multiples",#N/A,FALSE,"Analyse";"places",#N/A,FALSE,"Analyse"}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ció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10" hidden="1">#REF!</definedName>
    <definedName name="print4" hidden="1">{#N/A,#N/A,FALSE,"Operations";#N/A,#N/A,FALSE,"Financials"}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d" hidden="1">{#N/A,#N/A,FALSE,"Pharm";#N/A,#N/A,FALSE,"WWCM"}</definedName>
    <definedName name="prod1" hidden="1">{"'Data'!$A$1:$D$17"}</definedName>
    <definedName name="ProdForm" hidden="1">#REF!</definedName>
    <definedName name="prodprocessarditw" hidden="1">{"'Data'!$A$1:$D$17"}</definedName>
    <definedName name="prodprocessaudit" hidden="1">{"'Data'!$A$1:$D$17"}</definedName>
    <definedName name="Product" hidden="1">#REF!</definedName>
    <definedName name="produkt1" hidden="1">{#N/A,#N/A,FALSE,"Print produktmix"}</definedName>
    <definedName name="proformrow" hidden="1">#REF!</definedName>
    <definedName name="prohr" hidden="1">{#N/A,#N/A,FALSE,"Staffnos &amp; cost"}</definedName>
    <definedName name="projdepamort" hidden="1">#REF!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mo" hidden="1">{"'1998 FTC Promo Pk'!$A$6:$AB$28"}</definedName>
    <definedName name="PROPERTY_GROSS" hidden="1">"PROPERTY_GROSS"</definedName>
    <definedName name="PROPERTY_NET" hidden="1">"PROPERTY_NET"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out" hidden="1">{"comp1",#N/A,FALSE,"COMPS";"footnotes",#N/A,FALSE,"COMPS"}</definedName>
    <definedName name="prout1" hidden="1">{"comp1",#N/A,FALSE,"COMPS";"footnotes",#N/A,FALSE,"COMPS"}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TEeXToEUR" hidden="1">1/EUReXToPTE</definedName>
    <definedName name="PU" hidden="1">{"'Demand Units'!$X$11:$AD$45"}</definedName>
    <definedName name="pü" hidden="1">{#N/A,#N/A,FALSE,"Layout Cash Flow"}</definedName>
    <definedName name="PUB_FileID" hidden="1">"L10003649.xls"</definedName>
    <definedName name="PUB_UserID" hidden="1">"MAYERX"</definedName>
    <definedName name="pucspadd42" hidden="1">{#N/A,"PURCHM",FALSE,"Business Analysis";#N/A,"SPADD",FALSE,"Business Analysis"}</definedName>
    <definedName name="Pull_MFE" hidden="1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üüü" hidden="1">{#N/A,#N/A,TRUE,"Time";#N/A,#N/A,TRUE,"VER";#N/A,#N/A,TRUE,"K1_R";#N/A,#N/A,TRUE,"K2_R";#N/A,#N/A,TRUE,"K3_R";#N/A,#N/A,TRUE,"K4_R";#N/A,#N/A,TRUE,"K5_R";#N/A,#N/A,TRUE,"K6_R";#N/A,#N/A,TRUE,"K7_R"}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yi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yop" hidden="1">{"vi1",#N/A,FALSE,"Financial Statements";"vi2",#N/A,FALSE,"Financial Statements";#N/A,#N/A,FALSE,"DCF"}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{#N/A,#N/A,FALSE,"Fluktuation TSI"}</definedName>
    <definedName name="q0" hidden="1">{"'Demand Units'!$Z$2:$AF$53"}</definedName>
    <definedName name="q34her5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aqgr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qa3gt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4taqg35gq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a" hidden="1">{#N/A,#N/A,FALSE,"Staffnos &amp; cost"}</definedName>
    <definedName name="qaaaa" hidden="1">{"detail",#N/A,FALSE,"mfg";"summary",#N/A,FALSE,"mfg"}</definedName>
    <definedName name="qads" hidden="1">#REF!</definedName>
    <definedName name="qas" hidden="1">#REF!</definedName>
    <definedName name="QAW" hidden="1">{#N/A,#N/A,FALSE,"을지 (4)";#N/A,#N/A,FALSE,"을지 (5)";#N/A,#N/A,FALSE,"을지 (6)"}</definedName>
    <definedName name="QAWX" hidden="1">{#N/A,#N/A,FALSE,"을지 (4)";#N/A,#N/A,FALSE,"을지 (5)";#N/A,#N/A,FALSE,"을지 (6)"}</definedName>
    <definedName name="qaz" hidden="1">{#N/A,#N/A,FALSE,"Pharm";#N/A,#N/A,FALSE,"WWCM"}</definedName>
    <definedName name="Qdfdv" hidden="1">{"quarterly",#N/A,FALSE,"Income Statement";#N/A,#N/A,FALSE,"print segment";#N/A,#N/A,FALSE,"Balance Sheet";#N/A,#N/A,FALSE,"Annl Inc";#N/A,#N/A,FALSE,"Cash Flow"}</definedName>
    <definedName name="qds" hidden="1">{#N/A,#N/A,FALSE,"Aging Summary";#N/A,#N/A,FALSE,"Ratio Analysis";#N/A,#N/A,FALSE,"Test 120 Day Accts";#N/A,#N/A,FALSE,"Tickmarks"}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wreqrqwer" hidden="1">{"comp1",#N/A,FALSE,"COMPS";"footnotes",#N/A,FALSE,"COMPS"}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LGC" hidden="1">{"CHART",#N/A,FALSE,"Arch Communications"}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q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aa" hidden="1">{"detail",#N/A,FALSE,"mfg";"summary",#N/A,FALSE,"mfg"}</definedName>
    <definedName name="QQQAAASSS" hidden="1">{#N/A,#N/A,TRUE,"Y생산";#N/A,#N/A,TRUE,"Y판매";#N/A,#N/A,TRUE,"Y총물량";#N/A,#N/A,TRUE,"Y능력";#N/A,#N/A,TRUE,"YKD"}</definedName>
    <definedName name="qqqq" hidden="1">Main.SAPF4Help()</definedName>
    <definedName name="QQQQQ" hidden="1">{#N/A,#N/A,FALSE,"단축1";#N/A,#N/A,FALSE,"단축2";#N/A,#N/A,FALSE,"단축3";#N/A,#N/A,FALSE,"장축";#N/A,#N/A,FALSE,"4WD"}</definedName>
    <definedName name="qqqqqq" hidden="1">{"QTD_PRS",#N/A,FALSE,"QTD"}</definedName>
    <definedName name="QQQQQQQ" hidden="1">{#N/A,#N/A,TRUE,"Y생산";#N/A,#N/A,TRUE,"Y판매";#N/A,#N/A,TRUE,"Y총물량";#N/A,#N/A,TRUE,"Y능력";#N/A,#N/A,TRUE,"YKD"}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tweryey" hidden="1">{#N/A,#N/A,FALSE,"REPORT"}</definedName>
    <definedName name="qr" hidden="1">{"detail",#N/A,FALSE,"mfg";"summary",#N/A,FALSE,"mfg"}</definedName>
    <definedName name="qrewqfewq" hidden="1">{#N/A,#N/A,TRUE,"Historicals";#N/A,#N/A,TRUE,"Charts";#N/A,#N/A,TRUE,"Forecasts"}</definedName>
    <definedName name="qre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RYCOUNT" hidden="1">0</definedName>
    <definedName name="QRYNAME1" hidden="1">"Qlimberg"</definedName>
    <definedName name="QRYNAME10" hidden="1">"US OUS Monthly High Level Cash Flow"</definedName>
    <definedName name="QRYNAME11" hidden="1">"BOLO QRY: 1:  SHEET:BOLO Reported"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"Qlimbergdivision"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"BQ EP Dtl for OI Var OUS"</definedName>
    <definedName name="QRYNAME30" hidden="1">"bqEPOPPlanHK"</definedName>
    <definedName name="QRYNAME4" hidden="1">"BQ WWAcctspayable"</definedName>
    <definedName name="QRYNAME5" hidden="1">"BQ OI Var BU99998"</definedName>
    <definedName name="QRYNAME6" hidden="1">"BQ Hdct"</definedName>
    <definedName name="QRYNAME7" hidden="1">"BOLO QRY: 1:  SHEET:LO Data"</definedName>
    <definedName name="QRYNAME8" hidden="1">"US Int'l Corp Misc as rptd"</definedName>
    <definedName name="QRYNEXT" hidden="1">1</definedName>
    <definedName name="QRYSOURCE1" hidden="1">"EXCELRANGE-EXPAND-BQ"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"IW P&amp;L Data"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"EXCELRANGE-EXPAND-BQ"</definedName>
    <definedName name="QRYSOURCE20" hidden="1">"EXCELRANGE-EXPAND"</definedName>
    <definedName name="QRYSOURCE21" hidden="1">"crsys3"</definedName>
    <definedName name="QRYSOURCE22" hidden="1">"EXCELRANGE-EXPAND-BQ"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"EXCELRANGE-EXPAND-BQ"</definedName>
    <definedName name="QRYSOURCE30" hidden="1">"EXCELRANGE-EXPAND-BQ"</definedName>
    <definedName name="QRYSOURCE4" hidden="1">"EXCELRANGE-EXPAND-BQ"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"EXCELRANGE-EXPAND-BQ"</definedName>
    <definedName name="QRYWKS1" hidden="1">0</definedName>
    <definedName name="qrzt" hidden="1">{#N/A,#N/A,FALSE,"Finanzbedarfsrechnung"}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jlgzerg" hidden="1">{#N/A,#N/A,TRUE,"Cover sheet";#N/A,#N/A,TRUE,"DCF analysis";#N/A,#N/A,TRUE,"WACC calculation"}</definedName>
    <definedName name="qsfd" hidden="1">{#N/A,#N/A,TRUE,"Cover sheet";#N/A,#N/A,TRUE,"INPUTS";#N/A,#N/A,TRUE,"OUTPUTS";#N/A,#N/A,TRUE,"VALUATION"}</definedName>
    <definedName name="QSS" hidden="1">{#N/A,#N/A,FALSE,"을지 (4)";#N/A,#N/A,FALSE,"을지 (5)";#N/A,#N/A,FALSE,"을지 (6)"}</definedName>
    <definedName name="qssss" hidden="1">{#N/A,"PURCHM",FALSE,"Business Analysis";#N/A,"SPADD",FALSE,"Business Analysis"}</definedName>
    <definedName name="qt" hidden="1">{"oct_res_comm",#N/A,FALSE,"VarToBud"}</definedName>
    <definedName name="QUERY1.user_name" hidden="1">"admin"</definedName>
    <definedName name="QUICK_RATIO" hidden="1">"QUICK_RATIO"</definedName>
    <definedName name="quotation" hidden="1">{#N/A,#N/A,FALSE,"단축1";#N/A,#N/A,FALSE,"단축2";#N/A,#N/A,FALSE,"단축3";#N/A,#N/A,FALSE,"장축";#N/A,#N/A,FALSE,"4WD"}</definedName>
    <definedName name="qw" hidden="1">{#N/A,#N/A,FALSE,"REPORT"}</definedName>
    <definedName name="QWA" hidden="1">{#N/A,#N/A,FALSE,"을지 (4)";#N/A,#N/A,FALSE,"을지 (5)";#N/A,#N/A,FALSE,"을지 (6)"}</definedName>
    <definedName name="qwdqwdqad" hidden="1">{#N/A,#N/A,TRUE,"Staffnos &amp; cost"}</definedName>
    <definedName name="qwe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qwedqqdq" hidden="1">{#N/A,#N/A,TRUE,"Staffnos &amp; cost"}</definedName>
    <definedName name="qweqw" hidden="1">{"FY97Q1 var",#N/A,FALSE,"FY97 - Q1";"FY97Q2 var",#N/A,FALSE,"FY97 - Q2";"FY97Q3 var",#N/A,FALSE,"FY97 - Q3";"FY97Q4 var",#N/A,FALSE,"FY97 - Q4"}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{"hiden",#N/A,FALSE,"14";"hidden",#N/A,FALSE,"16";"hidden",#N/A,FALSE,"18";"hidden",#N/A,FALSE,"20"}</definedName>
    <definedName name="qwer23r3r23r" hidden="1">{"GuVGmbH",#N/A,FALSE,"ratios";"BilanzGmbH",#N/A,FALSE,"ratios";"BilanzKG",#N/A,FALSE,"ratios";"GuVKG",#N/A,FALSE,"ratios"}</definedName>
    <definedName name="qwerq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we" hidden="1">{"orixcsc",#N/A,FALSE,"ORIX CSC";"orixcsc2",#N/A,FALSE,"ORIX CSC"}</definedName>
    <definedName name="qwertqry" hidden="1">{#N/A,#N/A,FALSE,"REPORT"}</definedName>
    <definedName name="qwetqryetytu" hidden="1">{#N/A,#N/A,FALSE,"Pharm";#N/A,#N/A,FALSE,"WWCM"}</definedName>
    <definedName name="qwewq" hidden="1">{"FY97Q1",#N/A,FALSE,"FY97 - Q1";"FY97Q2",#N/A,FALSE,"FY97 - Q2";"FY97Q3",#N/A,FALSE,"FY97 - Q3";"FY97Q4",#N/A,FALSE,"FY97 - Q4"}</definedName>
    <definedName name="qwghngfs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wq" hidden="1">{"'Other IPS'!$A$5","'Other IPS'!$A$4:$K$38"}</definedName>
    <definedName name="qwqw" hidden="1">#REF!</definedName>
    <definedName name="qwqwqew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d" hidden="1">{"ACT",#N/A,FALSE,"Q3Elec P&amp;L fy 99  ";"BUD",#N/A,FALSE,"Q3Elec P&amp;L fy 99  ";"PRIOR",#N/A,FALSE,"Q3Elec P&amp;L fy 99  "}</definedName>
    <definedName name="qwrq23r3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we" hidden="1">{#N/A,#N/A,FALSE,"mfg - consol";#N/A,#N/A,FALSE,"mfg - flo";#N/A,#N/A,FALSE,"mfg - lindsay"}</definedName>
    <definedName name="qwwq" hidden="1">Main.SAPF4Help()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_COVER" hidden="1">{#N/A,#N/A,FALSE,"단축1";#N/A,#N/A,FALSE,"단축2";#N/A,#N/A,FALSE,"단축3";#N/A,#N/A,FALSE,"장축";#N/A,#N/A,FALSE,"4WD"}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chel" hidden="1">#REF!</definedName>
    <definedName name="rad" hidden="1">{"PACKAGE",#N/A,FALSE,"CM"}</definedName>
    <definedName name="ramo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ename" hidden="1">{#N/A,#N/A,FALSE,"ACQ_GRAPHS";#N/A,#N/A,FALSE,"T_1 GRAPHS";#N/A,#N/A,FALSE,"T_2 GRAPHS";#N/A,#N/A,FALSE,"COMB_GRAPHS"}</definedName>
    <definedName name="rangename99" hidden="1">{#N/A,#N/A,FALSE,"INPUTS";#N/A,#N/A,FALSE,"PROFORMA BSHEET";#N/A,#N/A,FALSE,"COMBINED";#N/A,#N/A,FALSE,"ACQUIROR";#N/A,#N/A,FALSE,"TARGET 1";#N/A,#N/A,FALSE,"TARGET 2";#N/A,#N/A,FALSE,"HIGH YIELD";#N/A,#N/A,FALSE,"OVERFUND"}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b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CArea" hidden="1">#REF!</definedName>
    <definedName name="r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rderere" hidden="1">{"'comite'!$A$9:$G$44","'comite'!$A$1:$G$6"}</definedName>
    <definedName name="rdx" hidden="1">{"oct_res_comm",#N/A,FALSE,"VarToBud"}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agsrth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ecap_scenario" hidden="1">{"cap_structure",#N/A,FALSE,"Graph-Mkt Cap";"price",#N/A,FALSE,"Graph-Price";"ebit",#N/A,FALSE,"Graph-EBITDA";"ebitda",#N/A,FALSE,"Graph-EBITDA"}</definedName>
    <definedName name="reconcil1" hidden="1">{"Reconciliation",#N/A,FALSE,"Page 2"}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4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ge" hidden="1">{#N/A,#N/A,TRUE,"Historicals";#N/A,#N/A,TRUE,"Charts";#N/A,#N/A,TRUE,"Forecasts"}</definedName>
    <definedName name="reggie" hidden="1">{#N/A,#N/A,FALSE,"Pharm";#N/A,#N/A,FALSE,"WWCM"}</definedName>
    <definedName name="Regional" hidden="1">{#N/A,#N/A,TRUE,"coll"}</definedName>
    <definedName name="regmult" hidden="1">#REF!</definedName>
    <definedName name="regre" hidden="1">{#N/A,#N/A,FALSE,"단축1";#N/A,#N/A,FALSE,"단축2";#N/A,#N/A,FALSE,"단축3";#N/A,#N/A,FALSE,"장축";#N/A,#N/A,FALSE,"4WD"}</definedName>
    <definedName name="Regression" hidden="1">#REF!</definedName>
    <definedName name="RegY" hidden="1">#REF!</definedName>
    <definedName name="rename_of_wrn.CSC" hidden="1">{"page1",#N/A,TRUE,"CSC";"page2",#N/A,TRUE,"CSC"}</definedName>
    <definedName name="renata" hidden="1">{"'comite'!$A$9:$G$44","'comite'!$A$1:$G$6"}</definedName>
    <definedName name="renatar" hidden="1">{"'comite'!$A$9:$G$44","'comite'!$A$1:$G$6"}</definedName>
    <definedName name="Replacement" hidden="1">{#N/A,#N/A,FALSE,"Cover";#N/A,#N/A,FALSE,"Assumptions";#N/A,#N/A,FALSE,"Riseborough";#N/A,#N/A,FALSE,"Henleigh";#N/A,#N/A,FALSE,"Summerdale";#N/A,#N/A,FALSE,"Emberbrook";#N/A,#N/A,FALSE,"Murrayfield";#N/A,#N/A,FALSE,"Lansdowne";#N/A,#N/A,FALSE,"Uplands";#N/A,#N/A,FALSE,"Charlton";#N/A,#N/A,FALSE,"Kingston";#N/A,#N/A,FALSE,"Norwood";#N/A,#N/A,FALSE,"Morecambe";#N/A,#N/A,FALSE,"Tennent";#N/A,#N/A,FALSE,"Glencairn";#N/A,#N/A,FALSE,"Maple";#N/A,#N/A,FALSE,"Hilltop";#N/A,#N/A,FALSE,"Meadowbrook";#N/A,#N/A,FALSE,"Pine";#N/A,#N/A,FALSE,"Rosedale";#N/A,#N/A,FALSE,"Randolph";#N/A,#N/A,FALSE,"Springfields";#N/A,#N/A,FALSE,"Bickleigh";#N/A,#N/A,FALSE,"Elms";#N/A,#N/A,FALSE,"Cherry";#N/A,#N/A,FALSE,"Berwick";#N/A,#N/A,FALSE,"Beechcare";#N/A,#N/A,FALSE,"Ashurst";#N/A,#N/A,FALSE,"P&amp;L";#N/A,#N/A,FALSE,"CFS"}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r" hidden="1">{#N/A,#N/A,FALSE,"Operations";#N/A,#N/A,FALSE,"Financials"}</definedName>
    <definedName name="rere" hidden="1">{#N/A,#N/A,FALSE,"ORIX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EARCH_DEV" hidden="1">"RESEARCH_DEV"</definedName>
    <definedName name="RESISTOR" hidden="1">{#N/A,#N/A,FALSE,"단축1";#N/A,#N/A,FALSE,"단축2";#N/A,#N/A,FALSE,"단축3";#N/A,#N/A,FALSE,"장축";#N/A,#N/A,FALSE,"4WD"}</definedName>
    <definedName name="resources" hidden="1">{#N/A,#N/A,FALSE,"Assessment";#N/A,#N/A,FALSE,"Staffing";#N/A,#N/A,FALSE,"Hires";#N/A,#N/A,FALSE,"Assumptions"}</definedName>
    <definedName name="resp." hidden="1">{#N/A,#N/A,FALSE,"Pharm";#N/A,#N/A,FALSE,"WWCM"}</definedName>
    <definedName name="RestatedActuals" hidden="1">{#N/A,#N/A,FALSE,"Aging Summary";#N/A,#N/A,FALSE,"Ratio Analysis";#N/A,#N/A,FALSE,"Test 120 Day Accts";#N/A,#N/A,FALSE,"Tickmarks"}</definedName>
    <definedName name="results" hidden="1">{"FCB_ALL",#N/A,FALSE,"FCB"}</definedName>
    <definedName name="Results1_FooterType" hidden="1">"INTERNAL"</definedName>
    <definedName name="Results2_FooterType" hidden="1">"INTERNAL"</definedName>
    <definedName name="Results3_FooterType" hidden="1">"INTERNAL"</definedName>
    <definedName name="RETAINED_EARN" hidden="1">"RETAINED_EARN"</definedName>
    <definedName name="rettw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wrt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reveff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ise" hidden="1">40349.759212963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ztetrert" hidden="1">{"comps",#N/A,FALSE,"HANDPACK";"footnotes",#N/A,FALSE,"HANDPACK"}</definedName>
    <definedName name="r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f2e" hidden="1">{#N/A,#N/A,FALSE,"Pharm";#N/A,#N/A,FALSE,"WWCM"}</definedName>
    <definedName name="rffgghg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rftt" hidden="1">{"HUBAN","COMPANIES",TRUE}</definedName>
    <definedName name="rfvbgft" hidden="1">{#N/A,#N/A,FALSE,"Performance Flash Report"}</definedName>
    <definedName name="rgargs" hidden="1">{#N/A,#N/A,TRUE,"Historicals";#N/A,#N/A,TRUE,"Charts";#N/A,#N/A,TRUE,"Forecasts"}</definedName>
    <definedName name="rgheh" hidden="1">{#N/A,#N/A,FALSE,"단축1";#N/A,#N/A,FALSE,"단축2";#N/A,#N/A,FALSE,"단축3";#N/A,#N/A,FALSE,"장축";#N/A,#N/A,FALSE,"4WD"}</definedName>
    <definedName name="RGLSheetVisible" hidden="1">#REF!</definedName>
    <definedName name="rgr" hidden="1">{"ReportTop",#N/A,FALSE,"report top"}</definedName>
    <definedName name="rgwgsdfg" hidden="1">{#N/A,#N/A,TRUE,"Historicals";#N/A,#N/A,TRUE,"Charts";#N/A,#N/A,TRUE,"Forecasts"}</definedName>
    <definedName name="rhrsery" hidden="1">{"'Other IPS'!$A$5","'Other IPS'!$A$4:$K$38"}</definedName>
    <definedName name="rhtn" hidden="1">Word</definedName>
    <definedName name="rib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riiu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xi" hidden="1">{"oct_res_comm",#N/A,FALSE,"VarToBud"}</definedName>
    <definedName name="ｒｊ" hidden="1">{#N/A,#N/A,TRUE,"RIDE";#N/A,#N/A,TRUE,"STEERING";#N/A,#N/A,TRUE,"HANDLING";#N/A,#N/A,TRUE,"BRAKING"}</definedName>
    <definedName name="rjod" hidden="1">{"detail",#N/A,FALSE,"mfg";"summary",#N/A,FALSE,"mfg"}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KIII" hidden="1">{#N/A,#N/A,FALSE,"단축1";#N/A,#N/A,FALSE,"단축2";#N/A,#N/A,FALSE,"단축3";#N/A,#N/A,FALSE,"장축";#N/A,#N/A,FALSE,"4WD"}</definedName>
    <definedName name="rkods" hidden="1">{"detail",#N/A,FALSE,"mfg";"summary",#N/A,FALSE,"mfg"}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RKKR" hidden="1">{#N/A,#N/A,FALSE,"단축1";#N/A,#N/A,FALSE,"단축2";#N/A,#N/A,FALSE,"단축3";#N/A,#N/A,FALSE,"장축";#N/A,#N/A,FALSE,"4WD"}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ert2" hidden="1">{"DCF",#N/A,FALSE,"CF"}</definedName>
    <definedName name="Rohertrag" hidden="1">#REF!</definedName>
    <definedName name="Rohertrag_" hidden="1">#REF!</definedName>
    <definedName name="RohertragK" hidden="1">#REF!</definedName>
    <definedName name="RohertragM" hidden="1">#REF!</definedName>
    <definedName name="RohertragN" hidden="1">#REF!</definedName>
    <definedName name="rohig" hidden="1">{#N/A,#N/A,TRUE,"Staffnos &amp; cost"}</definedName>
    <definedName name="rom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placement" hidden="1">{#N/A,#N/A,FALSE,"Cover";#N/A,#N/A,FALSE,"Assumptions";#N/A,#N/A,FALSE,"Riseborough";#N/A,#N/A,FALSE,"Henleigh";#N/A,#N/A,FALSE,"Summerdale";#N/A,#N/A,FALSE,"Emberbrook";#N/A,#N/A,FALSE,"Murrayfield";#N/A,#N/A,FALSE,"Lansdowne";#N/A,#N/A,FALSE,"Uplands";#N/A,#N/A,FALSE,"Charlton";#N/A,#N/A,FALSE,"Kingston";#N/A,#N/A,FALSE,"Norwood";#N/A,#N/A,FALSE,"Morecambe";#N/A,#N/A,FALSE,"Tennent";#N/A,#N/A,FALSE,"Glencairn";#N/A,#N/A,FALSE,"Maple";#N/A,#N/A,FALSE,"Hilltop";#N/A,#N/A,FALSE,"Meadowbrook";#N/A,#N/A,FALSE,"Pine";#N/A,#N/A,FALSE,"Rosedale";#N/A,#N/A,FALSE,"Randolph";#N/A,#N/A,FALSE,"Springfields";#N/A,#N/A,FALSE,"Bickleigh";#N/A,#N/A,FALSE,"Elms";#N/A,#N/A,FALSE,"Cherry";#N/A,#N/A,FALSE,"Berwick";#N/A,#N/A,FALSE,"Beechcare";#N/A,#N/A,FALSE,"Ashurst";#N/A,#N/A,FALSE,"P&amp;L";#N/A,#N/A,FALSE,"CFS"}</definedName>
    <definedName name="RPSIA" hidden="1">{"'Supply Chain'!$B$1:$AB$13"}</definedName>
    <definedName name="RPTCOUNT" hidden="1">1</definedName>
    <definedName name="RPTID" hidden="1">0</definedName>
    <definedName name="RPTNEXT" hidden="1">2</definedName>
    <definedName name="RPTQRY1" hidden="1">1</definedName>
    <definedName name="RPTQRY10" hidden="1">"sRptNo"</definedName>
    <definedName name="RPTQRY11" hidden="1">5</definedName>
    <definedName name="RPTQRY12" hidden="1">6</definedName>
    <definedName name="RPTQRY13" hidden="1">16</definedName>
    <definedName name="RPTQRY14" hidden="1">22</definedName>
    <definedName name="RPTQRY15" hidden="1">18</definedName>
    <definedName name="RPTQRY16" hidden="1">18</definedName>
    <definedName name="RPTQRY17" hidden="1">19</definedName>
    <definedName name="RPTQRY18" hidden="1">17</definedName>
    <definedName name="RPTQRY19" hidden="1">17</definedName>
    <definedName name="RPTQRY2" hidden="1">2</definedName>
    <definedName name="RPTQRY20" hidden="1">17</definedName>
    <definedName name="RPTQRY21" hidden="1">17</definedName>
    <definedName name="RPTQRY22" hidden="1">17</definedName>
    <definedName name="RPTQRY23" hidden="1">17</definedName>
    <definedName name="RPTQRY24" hidden="1">17</definedName>
    <definedName name="RPTQRY25" hidden="1">17</definedName>
    <definedName name="RPTQRY26" hidden="1">17</definedName>
    <definedName name="RPTQRY27" hidden="1">" "</definedName>
    <definedName name="RPTQRY28" hidden="1">17</definedName>
    <definedName name="RPTQRY29" hidden="1">17</definedName>
    <definedName name="RPTQRY3" hidden="1">2</definedName>
    <definedName name="RPTQRY30" hidden="1">17</definedName>
    <definedName name="RPTQRY31" hidden="1">17</definedName>
    <definedName name="RPTQRY32" hidden="1">17</definedName>
    <definedName name="RPTQRY33" hidden="1">20</definedName>
    <definedName name="RPTQRY34" hidden="1">17</definedName>
    <definedName name="RPTQRY35" hidden="1">20</definedName>
    <definedName name="RPTQRY36" hidden="1">20</definedName>
    <definedName name="RPTQRY37" hidden="1">22</definedName>
    <definedName name="RPTQRY38" hidden="1">22</definedName>
    <definedName name="RPTQRY39" hidden="1">22</definedName>
    <definedName name="RPTQRY4" hidden="1">2</definedName>
    <definedName name="RPTQRY40" hidden="1">22</definedName>
    <definedName name="RPTQRY41" hidden="1">22</definedName>
    <definedName name="RPTQRY42" hidden="1">23</definedName>
    <definedName name="RPTQRY43" hidden="1">23</definedName>
    <definedName name="RPTQRY44" hidden="1">23</definedName>
    <definedName name="RPTQRY45" hidden="1">22</definedName>
    <definedName name="RPTQRY46" hidden="1">24</definedName>
    <definedName name="RPTQRY47" hidden="1">22</definedName>
    <definedName name="RPTQRY48" hidden="1">22</definedName>
    <definedName name="RPTQRY49" hidden="1">22</definedName>
    <definedName name="RPTQRY5" hidden="1">3</definedName>
    <definedName name="RPTQRY50" hidden="1">20</definedName>
    <definedName name="RPTQRY51" hidden="1">20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3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2</definedName>
    <definedName name="RPTQRY70" hidden="1">25</definedName>
    <definedName name="RPTQRY71" hidden="1">24</definedName>
    <definedName name="RPTQRY72" hidden="1">29</definedName>
    <definedName name="RPTQRY8" hidden="1">1</definedName>
    <definedName name="RPTQRY9" hidden="1">4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.BACK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_SEAT" hidden="1">{#N/A,#N/A,FALSE,"단축1";#N/A,#N/A,FALSE,"단축2";#N/A,#N/A,FALSE,"단축3";#N/A,#N/A,FALSE,"장축";#N/A,#N/A,FALSE,"4WD"}</definedName>
    <definedName name="rrehe" hidden="1">{"Tages_D",#N/A,FALSE,"Tagesbericht";"Tages_PL",#N/A,FALSE,"Tagesbericht"}</definedName>
    <definedName name="rrew" hidden="1">{"CLEARING",#N/A,FALSE,"clearing"}</definedName>
    <definedName name="rrr" hidden="1">Main.SAPF4Help()</definedName>
    <definedName name="rrrr" hidden="1">{"comp1",#N/A,FALSE,"COMPS";"footnotes",#N/A,FALSE,"COMPS"}</definedName>
    <definedName name="rrrrr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r" hidden="1">{"cash plan",#N/A,FALSE,"fccashflow"}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rwefsd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S" hidden="1">{"direct labor",#N/A,FALSE,"labor";"direct labor1",#N/A,FALSE,"labor"}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Geismar";"PAGE 2",#N/A,FALSE,"COS Excluding Geismar";"PAGE 3",#N/A,FALSE,"COS Excluding Geismar"}</definedName>
    <definedName name="rsem" hidden="1">{#N/A,#N/A,FALSE,"1996";#N/A,#N/A,FALSE,"1995";#N/A,#N/A,FALSE,"1994"}</definedName>
    <definedName name="RST" hidden="1">{"ONE",#N/A,FALSE,"96DDCOD";"TWO",#N/A,FALSE,"96DDCOD"}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ds" hidden="1">{"ICD Details",#N/A,FALSE,"Current Yr";"ICD Details",#N/A,FALSE,"Budget";"ICD Details",#N/A,FALSE,"Prior Year"}</definedName>
    <definedName name="rtert" hidden="1">{#N/A,#N/A,FALSE,"Layout Aktiva";#N/A,#N/A,FALSE,"Layout Passiva"}</definedName>
    <definedName name="rtfg" hidden="1">{"LAPO2N2",#N/A,FALSE,"CM";"TOTTEXAS",#N/A,FALSE,"CM";"LOUISIANA",#N/A,FALSE,"CM";"GENERALH2",#N/A,FALSE,"CM";"PRS",#N/A,FALSE,"CM";"PACKAGE",#N/A,FALSE,"CM";"OTHER",#N/A,FALSE,"CM"}</definedName>
    <definedName name="RTFGF" hidden="1">{"'Demand Units'!$X$11:$AD$45"}</definedName>
    <definedName name="rtgds" hidden="1">{#N/A,#N/A,TRUE,"Historicals";#N/A,#N/A,TRUE,"Charts";#N/A,#N/A,TRUE,"Forecasts"}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HDaily" hidden="1">2</definedName>
    <definedName name="RTHDefault" hidden="1">1</definedName>
    <definedName name="RTHIncludeActive" hidden="1">1</definedName>
    <definedName name="RTHIncludeActiveNonActive" hidden="1">2</definedName>
    <definedName name="RTHIncludeAll" hidden="1">3</definedName>
    <definedName name="RTHIncludeWeekdays" hidden="1">2</definedName>
    <definedName name="RTHMonthly" hidden="1">4</definedName>
    <definedName name="RTHOrientCol" hidden="1">2</definedName>
    <definedName name="RTHOrientRow" hidden="1">1</definedName>
    <definedName name="RTHQuarterly" hidden="1">5</definedName>
    <definedName name="rthrt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HSortAscend" hidden="1">1</definedName>
    <definedName name="RTHSortDescend" hidden="1">2</definedName>
    <definedName name="RTHWeekly" hidden="1">3</definedName>
    <definedName name="RTHYearly" hidden="1">6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r" hidden="1">{"Tages_D",#N/A,FALSE,"Tagesbericht";"Tages_PL",#N/A,FALSE,"Tagesbericht"}</definedName>
    <definedName name="rtrrrrrrrrr" hidden="1">{"'Data'!$A$1:$D$17"}</definedName>
    <definedName name="rtsslk" hidden="1">{"'Planning Data'!$A$2:$X$120"}</definedName>
    <definedName name="rttr" hidden="1">"(GMT-05:00)11/6/2012 2:05:52 PM"</definedName>
    <definedName name="rtuer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twregfds" hidden="1">{#N/A,#N/A,TRUE,"Historicals";#N/A,#N/A,TRUE,"Charts";#N/A,#N/A,TRUE,"Forecasts"}</definedName>
    <definedName name="rtwrt" hidden="1">{#N/A,#N/A,TRUE,"Historicals";#N/A,#N/A,TRUE,"Charts";#N/A,#N/A,TRUE,"Forecasts"}</definedName>
    <definedName name="rty" hidden="1">{#N/A,#N/A,TRUE,"Pro Forma";#N/A,#N/A,TRUE,"PF_Bal";#N/A,#N/A,TRUE,"PF_INC";#N/A,#N/A,TRUE,"CBE";#N/A,#N/A,TRUE,"SWK"}</definedName>
    <definedName name="rtyu" hidden="1">{"BA detail",#N/A,FALSE,"Q3YTD "}</definedName>
    <definedName name="rtz" hidden="1">{#N/A,#N/A,FALSE,"Layout Aktiva";#N/A,#N/A,FALSE,"Layout Passiva"}</definedName>
    <definedName name="rtzrt" hidden="1">{#N/A,#N/A,FALSE,"Layout Cash Flow"}</definedName>
    <definedName name="rtzueuetzutz" hidden="1">Word</definedName>
    <definedName name="rtzutrz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tzztuzj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UHSFHUY" hidden="1">{"'Demand Units'!$X$11:$AD$45"}</definedName>
    <definedName name="RUHYRUJTYJ" hidden="1">{"'Demand Units'!$X$11:$AD$45"}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rwr" hidden="1">{"'Standalone List Price Trends'!$A$1:$X$56"}</definedName>
    <definedName name="rwrwrwrwr" hidden="1">{"'Standalone List Price Trends'!$A$1:$X$56"}</definedName>
    <definedName name="rwsz" hidden="1">{"Commentary",#N/A,FALSE,"May"}</definedName>
    <definedName name="Rwvu.PRT." hidden="1">#REF!,#REF!</definedName>
    <definedName name="Rwvu.Prt.2" hidden="1">#REF!,#REF!</definedName>
    <definedName name="rwwr" hidden="1">{"'Standalone List Price Trends'!$A$1:$X$56"}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etrewt" hidden="1">{#N/A,#N/A,TRUE,"Historicals";#N/A,#N/A,TRUE,"Charts";#N/A,#N/A,TRUE,"Forecasts"}</definedName>
    <definedName name="rx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xMax" hidden="1">#REF!</definedName>
    <definedName name="RxMin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{#N/A,#N/A,TRUE,"Cover sheet";#N/A,#N/A,TRUE,"INPUTS";#N/A,#N/A,TRUE,"OUTPUTS";#N/A,#N/A,TRUE,"VALUATION"}</definedName>
    <definedName name="saa" hidden="1">41083.7121412037</definedName>
    <definedName name="saaaaaaaaaaaaaaa" hidden="1">{"up stand alones",#N/A,FALSE,"Acquiror"}</definedName>
    <definedName name="SABBEXrevision" hidden="1">14</definedName>
    <definedName name="sad" hidden="1">{"Summary",#N/A,FALSE,"Summary";"A&amp;A's",#N/A,FALSE,"Aids &amp; A's";"MajorWorks",#N/A,FALSE,"Major Works";"EstateImps",#N/A,FALSE,"Estate Imps";"CatC",#N/A,FALSE,"Cat C Voids";"CycProg",#N/A,FALSE,"Cyclical Prog inc MR"}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dfsadfadsfsadfsadf" hidden="1">{#N/A,#N/A,FALSE,"Index";#N/A,#N/A,FALSE,"1.1";#N/A,#N/A,FALSE,"Scenario Summary"}</definedName>
    <definedName name="sadfsafsa" hidden="1">{#N/A,#N/A,FALSE,"Profit Status";#N/A,#N/A,FALSE,"Invest";#N/A,#N/A,FALSE,"Revenue";#N/A,#N/A,FALSE,"Variable Cost";#N/A,#N/A,FALSE,"Options &amp; Series"}</definedName>
    <definedName name="sadfsdfsdafsadfsadfsfd" hidden="1">{#N/A,#N/A,FALSE,"Index";#N/A,#N/A,FALSE,"1.1";#N/A,#N/A,FALSE,"Scenario Summary"}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t" hidden="1">{#N/A,#N/A,FALSE,"Finanzbedarfsrechnung"}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G" hidden="1">#REF!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U" hidden="1">{#N/A,#N/A,TRUE,"Staffnos &amp; cost"}</definedName>
    <definedName name="Salesmargin" hidden="1">{#N/A,#N/A,FALSE,"Aging Summary";#N/A,#N/A,FALSE,"Ratio Analysis";#N/A,#N/A,FALSE,"Test 120 Day Accts";#N/A,#N/A,FALSE,"Tickmarks"}</definedName>
    <definedName name="Salespp" hidden="1">{"detail",#N/A,FALSE,"mfg";"summary",#N/A,FALSE,"mfg"}</definedName>
    <definedName name="sally" hidden="1">{#N/A,#N/A,FALSE,"Pharm";#N/A,#N/A,FALSE,"WWCM"}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P_BYD_CodeList_AccountingClosingStepTypeCode_Name">#REF!</definedName>
    <definedName name="SAP_BYD_CodeList_AccountingDocumentTypeCode_Name">#REF!</definedName>
    <definedName name="SAP_BYD_CodeList_CurrencyCode_Name">#REF!</definedName>
    <definedName name="SAP_BYD_CodeList_DebitCreditCode_Name">#REF!</definedName>
    <definedName name="SAPBEX" hidden="1">0</definedName>
    <definedName name="SAPBEX1" hidden="1">"P92"</definedName>
    <definedName name="SAPBEXdnIdView2" hidden="1">"4Z5BKMHC0RT1LERQDQXWDABI9"</definedName>
    <definedName name="SAPBEXdnldView" hidden="1">"3P4173EDQZKHOYA6W9X8I8T0V"</definedName>
    <definedName name="SAPBEXdnldView_1" hidden="1">"BIWMHKBRG6KBR3DK11DCTDZHP"</definedName>
    <definedName name="SAPBEXhrIndnt" hidden="1">1</definedName>
    <definedName name="SAPBEXrevision" hidden="1">1</definedName>
    <definedName name="SAPBEXrevision_1" hidden="1">7</definedName>
    <definedName name="SAPBEXrevision1" hidden="1">33</definedName>
    <definedName name="SAPBEXsysID" hidden="1">"PR3"</definedName>
    <definedName name="SAPBEXsysID_1" hidden="1">"PB1"</definedName>
    <definedName name="SAPBEXwbID" hidden="1">"A6GTSQRFUHD7LPGJ6R1T1FJD1"</definedName>
    <definedName name="SAPBEXwbID_1" hidden="1">"B9XTDZB70HFA0WIZZ314CXBY1"</definedName>
    <definedName name="SAPBEXwbID1" hidden="1">"3OVSFQEZIYRLR2ZD72DUDEJV6"</definedName>
    <definedName name="SAPBW" hidden="1">"0F7GQ2DYLD7G32V6COLPWB9JS"</definedName>
    <definedName name="SAPBW_DOWNLOAD_Q1" hidden="1">"4EKWXY5FHF4A1CVVTMJKIZE4F"</definedName>
    <definedName name="SAPFuncF4Help" hidden="1">Main.SAPF4Help()</definedName>
    <definedName name="SAPFuncF4Help1" hidden="1">Main.SAPF4Help()</definedName>
    <definedName name="SAPsysID" hidden="1">"708C5W7SBKP804JT78WJ0JNKI"</definedName>
    <definedName name="SAPwbID" hidden="1">"ARS"</definedName>
    <definedName name="saregs" hidden="1">{#N/A,#N/A,TRUE,"Historicals";#N/A,#N/A,TRUE,"Charts";#N/A,#N/A,TRUE,"Forecasts"}</definedName>
    <definedName name="sas" hidden="1">{"detail",#N/A,FALSE,"mfg";"summary",#N/A,FALSE,"mfg"}</definedName>
    <definedName name="sasasdas" hidden="1">{#N/A,#N/A,FALSE,"Performance Flash Report"}</definedName>
    <definedName name="SAÜBEXsysID2" hidden="1">"BW1"</definedName>
    <definedName name="sb" hidden="1">{#N/A,#N/A,FALSE,"Renewals In Process";#N/A,#N/A,FALSE,"New Clients In Process";#N/A,#N/A,FALSE,"Completed New Clients";#N/A,#N/A,FALSE,"Completed Renewals"}</definedName>
    <definedName name="Scale" hidden="1">#REF!</definedName>
    <definedName name="sca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cd" hidden="1">{#N/A,#N/A,TRUE,"Staffnos &amp; cost"}</definedName>
    <definedName name="scen_name1" hidden="1">"high1 normal"</definedName>
    <definedName name="scen_name2" hidden="1">"high1 high"</definedName>
    <definedName name="scen_name3" hidden="1">"low1 normal"</definedName>
    <definedName name="scen_name4" hidden="1">"low 2 normal"</definedName>
    <definedName name="scen_name5" hidden="1">"low2 high"</definedName>
    <definedName name="scen_name6" hidden="1">"low1 high"</definedName>
    <definedName name="scen_user1" hidden="1">"Dorit Timman"</definedName>
    <definedName name="scen_user2" hidden="1">"Dorit Timman"</definedName>
    <definedName name="scen_user3" hidden="1">"Dorit Timman"</definedName>
    <definedName name="scen_user4" hidden="1">"Dorit Timman"</definedName>
    <definedName name="scen_user5" hidden="1">"Dorit Timman"</definedName>
    <definedName name="scen_user6" hidden="1">"Dorit Timman"</definedName>
    <definedName name="SchematiqVersion" hidden="1">"1.4.6336"</definedName>
    <definedName name="Schraffur.LA" hidden="1">#REF!,#REF!,#REF!,#REF!,#REF!,#REF!</definedName>
    <definedName name="Schraffur.LM" hidden="1">#REF!,#REF!,#REF!,#REF!,#REF!,#REF!</definedName>
    <definedName name="Schraffur.MA" hidden="1">#REF!,#REF!,#REF!,#REF!,#REF!,#REF!</definedName>
    <definedName name="Schraffur.MM" hidden="1">#REF!,#REF!,#REF!,#REF!,#REF!,#REF!</definedName>
    <definedName name="Schraffur.PA" hidden="1">#REF!,#REF!,#REF!,#REF!,#REF!,#REF!</definedName>
    <definedName name="Schraffur.PM" hidden="1">#REF!,#REF!,#REF!,#REF!,#REF!,#REF!</definedName>
    <definedName name="Schraffur.TX" hidden="1">#REF!,#REF!,#REF!,#REF!,#REF!,#REF!,#REF!</definedName>
    <definedName name="Schraffur.VA" hidden="1">#REF!,#REF!,#REF!,#REF!,#REF!,#REF!</definedName>
    <definedName name="Schraffur.VM" hidden="1">#REF!,#REF!,#REF!,#REF!,#REF!,#REF!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 hidden="1">{"'subnets'!$A$1:$F$20"}</definedName>
    <definedName name="scsxsx" hidden="1">{#N/A,#N/A,FALSE,"Calc";#N/A,#N/A,FALSE,"Sensitivity";#N/A,#N/A,FALSE,"LT Earn.Dil.";#N/A,#N/A,FALSE,"Dil. AVP"}</definedName>
    <definedName name="sd" hidden="1">{#N/A,#N/A,FALSE,"WOB_1.XLS";#N/A,#N/A,FALSE,"WOB_2.XLS";#N/A,#N/A,FALSE,"WOB_3.XLS";#N/A,#N/A,FALSE,"WOB_4.XLS";#N/A,#N/A,FALSE,"WOB_5.XLS"}</definedName>
    <definedName name="sda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dafgs" hidden="1">{#N/A,#N/A,FALSE,"Pharm";#N/A,#N/A,FALSE,"WWCM"}</definedName>
    <definedName name="sdafregfx" hidden="1">{#N/A,#N/A,TRUE,"Historicals";#N/A,#N/A,TRUE,"Charts";#N/A,#N/A,TRUE,"Forecasts"}</definedName>
    <definedName name="sdas" hidden="1">{"Total",#N/A,FALSE,"Six Fields";"PDP",#N/A,FALSE,"Six Fields";"PNP",#N/A,FALSE,"Six Fields";"PUD",#N/A,FALSE,"Six Fields";"Prob",#N/A,FALSE,"Six Fields"}</definedName>
    <definedName name="SDCS" hidden="1">{#N/A,#N/A,TRUE,"Staffnos &amp; cost"}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s" hidden="1">{"PACKAGE",#N/A,FALSE,"CM"}</definedName>
    <definedName name="SDEUR" hidden="1">#REF!</definedName>
    <definedName name="sd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sdf23rq34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a" hidden="1">#REF!</definedName>
    <definedName name="sdfadfd" hidden="1">9</definedName>
    <definedName name="sdfasdafd" hidden="1">#REF!</definedName>
    <definedName name="sdfasdafd1a" hidden="1">#REF!</definedName>
    <definedName name="sdfasdfasdf" hidden="1">{"'Raumplanung April'!$A$1:$H$30"}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" hidden="1">{"'Sheet1'!$A$1:$O$22"}</definedName>
    <definedName name="sdfd" hidden="1">39776.6940625</definedName>
    <definedName name="sdfdsf" hidden="1">{#N/A,#N/A,FALSE,"KA CH  (2)"}</definedName>
    <definedName name="sdff" hidden="1">#REF!</definedName>
    <definedName name="sdffdfgf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5w4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DFGH" hidden="1">{#N/A,#N/A,FALSE,"단축1";#N/A,#N/A,FALSE,"단축2";#N/A,#N/A,FALSE,"단축3";#N/A,#N/A,FALSE,"장축";#N/A,#N/A,FALSE,"4WD"}</definedName>
    <definedName name="sdfghfd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dfgrsta" hidden="1">{"var_page",#N/A,FALSE,"template"}</definedName>
    <definedName name="sdfgw45q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h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S" hidden="1">{#N/A,#N/A,FALSE,"단축1";#N/A,#N/A,FALSE,"단축2";#N/A,#N/A,FALSE,"단축3";#N/A,#N/A,FALSE,"장축";#N/A,#N/A,FALSE,"4WD"}</definedName>
    <definedName name="sdfsadf" hidden="1">{#N/A,#N/A,FALSE,"Index";#N/A,#N/A,FALSE,"1.1";#N/A,#N/A,FALSE,"Scenario Summary"}</definedName>
    <definedName name="sdfsadfsdafsadf" hidden="1">{#N/A,#N/A,FALSE,"Index";#N/A,#N/A,FALSE,"1.1";#N/A,#N/A,FALSE,"Scenario Summary"}</definedName>
    <definedName name="sdfsafd" hidden="1">{#N/A,#N/A,FALSE,"Index";#N/A,#N/A,FALSE,"1.1";#N/A,#N/A,FALSE,"Scenario Summary"}</definedName>
    <definedName name="sdfsdaf" hidden="1">{#N/A,#N/A,FALSE,"Index";#N/A,#N/A,FALSE,"1.1";#N/A,#N/A,FALSE,"Scenario Summary"}</definedName>
    <definedName name="sdfsdf" hidden="1">{#N/A,#N/A,TRUE,"Cover sheet";#N/A,#N/A,TRUE,"INPUTS";#N/A,#N/A,TRUE,"OUTPUTS";#N/A,#N/A,TRUE,"VALUATION"}</definedName>
    <definedName name="sdfsdfsdfsdfs" hidden="1">6</definedName>
    <definedName name="sdfsdg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dfwer" hidden="1">{#N/A,#N/A,FALSE,"Layout GuV"}</definedName>
    <definedName name="sdgagf" hidden="1">{#N/A,#N/A,FALSE,"Pharm";#N/A,#N/A,FALSE,"WWCM"}</definedName>
    <definedName name="sdgdf" hidden="1">{"Acq_matrix",#N/A,FALSE,"Acquisition Matrix"}</definedName>
    <definedName name="sdgdfghfhgfjhgfjhjjjg" hidden="1">{"general",#N/A,FALSE,"Assumptions"}</definedName>
    <definedName name="sdgdgdf" hidden="1">{"comp",#N/A,FALSE,"SPEC";"footnotes",#N/A,FALSE,"SPEC"}</definedName>
    <definedName name="SDGF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sdgh" hidden="1">{"qty and inventory value",#N/A,FALSE,"MPartners";"general ledger entries",#N/A,FALSE,"MPartners"}</definedName>
    <definedName name="sdhdhfdfhh" hidden="1">{#N/A,#N/A,FALSE,"Balance Sheet";#N/A,#N/A,FALSE,"Income Statement";#N/A,#N/A,FALSE,"Changes in Financial Position"}</definedName>
    <definedName name="sdkfjösadkjfölskdajfiweaiofrw" hidden="1">{#N/A,#N/A,FALSE,"Index";#N/A,#N/A,FALSE,"1.1";#N/A,#N/A,FALSE,"Scenario Summary"}</definedName>
    <definedName name="sdry" hidden="1">#REF!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dasd" hidden="1">{#N/A,#N/A,FALSE,"Pharm";#N/A,#N/A,FALSE,"WWCM"}</definedName>
    <definedName name="SDSD" hidden="1">{#N/A,#N/A,FALSE,"Staffnos &amp; cost"}</definedName>
    <definedName name="sdsdfsdf" hidden="1">{"GuVGmbH",#N/A,FALSE,"ratios";"BilanzGmbH",#N/A,FALSE,"ratios";"BilanzKG",#N/A,FALSE,"ratios";"GuVKG",#N/A,FALSE,"ratios"}</definedName>
    <definedName name="sdsf" hidden="1">{"vi1",#N/A,FALSE,"Financial Statements";"vi2",#N/A,FALSE,"Financial Statements";#N/A,#N/A,FALSE,"DCF"}</definedName>
    <definedName name="sdtrshjsrt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dvsdfv" hidden="1">{"Alex2",#N/A,FALSE," SAV A8"}</definedName>
    <definedName name="sdvsdvsDVVd" hidden="1">{"'Planning Data'!$A$2:$X$120"}</definedName>
    <definedName name="sdw" hidden="1">{#N/A,#N/A,FALSE,"Admin";#N/A,#N/A,FALSE,"Other"}</definedName>
    <definedName name="sdy" hidden="1">{#N/A,#N/A,FALSE,"PrintM"}</definedName>
    <definedName name="se" hidden="1">{"consolidated",#N/A,FALSE,"Sheet1";"cms",#N/A,FALSE,"Sheet1";"fse",#N/A,FALSE,"Sheet1"}</definedName>
    <definedName name="sea" hidden="1">{"oct_res_comm",#N/A,FALSE,"VarToBud"}</definedName>
    <definedName name="sean" hidden="1">{"'Sample Status'!$A$1:$J$21"}</definedName>
    <definedName name="Sec_Eff_X" hidden="1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gmentBudget" hidden="1">{"oct_res_comm",#N/A,FALSE,"VarToBud"}</definedName>
    <definedName name="SEJINBS" hidden="1">{#N/A,#N/A,FALSE,"정공"}</definedName>
    <definedName name="Selim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range" hidden="1">#REF!</definedName>
    <definedName name="semanal" hidden="1">{"MATERIAL",#N/A,FALSE,"material"}</definedName>
    <definedName name="sencount" hidden="1">1</definedName>
    <definedName name="ser" hidden="1">{"FY98Q1",#N/A,FALSE,"FY98 - Q1";"FY98Q2",#N/A,FALSE,"FY98 - Q2";"FY98Q3",#N/A,FALSE,"FY98 - Q3";"FY98Q4",#N/A,FALSE,"FY98 - Q4"}</definedName>
    <definedName name="serers" hidden="1">{#N/A,#N/A,FALSE,"Staffnos &amp; cost"}</definedName>
    <definedName name="serhsthj" hidden="1">{#N/A,#N/A,FALSE,"INPUTS";#N/A,#N/A,FALSE,"PROFORMA BSHEET";#N/A,#N/A,FALSE,"COMBINED";#N/A,#N/A,FALSE,"ACQUIROR";#N/A,#N/A,FALSE,"TARGET 1";#N/A,#N/A,FALSE,"TARGET 2";#N/A,#N/A,FALSE,"HIGH YIELD";#N/A,#N/A,FALSE,"OVERFUND"}</definedName>
    <definedName name="serqw" hidden="1">{#N/A,#N/A,FALSE,"Staffnos &amp; cost"}</definedName>
    <definedName name="sertawe" hidden="1">{#N/A,#N/A,FALSE,"Layout Aktiva";#N/A,#N/A,FALSE,"Layout Passiva"}</definedName>
    <definedName name="setwet" hidden="1">{"summary",#N/A,FALSE,"labor"}</definedName>
    <definedName name="sety" hidden="1">{"LAPO2N2",#N/A,FALSE,"CM"}</definedName>
    <definedName name="sev" hidden="1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#REF!</definedName>
    <definedName name="sfdg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G" hidden="1">{#N/A,#N/A,FALSE,"단축1";#N/A,#N/A,FALSE,"단축2";#N/A,#N/A,FALSE,"단축3";#N/A,#N/A,FALSE,"장축";#N/A,#N/A,FALSE,"4WD"}</definedName>
    <definedName name="sfdgsdfh5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dharghesrh" hidden="1">{#N/A,#N/A,FALSE,"Valuation Assumptions";#N/A,#N/A,FALSE,"Summary";#N/A,#N/A,FALSE,"DCF";#N/A,#N/A,FALSE,"Valuation";#N/A,#N/A,FALSE,"WACC";#N/A,#N/A,FALSE,"UBVH";#N/A,#N/A,FALSE,"Free Cash Flow"}</definedName>
    <definedName name="sfdirect" hidden="1">{#N/A,#N/A,FALSE,"REPORT"}</definedName>
    <definedName name="sfdsfsdf" hidden="1">"5XE3DWNI2A1IX1M55GJ5LUGO9"</definedName>
    <definedName name="sff" hidden="1">{"targetdcf",#N/A,FALSE,"Merger consequences";"TARGETASSU",#N/A,FALSE,"Merger consequences";"TERMINAL VALUE",#N/A,FALSE,"Merger consequences"}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{"DCF","UPSIDE CASE",FALSE,"Sheet1";"DCF","BASE CASE",FALSE,"Sheet1";"DCF","DOWNSIDE CASE",FALSE,"Sheet1"}</definedName>
    <definedName name="sfg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fghdsgjms" hidden="1">{#N/A,#N/A,FALSE,"ACQ_GRAPHS";#N/A,#N/A,FALSE,"T_1 GRAPHS";#N/A,#N/A,FALSE,"T_2 GRAPHS";#N/A,#N/A,FALSE,"COMB_GRAPHS"}</definedName>
    <definedName name="SFGHJK" hidden="1">{#N/A,#N/A,FALSE,"단축1";#N/A,#N/A,FALSE,"단축2";#N/A,#N/A,FALSE,"단축3";#N/A,#N/A,FALSE,"장축";#N/A,#N/A,FALSE,"4WD"}</definedName>
    <definedName name="sfghsgjsh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fghsmsmsg" hidden="1">{#N/A,#N/A,FALSE,"ACQ_GRAPHS";#N/A,#N/A,FALSE,"T_1 GRAPHS";#N/A,#N/A,FALSE,"T_2 GRAPHS";#N/A,#N/A,FALSE,"COMB_GRAPHS"}</definedName>
    <definedName name="sfgns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gv" hidden="1">{"consolidated",#N/A,FALSE,"Sheet1";"cms",#N/A,FALSE,"Sheet1";"fse",#N/A,FALSE,"Sheet1"}</definedName>
    <definedName name="sfhdghghdsgh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JGH" hidden="1">{#N/A,#N/A,FALSE,"단축1";#N/A,#N/A,FALSE,"단축2";#N/A,#N/A,FALSE,"단축3";#N/A,#N/A,FALSE,"장축";#N/A,#N/A,FALSE,"4WD"}</definedName>
    <definedName name="sfq" hidden="1">{#N/A,#N/A,FALSE,"Calc";#N/A,#N/A,FALSE,"Sensitivity";#N/A,#N/A,FALSE,"LT Earn.Dil.";#N/A,#N/A,FALSE,"Dil. AVP"}</definedName>
    <definedName name="sfs" hidden="1">{"comps",#N/A,FALSE,"HANDPACK";"footnotes",#N/A,FALSE,"HANDPACK"}</definedName>
    <definedName name="sfsdfsf" hidden="1">{"First Page",#N/A,FALSE,"Surfactants LBO";"Second Page",#N/A,FALSE,"Surfactants LBO"}</definedName>
    <definedName name="sfsf" hidden="1">{"general",#N/A,FALSE,"Assumptions"}</definedName>
    <definedName name="sfsfsdf" hidden="1">{#N/A,#N/A,FALSE,"Calc";#N/A,#N/A,FALSE,"Sensitivity";#N/A,#N/A,FALSE,"LT Earn.Dil.";#N/A,#N/A,FALSE,"Dil. AVP"}</definedName>
    <definedName name="SFSFSFS" hidden="1">{#N/A,#N/A,FALSE,"단축1";#N/A,#N/A,FALSE,"단축2";#N/A,#N/A,FALSE,"단축3";#N/A,#N/A,FALSE,"장축";#N/A,#N/A,FALSE,"4WD"}</definedName>
    <definedName name="sfsfsfsfsfd" hidden="1">{"away stand alones",#N/A,FALSE,"Target"}</definedName>
    <definedName name="sfthsthstrhsth" hidden="1">{#N/A,#N/A,FALSE,"ACQ_GRAPHS";#N/A,#N/A,FALSE,"T_1 GRAPHS";#N/A,#N/A,FALSE,"T_2 GRAPHS";#N/A,#N/A,FALSE,"COMB_GRAPHS"}</definedName>
    <definedName name="sf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 hidden="1">"SGA"</definedName>
    <definedName name="s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gdg" hidden="1">{#N/A,#N/A,FALSE,"Calc";#N/A,#N/A,FALSE,"Sensitivity";#N/A,#N/A,FALSE,"LT Earn.Dil.";#N/A,#N/A,FALSE,"Dil. AVP"}</definedName>
    <definedName name="sgdzhet" hidden="1">{"subs",#N/A,FALSE,"database ";"proportional",#N/A,FALSE,"database "}</definedName>
    <definedName name="sg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srthsrths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ghsrthsrtj" hidden="1">{#N/A,#N/A,FALSE,"ACQ_GRAPHS";#N/A,#N/A,FALSE,"T_1 GRAPHS";#N/A,#N/A,FALSE,"T_2 GRAPHS";#N/A,#N/A,FALSE,"COMB_GRAPHS"}</definedName>
    <definedName name="sgjsgjsgj" hidden="1">{#N/A,#N/A,FALSE,"Valuation Assumptions";#N/A,#N/A,FALSE,"Summary";#N/A,#N/A,FALSE,"DCF";#N/A,#N/A,FALSE,"Valuation";#N/A,#N/A,FALSE,"WACC";#N/A,#N/A,FALSE,"UBVH";#N/A,#N/A,FALSE,"Free Cash Flow"}</definedName>
    <definedName name="sgjshksts" hidden="1">{#N/A,#N/A,FALSE,"INPUTS";#N/A,#N/A,FALSE,"PROFORMA BSHEET";#N/A,#N/A,FALSE,"COMBINED";#N/A,#N/A,FALSE,"HIGH YIELD";#N/A,#N/A,FALSE,"COMB_GRAPHS"}</definedName>
    <definedName name="sgjsrtj" hidden="1">{#N/A,#N/A,FALSE,"ACQ_GRAPHS";#N/A,#N/A,FALSE,"T_1 GRAPHS";#N/A,#N/A,FALSE,"T_2 GRAPHS";#N/A,#N/A,FALSE,"COMB_GRAPHS"}</definedName>
    <definedName name="sgjsrtjn" hidden="1">{#N/A,#N/A,FALSE,"Valuation Assumptions";#N/A,#N/A,FALSE,"Summary";#N/A,#N/A,FALSE,"DCF";#N/A,#N/A,FALSE,"Valuation";#N/A,#N/A,FALSE,"WACC";#N/A,#N/A,FALSE,"UBVH";#N/A,#N/A,FALSE,"Free Cash Flow"}</definedName>
    <definedName name="sgjsyjk" hidden="1">{#N/A,#N/A,FALSE,"INPUTS";#N/A,#N/A,FALSE,"PROFORMA BSHEET";#N/A,#N/A,FALSE,"COMBINED";#N/A,#N/A,FALSE,"HIGH YIELD";#N/A,#N/A,FALSE,"COMB_GRAPHS"}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s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gsG" hidden="1">{#N/A,#N/A,FALSE,"Performance Flash Report"}</definedName>
    <definedName name="sGSGkj" hidden="1">{"'Planning Data'!$A$2:$X$120"}</definedName>
    <definedName name="sgsx" hidden="1">{"consolidated",#N/A,FALSE,"Sheet1";"cms",#N/A,FALSE,"Sheet1";"fse",#N/A,FALSE,"Sheet1"}</definedName>
    <definedName name="SH" hidden="1">{"'Jan-02'!$F$46:$F$47","'Jan-02'!$F$46:$F$47"}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outltm" hidden="1">#REF!</definedName>
    <definedName name="sharepriceltm" hidden="1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sheet" hidden="1">{"Assumptions1",#N/A,FALSE,"Assumptions";"MergerPlans1","20yearamort",FALSE,"MergerPlans";"MergerPlans1","40yearamort",FALSE,"MergerPlans";"MergerPlans2",#N/A,FALSE,"MergerPlans";"inputs",#N/A,FALSE,"MergerPlans"}</definedName>
    <definedName name="SHEET10" hidden="1">{#N/A,#N/A,FALSE,"단축1";#N/A,#N/A,FALSE,"단축2";#N/A,#N/A,FALSE,"단축3";#N/A,#N/A,FALSE,"장축";#N/A,#N/A,FALSE,"4WD"}</definedName>
    <definedName name="sheet100" hidden="1">{#N/A,#N/A,TRUE,"RIDE";#N/A,#N/A,TRUE,"STEERING";#N/A,#N/A,TRUE,"HANDLING";#N/A,#N/A,TRUE,"BRAKING"}</definedName>
    <definedName name="sheet3" hidden="1">{#N/A,#N/A,FALSE,"Staffnos &amp; cost"}</definedName>
    <definedName name="Sheet5" hidden="1">#REF!</definedName>
    <definedName name="Sheeta" hidden="1">{"FY97Tot nvs",#N/A,FALSE,"FY97 - Total";"FY98Tot nvs",#N/A,FALSE,"FY98 - Total"}</definedName>
    <definedName name="SheetState" hidden="1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eettwo" hidden="1">{"'MVS'!$A$5:$O$716"}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kshkshks" hidden="1">{#N/A,#N/A,FALSE,"ACQ_GRAPHS";#N/A,#N/A,FALSE,"T_1 GRAPHS";#N/A,#N/A,FALSE,"T_2 GRAPHS";#N/A,#N/A,FALSE,"COMB_GRAPHS"}</definedName>
    <definedName name="short" hidden="1">#REF!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rt" hidden="1">{#VALUE!,#N/A,FALSE,0;#N/A,#N/A,FALSE,0;#N/A,#N/A,FALSE,0;#N/A,#N/A,FALSE,0;#N/A,#N/A,FALSE,0}</definedName>
    <definedName name="shsdfhsdfhkjs" hidden="1">{#N/A,#N/A,TRUE,"Staffnos &amp; cost"}</definedName>
    <definedName name="shsdrtjhsdrt" hidden="1">{#N/A,#N/A,FALSE,"Valuation Assumptions";#N/A,#N/A,FALSE,"Summary";#N/A,#N/A,FALSE,"DCF";#N/A,#N/A,FALSE,"Valuation";#N/A,#N/A,FALSE,"WACC";#N/A,#N/A,FALSE,"UBVH";#N/A,#N/A,FALSE,"Free Cash Flow"}</definedName>
    <definedName name="shsthsrthsrth" hidden="1">{"vi1",#N/A,FALSE,"Financial Statements";"vi2",#N/A,FALSE,"Financial Statements";#N/A,#N/A,FALSE,"DCF"}</definedName>
    <definedName name="shtg" hidden="1">#REF!</definedName>
    <definedName name="shukusinnu" hidden="1">{#N/A,#N/A,FALSE,"Profit Status";#N/A,#N/A,FALSE,"Invest";#N/A,#N/A,FALSE,"Revenue";#N/A,#N/A,FALSE,"Variable Cost";#N/A,#N/A,FALSE,"Options &amp; Series"}</definedName>
    <definedName name="SID" hidden="1">"Cpavan"</definedName>
    <definedName name="Siemens" hidden="1">{"'comite'!$A$9:$G$44","'comite'!$A$1:$G$6"}</definedName>
    <definedName name="SIG_ABILA_firstLine" hidden="1">#REF!</definedName>
    <definedName name="SIG_ABILA_IsControlOK" hidden="1">#REF!</definedName>
    <definedName name="SIG_ABILA_lastLine" hidden="1">#REF!</definedName>
    <definedName name="SIG_ABILA_TITLECOL" hidden="1">#REF!</definedName>
    <definedName name="SIG_ABILA_TITLELINE" hidden="1">#REF!</definedName>
    <definedName name="SIG_AC_firstLine" hidden="1">#N/A</definedName>
    <definedName name="SIG_AC_IsControlOK" hidden="1">#N/A</definedName>
    <definedName name="SIG_AC_lastLine" hidden="1">#N/A</definedName>
    <definedName name="SIG_AC_TITLECOL" hidden="1">#N/A</definedName>
    <definedName name="SIG_AC_TITLELINE" hidden="1">#N/A</definedName>
    <definedName name="SIG_ASEGMGES_firstLine" hidden="1">#REF!</definedName>
    <definedName name="SIG_ASEGMGES_IsControlOK" hidden="1">#REF!</definedName>
    <definedName name="SIG_ASEGMGES_lastLine" hidden="1">#REF!</definedName>
    <definedName name="SIG_CONTROLE" hidden="1">#N/A</definedName>
    <definedName name="SIG_DERNIERECOLONNE" hidden="1">#N/A</definedName>
    <definedName name="SIG_EANLV_C1" hidden="1">#REF!</definedName>
    <definedName name="SIG_EANLV_C10" hidden="1">#REF!</definedName>
    <definedName name="SIG_EANLV_C11" hidden="1">#REF!</definedName>
    <definedName name="SIG_EANLV_C12" hidden="1">#REF!</definedName>
    <definedName name="SIG_EANLV_C13" hidden="1">#REF!</definedName>
    <definedName name="SIG_EANLV_C14" hidden="1">#REF!</definedName>
    <definedName name="SIG_EANLV_C15" hidden="1">#REF!</definedName>
    <definedName name="SIG_EANLV_C16" hidden="1">#REF!</definedName>
    <definedName name="SIG_EANLV_C2" hidden="1">#REF!</definedName>
    <definedName name="SIG_EANLV_C3" hidden="1">#REF!</definedName>
    <definedName name="SIG_EANLV_C4" hidden="1">#REF!</definedName>
    <definedName name="SIG_EANLV_C5" hidden="1">#REF!</definedName>
    <definedName name="SIG_EANLV_C6" hidden="1">#REF!</definedName>
    <definedName name="SIG_EANLV_C7" hidden="1">#REF!</definedName>
    <definedName name="SIG_EANLV_C8" hidden="1">#REF!</definedName>
    <definedName name="SIG_EANLV_C9" hidden="1">#REF!</definedName>
    <definedName name="SIG_EANLV_R1" hidden="1">#REF!</definedName>
    <definedName name="SIG_EANLV_R10" hidden="1">#REF!</definedName>
    <definedName name="SIG_EANLV_R11" hidden="1">#REF!</definedName>
    <definedName name="SIG_EANLV_R12" hidden="1">#REF!</definedName>
    <definedName name="SIG_EANLV_R13" hidden="1">#REF!</definedName>
    <definedName name="SIG_EANLV_R14" hidden="1">#REF!</definedName>
    <definedName name="SIG_EANLV_R15" hidden="1">#REF!</definedName>
    <definedName name="SIG_EANLV_R16" hidden="1">#REF!</definedName>
    <definedName name="SIG_EANLV_R17" hidden="1">#REF!</definedName>
    <definedName name="SIG_EANLV_R18" hidden="1">#REF!</definedName>
    <definedName name="SIG_EANLV_R19" hidden="1">#REF!</definedName>
    <definedName name="SIG_EANLV_R2" hidden="1">#REF!</definedName>
    <definedName name="SIG_EANLV_R20" hidden="1">#REF!</definedName>
    <definedName name="SIG_EANLV_R21" hidden="1">#REF!</definedName>
    <definedName name="SIG_EANLV_R22" hidden="1">#REF!</definedName>
    <definedName name="SIG_EANLV_R3" hidden="1">#REF!</definedName>
    <definedName name="SIG_EANLV_R4" hidden="1">#REF!</definedName>
    <definedName name="SIG_EANLV_R5" hidden="1">#REF!</definedName>
    <definedName name="SIG_EANLV_R6" hidden="1">#REF!</definedName>
    <definedName name="SIG_EANLV_R7" hidden="1">#REF!</definedName>
    <definedName name="SIG_EANLV_R8" hidden="1">#REF!</definedName>
    <definedName name="SIG_EANLV_R9" hidden="1">#REF!</definedName>
    <definedName name="SIG_EANLV_TITLECOL" hidden="1">#REF!</definedName>
    <definedName name="SIG_EANLV_TITLELINE" hidden="1">#REF!</definedName>
    <definedName name="SIG_EANLV_X1" hidden="1">#REF!</definedName>
    <definedName name="SIG_EANLV_X10" hidden="1">#REF!</definedName>
    <definedName name="SIG_EANLV_X11" hidden="1">#REF!</definedName>
    <definedName name="SIG_EANLV_X12" hidden="1">#REF!</definedName>
    <definedName name="SIG_EANLV_X13" hidden="1">#REF!</definedName>
    <definedName name="SIG_EANLV_X14" hidden="1">#REF!</definedName>
    <definedName name="SIG_EANLV_X15" hidden="1">#REF!</definedName>
    <definedName name="SIG_EANLV_X16" hidden="1">#REF!</definedName>
    <definedName name="SIG_EANLV_X17" hidden="1">#REF!</definedName>
    <definedName name="SIG_EANLV_X18" hidden="1">#REF!</definedName>
    <definedName name="SIG_EANLV_X19" hidden="1">#REF!</definedName>
    <definedName name="SIG_EANLV_X2" hidden="1">#REF!</definedName>
    <definedName name="SIG_EANLV_X20" hidden="1">#REF!</definedName>
    <definedName name="SIG_EANLV_X21" hidden="1">#REF!</definedName>
    <definedName name="SIG_EANLV_X22" hidden="1">#REF!</definedName>
    <definedName name="SIG_EANLV_X23" hidden="1">#REF!</definedName>
    <definedName name="SIG_EANLV_X24" hidden="1">#REF!</definedName>
    <definedName name="SIG_EANLV_X25" hidden="1">#REF!</definedName>
    <definedName name="SIG_EANLV_X26" hidden="1">#REF!</definedName>
    <definedName name="SIG_EANLV_X27" hidden="1">#REF!</definedName>
    <definedName name="SIG_EANLV_X28" hidden="1">#REF!</definedName>
    <definedName name="SIG_EANLV_X29" hidden="1">#REF!</definedName>
    <definedName name="SIG_EANLV_X3" hidden="1">#REF!</definedName>
    <definedName name="SIG_EANLV_X30" hidden="1">#REF!</definedName>
    <definedName name="SIG_EANLV_X31" hidden="1">#REF!</definedName>
    <definedName name="SIG_EANLV_X32" hidden="1">#REF!</definedName>
    <definedName name="SIG_EANLV_X33" hidden="1">#REF!</definedName>
    <definedName name="SIG_EANLV_X34" hidden="1">#REF!</definedName>
    <definedName name="SIG_EANLV_X35" hidden="1">#REF!</definedName>
    <definedName name="SIG_EANLV_X36" hidden="1">#REF!</definedName>
    <definedName name="SIG_EANLV_X37" hidden="1">#REF!</definedName>
    <definedName name="SIG_EANLV_X38" hidden="1">#REF!</definedName>
    <definedName name="SIG_EANLV_X39" hidden="1">#REF!</definedName>
    <definedName name="SIG_EANLV_X4" hidden="1">#REF!</definedName>
    <definedName name="SIG_EANLV_X40" hidden="1">#REF!</definedName>
    <definedName name="SIG_EANLV_X41" hidden="1">#REF!</definedName>
    <definedName name="SIG_EANLV_X42" hidden="1">#REF!</definedName>
    <definedName name="SIG_EANLV_X43" hidden="1">#REF!</definedName>
    <definedName name="SIG_EANLV_X44" hidden="1">#REF!</definedName>
    <definedName name="SIG_EANLV_X45" hidden="1">#REF!</definedName>
    <definedName name="SIG_EANLV_X46" hidden="1">#REF!</definedName>
    <definedName name="SIG_EANLV_X47" hidden="1">#REF!</definedName>
    <definedName name="SIG_EANLV_X48" hidden="1">#REF!</definedName>
    <definedName name="SIG_EANLV_X49" hidden="1">#REF!</definedName>
    <definedName name="SIG_EANLV_X5" hidden="1">#REF!</definedName>
    <definedName name="SIG_EANLV_X50" hidden="1">#REF!</definedName>
    <definedName name="SIG_EANLV_X51" hidden="1">#REF!</definedName>
    <definedName name="SIG_EANLV_X52" hidden="1">#REF!</definedName>
    <definedName name="SIG_EANLV_X53" hidden="1">#REF!</definedName>
    <definedName name="SIG_EANLV_X54" hidden="1">#REF!</definedName>
    <definedName name="SIG_EANLV_X55" hidden="1">#REF!</definedName>
    <definedName name="SIG_EANLV_X56" hidden="1">#REF!</definedName>
    <definedName name="SIG_EANLV_X57" hidden="1">#REF!</definedName>
    <definedName name="SIG_EANLV_X58" hidden="1">#REF!</definedName>
    <definedName name="SIG_EANLV_X59" hidden="1">#REF!</definedName>
    <definedName name="SIG_EANLV_X6" hidden="1">#REF!</definedName>
    <definedName name="SIG_EANLV_X60" hidden="1">#REF!</definedName>
    <definedName name="SIG_EANLV_X61" hidden="1">#REF!</definedName>
    <definedName name="SIG_EANLV_X62" hidden="1">#REF!</definedName>
    <definedName name="SIG_EANLV_X63" hidden="1">#REF!</definedName>
    <definedName name="SIG_EANLV_X64" hidden="1">#REF!</definedName>
    <definedName name="SIG_EANLV_X7" hidden="1">#REF!</definedName>
    <definedName name="SIG_EANLV_X8" hidden="1">#REF!</definedName>
    <definedName name="SIG_EANLV_X9" hidden="1">#REF!</definedName>
    <definedName name="SIG_EBIL_C5" hidden="1">#REF!</definedName>
    <definedName name="SIG_EBIL_R1" hidden="1">#REF!</definedName>
    <definedName name="SIG_EBIL_R26" hidden="1">#REF!</definedName>
    <definedName name="SIG_EBIL_R32" hidden="1">#REF!</definedName>
    <definedName name="SIG_EBIL_R33" hidden="1">#REF!</definedName>
    <definedName name="SIG_EBIL_R35" hidden="1">#REF!</definedName>
    <definedName name="SIG_EBIL_R38" hidden="1">#REF!</definedName>
    <definedName name="SIG_EBIL_R4" hidden="1">#REF!</definedName>
    <definedName name="SIG_EBIL_R49" hidden="1">#REF!</definedName>
    <definedName name="SIG_EBIL_R5" hidden="1">#REF!</definedName>
    <definedName name="SIG_EBIL_R50" hidden="1">#REF!</definedName>
    <definedName name="SIG_EBIL_R51" hidden="1">#REF!</definedName>
    <definedName name="SIG_EBIL_R54" hidden="1">#REF!</definedName>
    <definedName name="SIG_EBIL_R56" hidden="1">#REF!</definedName>
    <definedName name="SIG_EBIL_R6" hidden="1">#REF!</definedName>
    <definedName name="SIG_EBIL_R78" hidden="1">#REF!</definedName>
    <definedName name="SIG_EBIL_R82" hidden="1">#REF!</definedName>
    <definedName name="SIG_EBIL_X1" hidden="1">#REF!</definedName>
    <definedName name="SIG_EBIL_X10" hidden="1">#REF!</definedName>
    <definedName name="SIG_EBIL_X11" hidden="1">#REF!</definedName>
    <definedName name="SIG_EBIL_X12" hidden="1">#REF!</definedName>
    <definedName name="SIG_EBIL_X13" hidden="1">#REF!</definedName>
    <definedName name="SIG_EBIL_X14" hidden="1">#REF!</definedName>
    <definedName name="SIG_EBIL_X15" hidden="1">#REF!</definedName>
    <definedName name="SIG_EBIL_X16" hidden="1">#REF!</definedName>
    <definedName name="SIG_EBIL_X17" hidden="1">#REF!</definedName>
    <definedName name="SIG_EBIL_X18" hidden="1">#REF!</definedName>
    <definedName name="SIG_EBIL_X19" hidden="1">#REF!</definedName>
    <definedName name="SIG_EBIL_X2" hidden="1">#REF!</definedName>
    <definedName name="SIG_EBIL_X20" hidden="1">#REF!</definedName>
    <definedName name="SIG_EBIL_X21" hidden="1">#REF!</definedName>
    <definedName name="SIG_EBIL_X22" hidden="1">#REF!</definedName>
    <definedName name="SIG_EBIL_X23" hidden="1">#REF!</definedName>
    <definedName name="SIG_EBIL_X24" hidden="1">#REF!</definedName>
    <definedName name="SIG_EBIL_X3" hidden="1">#REF!</definedName>
    <definedName name="SIG_EBIL_X4" hidden="1">#REF!</definedName>
    <definedName name="SIG_EBIL_X46" hidden="1">#REF!</definedName>
    <definedName name="SIG_EBIL_X47" hidden="1">#REF!</definedName>
    <definedName name="SIG_EBIL_X5" hidden="1">#REF!</definedName>
    <definedName name="SIG_EBIL_X50" hidden="1">#REF!</definedName>
    <definedName name="SIG_EBIL_X54" hidden="1">#REF!</definedName>
    <definedName name="SIG_EBIL_X6" hidden="1">#REF!</definedName>
    <definedName name="SIG_EBIL_X7" hidden="1">#REF!</definedName>
    <definedName name="SIG_EBIL_X8" hidden="1">#REF!</definedName>
    <definedName name="SIG_EBIL_X9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EGLVB_C2" hidden="1">#REF!</definedName>
    <definedName name="SIG_EGLVB_C3" hidden="1">#REF!</definedName>
    <definedName name="SIG_EGLVB_C4" hidden="1">#REF!</definedName>
    <definedName name="SIG_EGLVB_C5" hidden="1">#REF!</definedName>
    <definedName name="SIG_EGLVB_C6" hidden="1">#REF!</definedName>
    <definedName name="SIG_EGLVB_C7" hidden="1">#REF!</definedName>
    <definedName name="SIG_EGLVB_R1" hidden="1">#REF!</definedName>
    <definedName name="SIG_EGLVB_R10" hidden="1">#REF!</definedName>
    <definedName name="SIG_EGLVB_R11" hidden="1">#REF!</definedName>
    <definedName name="SIG_EGLVB_R12" hidden="1">#REF!</definedName>
    <definedName name="SIG_EGLVB_R2" hidden="1">#REF!</definedName>
    <definedName name="SIG_EGLVB_R3" hidden="1">#REF!</definedName>
    <definedName name="SIG_EGLVB_R4" hidden="1">#REF!</definedName>
    <definedName name="SIG_EGLVB_R5" hidden="1">#REF!</definedName>
    <definedName name="SIG_EGLVB_R6" hidden="1">#REF!</definedName>
    <definedName name="SIG_EGLVB_R7" hidden="1">#REF!</definedName>
    <definedName name="SIG_EGLVB_R8" hidden="1">#REF!</definedName>
    <definedName name="SIG_EGLVB_R9" hidden="1">#REF!</definedName>
    <definedName name="SIG_EGLVB_TITLECOL" hidden="1">#REF!</definedName>
    <definedName name="SIG_EGLVB_TITLELINE" hidden="1">#REF!</definedName>
    <definedName name="SIG_EGUV_C1" hidden="1">#REF!</definedName>
    <definedName name="SIG_EGUV_C2" hidden="1">#REF!</definedName>
    <definedName name="SIG_EGUV_C3" hidden="1">#REF!</definedName>
    <definedName name="SIG_EGUV_R1" hidden="1">#REF!</definedName>
    <definedName name="SIG_EGUV_R10" hidden="1">#REF!</definedName>
    <definedName name="SIG_EGUV_R11" hidden="1">#REF!</definedName>
    <definedName name="SIG_EGUV_R12" hidden="1">#REF!</definedName>
    <definedName name="SIG_EGUV_R13" hidden="1">#REF!</definedName>
    <definedName name="SIG_EGUV_R14" hidden="1">#REF!</definedName>
    <definedName name="SIG_EGUV_R15" hidden="1">#REF!</definedName>
    <definedName name="SIG_EGUV_R16" hidden="1">#REF!</definedName>
    <definedName name="SIG_EGUV_R17" hidden="1">#REF!</definedName>
    <definedName name="SIG_EGUV_R18" hidden="1">#REF!</definedName>
    <definedName name="SIG_EGUV_R19" hidden="1">#REF!</definedName>
    <definedName name="SIG_EGUV_R2" hidden="1">#REF!</definedName>
    <definedName name="SIG_EGUV_R20" hidden="1">#REF!</definedName>
    <definedName name="SIG_EGUV_R21" hidden="1">#REF!</definedName>
    <definedName name="SIG_EGUV_R22" hidden="1">#REF!</definedName>
    <definedName name="SIG_EGUV_R23" hidden="1">#REF!</definedName>
    <definedName name="SIG_EGUV_R24" hidden="1">#REF!</definedName>
    <definedName name="SIG_EGUV_R25" hidden="1">#REF!</definedName>
    <definedName name="SIG_EGUV_R26" hidden="1">#REF!</definedName>
    <definedName name="SIG_EGUV_R27" hidden="1">#REF!</definedName>
    <definedName name="SIG_EGUV_R28" hidden="1">#REF!</definedName>
    <definedName name="SIG_EGUV_R29" hidden="1">#REF!</definedName>
    <definedName name="SIG_EGUV_R3" hidden="1">#REF!</definedName>
    <definedName name="SIG_EGUV_R30" hidden="1">#REF!</definedName>
    <definedName name="SIG_EGUV_R31" hidden="1">#REF!</definedName>
    <definedName name="SIG_EGUV_R32" hidden="1">#REF!</definedName>
    <definedName name="SIG_EGUV_R33" hidden="1">#REF!</definedName>
    <definedName name="SIG_EGUV_R34" hidden="1">#REF!</definedName>
    <definedName name="SIG_EGUV_R35" hidden="1">#REF!</definedName>
    <definedName name="SIG_EGUV_R36" hidden="1">#REF!</definedName>
    <definedName name="SIG_EGUV_R37" hidden="1">#REF!</definedName>
    <definedName name="SIG_EGUV_R38" hidden="1">#REF!</definedName>
    <definedName name="SIG_EGUV_R39" hidden="1">#REF!</definedName>
    <definedName name="SIG_EGUV_R4" hidden="1">#REF!</definedName>
    <definedName name="SIG_EGUV_R40" hidden="1">#REF!</definedName>
    <definedName name="SIG_EGUV_R41" hidden="1">#REF!</definedName>
    <definedName name="SIG_EGUV_R42" hidden="1">#REF!</definedName>
    <definedName name="SIG_EGUV_R43" hidden="1">#REF!</definedName>
    <definedName name="SIG_EGUV_R44" hidden="1">#REF!</definedName>
    <definedName name="SIG_EGUV_R45" hidden="1">#REF!</definedName>
    <definedName name="SIG_EGUV_R46" hidden="1">#REF!</definedName>
    <definedName name="SIG_EGUV_R47" hidden="1">#REF!</definedName>
    <definedName name="SIG_EGUV_R48" hidden="1">#REF!</definedName>
    <definedName name="SIG_EGUV_R49" hidden="1">#REF!</definedName>
    <definedName name="SIG_EGUV_R5" hidden="1">#REF!</definedName>
    <definedName name="SIG_EGUV_R50" hidden="1">#REF!</definedName>
    <definedName name="SIG_EGUV_R51" hidden="1">#REF!</definedName>
    <definedName name="SIG_EGUV_R52" hidden="1">#REF!</definedName>
    <definedName name="SIG_EGUV_R53" hidden="1">#REF!</definedName>
    <definedName name="SIG_EGUV_R54" hidden="1">#REF!</definedName>
    <definedName name="SIG_EGUV_R55" hidden="1">#REF!</definedName>
    <definedName name="SIG_EGUV_R56" hidden="1">#REF!</definedName>
    <definedName name="SIG_EGUV_R57" hidden="1">#REF!</definedName>
    <definedName name="SIG_EGUV_R58" hidden="1">#REF!</definedName>
    <definedName name="SIG_EGUV_R59" hidden="1">#REF!</definedName>
    <definedName name="SIG_EGUV_R6" hidden="1">#REF!</definedName>
    <definedName name="SIG_EGUV_R60" hidden="1">#REF!</definedName>
    <definedName name="SIG_EGUV_R61" hidden="1">#REF!</definedName>
    <definedName name="SIG_EGUV_R62" hidden="1">#REF!</definedName>
    <definedName name="SIG_EGUV_R63" hidden="1">#REF!</definedName>
    <definedName name="SIG_EGUV_R64" hidden="1">#REF!</definedName>
    <definedName name="SIG_EGUV_R65" hidden="1">#REF!</definedName>
    <definedName name="SIG_EGUV_R66" hidden="1">#REF!</definedName>
    <definedName name="SIG_EGUV_R67" hidden="1">#REF!</definedName>
    <definedName name="SIG_EGUV_R68" hidden="1">#REF!</definedName>
    <definedName name="SIG_EGUV_R69" hidden="1">#REF!</definedName>
    <definedName name="SIG_EGUV_R7" hidden="1">#REF!</definedName>
    <definedName name="SIG_EGUV_R70" hidden="1">#REF!</definedName>
    <definedName name="SIG_EGUV_R71" hidden="1">#REF!</definedName>
    <definedName name="SIG_EGUV_R72" hidden="1">#REF!</definedName>
    <definedName name="SIG_EGUV_R73" hidden="1">#REF!</definedName>
    <definedName name="SIG_EGUV_R74" hidden="1">#REF!</definedName>
    <definedName name="SIG_EGUV_R75" hidden="1">#REF!</definedName>
    <definedName name="SIG_EGUV_R76" hidden="1">#REF!</definedName>
    <definedName name="SIG_EGUV_R8" hidden="1">#REF!</definedName>
    <definedName name="SIG_EGUV_R9" hidden="1">#REF!</definedName>
    <definedName name="SIG_EGUV_TITLECOL" hidden="1">#REF!</definedName>
    <definedName name="SIG_EGUV_TITLELINE" hidden="1">#REF!</definedName>
    <definedName name="SIG_EGUV_X1" hidden="1">#REF!</definedName>
    <definedName name="SIG_EGUV_X10" hidden="1">#REF!</definedName>
    <definedName name="SIG_EGUV_X11" hidden="1">#REF!</definedName>
    <definedName name="SIG_EGUV_X12" hidden="1">#REF!</definedName>
    <definedName name="SIG_EGUV_X13" hidden="1">#REF!</definedName>
    <definedName name="SIG_EGUV_X14" hidden="1">#REF!</definedName>
    <definedName name="SIG_EGUV_X15" hidden="1">#REF!</definedName>
    <definedName name="SIG_EGUV_X16" hidden="1">#REF!</definedName>
    <definedName name="SIG_EGUV_X17" hidden="1">#REF!</definedName>
    <definedName name="SIG_EGUV_X18" hidden="1">#REF!</definedName>
    <definedName name="SIG_EGUV_X19" hidden="1">#REF!</definedName>
    <definedName name="SIG_EGUV_X2" hidden="1">#REF!</definedName>
    <definedName name="SIG_EGUV_X20" hidden="1">#REF!</definedName>
    <definedName name="SIG_EGUV_X21" hidden="1">#REF!</definedName>
    <definedName name="SIG_EGUV_X22" hidden="1">#REF!</definedName>
    <definedName name="SIG_EGUV_X23" hidden="1">#REF!</definedName>
    <definedName name="SIG_EGUV_X24" hidden="1">#REF!</definedName>
    <definedName name="SIG_EGUV_X25" hidden="1">#REF!</definedName>
    <definedName name="SIG_EGUV_X26" hidden="1">#REF!</definedName>
    <definedName name="SIG_EGUV_X27" hidden="1">#REF!</definedName>
    <definedName name="SIG_EGUV_X28" hidden="1">#REF!</definedName>
    <definedName name="SIG_EGUV_X29" hidden="1">#REF!</definedName>
    <definedName name="SIG_EGUV_X3" hidden="1">#REF!</definedName>
    <definedName name="SIG_EGUV_X30" hidden="1">#REF!</definedName>
    <definedName name="SIG_EGUV_X31" hidden="1">#REF!</definedName>
    <definedName name="SIG_EGUV_X32" hidden="1">#REF!</definedName>
    <definedName name="SIG_EGUV_X33" hidden="1">#REF!</definedName>
    <definedName name="SIG_EGUV_X34" hidden="1">#REF!</definedName>
    <definedName name="SIG_EGUV_X35" hidden="1">#REF!</definedName>
    <definedName name="SIG_EGUV_X36" hidden="1">#REF!</definedName>
    <definedName name="SIG_EGUV_X37" hidden="1">#REF!</definedName>
    <definedName name="SIG_EGUV_X38" hidden="1">#REF!</definedName>
    <definedName name="SIG_EGUV_X39" hidden="1">#REF!</definedName>
    <definedName name="SIG_EGUV_X4" hidden="1">#REF!</definedName>
    <definedName name="SIG_EGUV_X40" hidden="1">#REF!</definedName>
    <definedName name="SIG_EGUV_X41" hidden="1">#REF!</definedName>
    <definedName name="SIG_EGUV_X42" hidden="1">#REF!</definedName>
    <definedName name="SIG_EGUV_X43" hidden="1">#REF!</definedName>
    <definedName name="SIG_EGUV_X44" hidden="1">#REF!</definedName>
    <definedName name="SIG_EGUV_X45" hidden="1">#REF!</definedName>
    <definedName name="SIG_EGUV_X46" hidden="1">#REF!</definedName>
    <definedName name="SIG_EGUV_X47" hidden="1">#REF!</definedName>
    <definedName name="SIG_EGUV_X48" hidden="1">#REF!</definedName>
    <definedName name="SIG_EGUV_X49" hidden="1">#REF!</definedName>
    <definedName name="SIG_EGUV_X5" hidden="1">#REF!</definedName>
    <definedName name="SIG_EGUV_X50" hidden="1">#REF!</definedName>
    <definedName name="SIG_EGUV_X51" hidden="1">#REF!</definedName>
    <definedName name="SIG_EGUV_X52" hidden="1">#REF!</definedName>
    <definedName name="SIG_EGUV_X53" hidden="1">#REF!</definedName>
    <definedName name="SIG_EGUV_X54" hidden="1">#REF!</definedName>
    <definedName name="SIG_EGUV_X6" hidden="1">#REF!</definedName>
    <definedName name="SIG_EGUV_X7" hidden="1">#REF!</definedName>
    <definedName name="SIG_EGUV_X8" hidden="1">#REF!</definedName>
    <definedName name="SIG_EGUV_X9" hidden="1">#REF!</definedName>
    <definedName name="SIG_EICASP_C1" hidden="1">#REF!</definedName>
    <definedName name="SIG_EICASP_C10" hidden="1">#REF!</definedName>
    <definedName name="SIG_EICASP_C11" hidden="1">#REF!</definedName>
    <definedName name="SIG_EICASP_C12" hidden="1">#REF!</definedName>
    <definedName name="SIG_EICASP_C13" hidden="1">#REF!</definedName>
    <definedName name="SIG_EICASP_C14" hidden="1">#REF!</definedName>
    <definedName name="SIG_EICASP_C2" hidden="1">#REF!</definedName>
    <definedName name="SIG_EICASP_C3" hidden="1">#REF!</definedName>
    <definedName name="SIG_EICASP_C4" hidden="1">#REF!</definedName>
    <definedName name="SIG_EICASP_C5" hidden="1">#REF!</definedName>
    <definedName name="SIG_EICASP_C6" hidden="1">#REF!</definedName>
    <definedName name="SIG_EICASP_C7" hidden="1">#REF!</definedName>
    <definedName name="SIG_EICASP_C8" hidden="1">#REF!</definedName>
    <definedName name="SIG_EICASP_C9" hidden="1">#REF!</definedName>
    <definedName name="SIG_EICASP_ROWVENT" hidden="1">#REF!</definedName>
    <definedName name="SIG_EICASP_TITLELINE" hidden="1">#REF!</definedName>
    <definedName name="SIG_EICBIL_C1" hidden="1">#REF!</definedName>
    <definedName name="SIG_EICBIL_C2" hidden="1">#REF!</definedName>
    <definedName name="SIG_EICBIL_C3" hidden="1">#REF!</definedName>
    <definedName name="SIG_EICBIL_C4" hidden="1">#REF!</definedName>
    <definedName name="SIG_EICBIL_C5" hidden="1">#REF!</definedName>
    <definedName name="SIG_EICBIL_C6" hidden="1">#REF!</definedName>
    <definedName name="SIG_EICBIL_C7" hidden="1">#REF!</definedName>
    <definedName name="SIG_EICBIL_ROWVENT" hidden="1">#REF!</definedName>
    <definedName name="SIG_EICBIL_TITLELINE" hidden="1">#REF!</definedName>
    <definedName name="SIG_EICGVAUF_C1" hidden="1">#REF!</definedName>
    <definedName name="SIG_EICGVAUF_C10" hidden="1">#REF!</definedName>
    <definedName name="SIG_EICGVAUF_C11" hidden="1">#REF!</definedName>
    <definedName name="SIG_EICGVAUF_C12" hidden="1">#REF!</definedName>
    <definedName name="SIG_EICGVAUF_C13" hidden="1">#REF!</definedName>
    <definedName name="SIG_EICGVAUF_C14" hidden="1">#REF!</definedName>
    <definedName name="SIG_EICGVAUF_C15" hidden="1">#REF!</definedName>
    <definedName name="SIG_EICGVAUF_C16" hidden="1">#REF!</definedName>
    <definedName name="SIG_EICGVAUF_C17" hidden="1">#REF!</definedName>
    <definedName name="SIG_EICGVAUF_C18" hidden="1">#REF!</definedName>
    <definedName name="SIG_EICGVAUF_C19" hidden="1">#REF!</definedName>
    <definedName name="SIG_EICGVAUF_C2" hidden="1">#REF!</definedName>
    <definedName name="SIG_EICGVAUF_C20" hidden="1">#REF!</definedName>
    <definedName name="SIG_EICGVAUF_C21" hidden="1">#REF!</definedName>
    <definedName name="SIG_EICGVAUF_C3" hidden="1">#REF!</definedName>
    <definedName name="SIG_EICGVAUF_C4" hidden="1">#REF!</definedName>
    <definedName name="SIG_EICGVAUF_C5" hidden="1">#REF!</definedName>
    <definedName name="SIG_EICGVAUF_C6" hidden="1">#REF!</definedName>
    <definedName name="SIG_EICGVAUF_C7" hidden="1">#REF!</definedName>
    <definedName name="SIG_EICGVAUF_C8" hidden="1">#REF!</definedName>
    <definedName name="SIG_EICGVAUF_C9" hidden="1">#REF!</definedName>
    <definedName name="SIG_EICGVAUF_ROWVENT" hidden="1">#REF!</definedName>
    <definedName name="SIG_EICGVAUF_TITLELINE" hidden="1">#REF!</definedName>
    <definedName name="SIG_EICGVBET_C1" hidden="1">#REF!</definedName>
    <definedName name="SIG_EICGVBET_C2" hidden="1">#REF!</definedName>
    <definedName name="SIG_EICGVBET_C3" hidden="1">#REF!</definedName>
    <definedName name="SIG_EICGVBET_C4" hidden="1">#REF!</definedName>
    <definedName name="SIG_EICGVBET_C5" hidden="1">#REF!</definedName>
    <definedName name="SIG_EICGVBET_C6" hidden="1">#REF!</definedName>
    <definedName name="SIG_EICGVBET_C7" hidden="1">#REF!</definedName>
    <definedName name="SIG_EICGVBET_C8" hidden="1">#REF!</definedName>
    <definedName name="SIG_EICGVBET_ROWVENT" hidden="1">#REF!</definedName>
    <definedName name="SIG_EICGVBET_TITLELINE" hidden="1">#REF!</definedName>
    <definedName name="SIG_EICGVERT_C1" hidden="1">#REF!</definedName>
    <definedName name="SIG_EICGVERT_C2" hidden="1">#REF!</definedName>
    <definedName name="SIG_EICGVERT_C3" hidden="1">#REF!</definedName>
    <definedName name="SIG_EICGVERT_C4" hidden="1">#REF!</definedName>
    <definedName name="SIG_EICGVERT_C5" hidden="1">#REF!</definedName>
    <definedName name="SIG_EICGVERT_C6" hidden="1">#REF!</definedName>
    <definedName name="SIG_EICGVERT_C7" hidden="1">#REF!</definedName>
    <definedName name="SIG_EICGVERT_C8" hidden="1">#REF!</definedName>
    <definedName name="SIG_EICGVERT_C9" hidden="1">#REF!</definedName>
    <definedName name="SIG_EICGVERT_ROWVENT" hidden="1">#REF!</definedName>
    <definedName name="SIG_EICGVERT_TITLELINE" hidden="1">#REF!</definedName>
    <definedName name="SIG_EICGVZIN_C1" hidden="1">#REF!</definedName>
    <definedName name="SIG_EICGVZIN_C2" hidden="1">#REF!</definedName>
    <definedName name="SIG_EICGVZIN_C3" hidden="1">#REF!</definedName>
    <definedName name="SIG_EICGVZIN_C4" hidden="1">#REF!</definedName>
    <definedName name="SIG_EICGVZIN_C5" hidden="1">#REF!</definedName>
    <definedName name="SIG_EICGVZIN_C6" hidden="1">#REF!</definedName>
    <definedName name="SIG_EICGVZIN_C7" hidden="1">#REF!</definedName>
    <definedName name="SIG_EICGVZIN_C8" hidden="1">#REF!</definedName>
    <definedName name="SIG_EICGVZIN_ROWVENT" hidden="1">#REF!</definedName>
    <definedName name="SIG_EICGVZIN_TITLELINE" hidden="1">#REF!</definedName>
    <definedName name="SIG_LngApp" hidden="1">#REF!</definedName>
    <definedName name="SIG_PA_firstLine" hidden="1">#N/A</definedName>
    <definedName name="SIG_PA_IsControlOK" hidden="1">#N/A</definedName>
    <definedName name="SIG_PA_lastLine" hidden="1">#N/A</definedName>
    <definedName name="SIG_PA_TITLECOL" hidden="1">#N/A</definedName>
    <definedName name="SIG_PA_TITLELINE" hidden="1">#N/A</definedName>
    <definedName name="SIG_PTBD_AC" hidden="1">#N/A</definedName>
    <definedName name="SIG_PTBD_EFFECTV" hidden="1">#REF!</definedName>
    <definedName name="SIG_PTBD_PA" hidden="1">#N/A</definedName>
    <definedName name="SIG_PTHG_AC" hidden="1">#N/A</definedName>
    <definedName name="SIG_PTHG_EFFECTV" hidden="1">#REF!</definedName>
    <definedName name="SIG_PTHG_PA" hidden="1">#N/A</definedName>
    <definedName name="SIIII" hidden="1">{"FY97Q1 var",#N/A,FALSE,"FY97 - Q1";"FY97Q2 var",#N/A,FALSE,"FY97 - Q2";"FY97Q3 var",#N/A,FALSE,"FY97 - Q3";"FY97Q4 var",#N/A,FALSE,"FY97 - Q4"}</definedName>
    <definedName name="sim" hidden="1">{"'Data'!$A$1:$D$17"}</definedName>
    <definedName name="Site" hidden="1">{#N/A,#N/A,FALSE,"단축1";#N/A,#N/A,FALSE,"단축2";#N/A,#N/A,FALSE,"단축3";#N/A,#N/A,FALSE,"장축";#N/A,#N/A,FALSE,"4WD"}</definedName>
    <definedName name="SJ" hidden="1">TEXT(SJE,"TT.MM.JJJJ")</definedName>
    <definedName name="sjdjsrtjas" hidden="1">{#N/A,#N/A,FALSE,"INPUTS";#N/A,#N/A,FALSE,"PROFORMA BSHEET";#N/A,#N/A,FALSE,"COMBINED";#N/A,#N/A,FALSE,"ACQUIROR";#N/A,#N/A,FALSE,"TARGET 1";#N/A,#N/A,FALSE,"TARGET 2";#N/A,#N/A,FALSE,"HIGH YIELD";#N/A,#N/A,FALSE,"OVERFUND"}</definedName>
    <definedName name="SJE" hidden="1">40451</definedName>
    <definedName name="SJK" hidden="1">TEXT(SJE,"T.M.JJJJ")</definedName>
    <definedName name="sjksgj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jsjr" hidden="1">{#N/A,#N/A,FALSE,"INPUTS";#N/A,#N/A,FALSE,"PROFORMA BSHEET";#N/A,#N/A,FALSE,"COMBINED";#N/A,#N/A,FALSE,"HIGH YIELD";#N/A,#N/A,FALSE,"COMB_GRAPHS"}</definedName>
    <definedName name="sjsjsrtjs" hidden="1">{#N/A,#N/A,FALSE,"INPUTS";#N/A,#N/A,FALSE,"PROFORMA BSHEET";#N/A,#N/A,FALSE,"COMBINED";#N/A,#N/A,FALSE,"HIGH YIELD";#N/A,#N/A,FALSE,"COMB_GRAPHS"}</definedName>
    <definedName name="sjsrthsrtnds" hidden="1">{#N/A,#N/A,FALSE,"INPUTS";#N/A,#N/A,FALSE,"PROFORMA BSHEET";#N/A,#N/A,FALSE,"COMBINED";#N/A,#N/A,FALSE,"ACQUIROR";#N/A,#N/A,FALSE,"TARGET 1";#N/A,#N/A,FALSE,"TARGET 2";#N/A,#N/A,FALSE,"HIGH YIELD";#N/A,#N/A,FALSE,"OVERFUND"}</definedName>
    <definedName name="sk" hidden="1">"1, 3, 1, False, 2, False, False, , 0, False, True, 3, 2"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stysjs" hidden="1">{#N/A,#N/A,FALSE,"INPUTS";#N/A,#N/A,FALSE,"PROFORMA BSHEET";#N/A,#N/A,FALSE,"COMBINED";#N/A,#N/A,FALSE,"ACQUIROR";#N/A,#N/A,FALSE,"TARGET 1";#N/A,#N/A,FALSE,"TARGET 2";#N/A,#N/A,FALSE,"HIGH YIELD";#N/A,#N/A,FALSE,"OVERFUND"}</definedName>
    <definedName name="skyline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" hidden="1">{#N/A,#N/A,FALSE,"mfg - consol";#N/A,#N/A,FALSE,"mfg - flo";#N/A,#N/A,FALSE,"mfg - lindsay"}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mart_Chart_Data_Table_6010fe52dc6949eda305510d7a73b160" hidden="1">#REF!</definedName>
    <definedName name="Smart_Chart_Data_Table_61324844fa284ecd9cab6aafc138a125" hidden="1">#REF!</definedName>
    <definedName name="smk" hidden="1">{"QTD_GENERALH2",#N/A,FALSE,"QTD"}</definedName>
    <definedName name="smnamn" hidden="1">{#N/A,#N/A,FALSE,"ACQ_GRAPHS";#N/A,#N/A,FALSE,"T_1 GRAPHS";#N/A,#N/A,FALSE,"T_2 GRAPHS";#N/A,#N/A,FALSE,"COMB_GRAPHS"}</definedName>
    <definedName name="snsfgsgha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BetrErloese" hidden="1">#REF!</definedName>
    <definedName name="SoBetrErloese_" hidden="1">#REF!</definedName>
    <definedName name="SoBetrErloeseK" hidden="1">#REF!</definedName>
    <definedName name="SoBetrErloeseM" hidden="1">#REF!</definedName>
    <definedName name="SoBetrErloeseN" hidden="1">#REF!</definedName>
    <definedName name="södalfkjösdaklfj" hidden="1">{#N/A,#N/A,FALSE,"Index";#N/A,#N/A,FALSE,"1.1";#N/A,#N/A,FALSE,"Scenario Summary"}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eIsFemale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ng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 hidden="1">3</definedName>
    <definedName name="solver_rel11" hidden="1">3</definedName>
    <definedName name="solver_rel12" hidden="1">3</definedName>
    <definedName name="solver_rel13" hidden="1">3</definedName>
    <definedName name="solver_rel14" hidden="1">3</definedName>
    <definedName name="solver_rel15" hidden="1">1</definedName>
    <definedName name="solver_rel16" hidden="1">3</definedName>
    <definedName name="solver_rel17" hidden="1">3</definedName>
    <definedName name="solver_rel18" hidden="1">3</definedName>
    <definedName name="solver_rel19" hidden="1">1</definedName>
    <definedName name="solver_rel2" hidden="1">1</definedName>
    <definedName name="solver_rel20" hidden="1">3</definedName>
    <definedName name="solver_rel21" hidden="1">3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3</definedName>
    <definedName name="solver_rel36" hidden="1">3</definedName>
    <definedName name="solver_rel37" hidden="1">3</definedName>
    <definedName name="solver_rel38" hidden="1">3</definedName>
    <definedName name="solver_rel39" hidden="1">3</definedName>
    <definedName name="solver_rel4" hidden="1">4</definedName>
    <definedName name="solver_rel40" hidden="1">3</definedName>
    <definedName name="solver_rel41" hidden="1">2</definedName>
    <definedName name="solver_rel42" hidden="1">2</definedName>
    <definedName name="solver_rel43" hidden="1">2</definedName>
    <definedName name="solver_rel44" hidden="1">2</definedName>
    <definedName name="solver_rel45" hidden="1">2</definedName>
    <definedName name="solver_rel5" hidden="1">4</definedName>
    <definedName name="solver_rel6" hidden="1">4</definedName>
    <definedName name="solver_rel7" hidden="1">3</definedName>
    <definedName name="solver_rel8" hidden="1">3</definedName>
    <definedName name="solver_rel9" hidden="1">1</definedName>
    <definedName name="solver_rhs1" hidden="1">0.15</definedName>
    <definedName name="solver_rhs10" hidden="1">0.15</definedName>
    <definedName name="solver_rhs11" hidden="1">0.15</definedName>
    <definedName name="solver_rhs12" hidden="1">0.15</definedName>
    <definedName name="solver_rhs13" hidden="1">0.15</definedName>
    <definedName name="solver_rhs14" hidden="1">0.15</definedName>
    <definedName name="solver_rhs15" hidden="1">0.25</definedName>
    <definedName name="solver_rhs16" hidden="1">0.15</definedName>
    <definedName name="solver_rhs17" hidden="1">0.15</definedName>
    <definedName name="solver_rhs18" hidden="1">0.15</definedName>
    <definedName name="solver_rhs19" hidden="1">0.25</definedName>
    <definedName name="solver_rhs2" hidden="1">15</definedName>
    <definedName name="solver_rhs20" hidden="1">0.15</definedName>
    <definedName name="solver_rhs21" hidden="1">0.15</definedName>
    <definedName name="solver_rhs22" hidden="1">0.15</definedName>
    <definedName name="solver_rhs23" hidden="1">0.25</definedName>
    <definedName name="solver_rhs24" hidden="1">0.15</definedName>
    <definedName name="solver_rhs25" hidden="1">950</definedName>
    <definedName name="solver_rhs26" hidden="1">-950</definedName>
    <definedName name="solver_rhs27" hidden="1">950</definedName>
    <definedName name="solver_rhs28" hidden="1">-950</definedName>
    <definedName name="solver_rhs29" hidden="1">950</definedName>
    <definedName name="solver_rhs3" hidden="1">15</definedName>
    <definedName name="solver_rhs30" hidden="1">-950</definedName>
    <definedName name="solver_rhs31" hidden="1">950</definedName>
    <definedName name="solver_rhs32" hidden="1">-950</definedName>
    <definedName name="solver_rhs33" hidden="1">950</definedName>
    <definedName name="solver_rhs34" hidden="1">0</definedName>
    <definedName name="solver_rhs35" hidden="1">0</definedName>
    <definedName name="solver_rhs36" hidden="1">0</definedName>
    <definedName name="solver_rhs37" hidden="1">0</definedName>
    <definedName name="solver_rhs38" hidden="1">0</definedName>
    <definedName name="solver_rhs39" hidden="1">0</definedName>
    <definedName name="solver_rhs40" hidden="1">0</definedName>
    <definedName name="solver_rhs41" hidden="1">TRUE</definedName>
    <definedName name="solver_rhs42" hidden="1">TRUE</definedName>
    <definedName name="solver_rhs43" hidden="1">TRUE</definedName>
    <definedName name="solver_rhs44" hidden="1">TRUE</definedName>
    <definedName name="solver_rhs45" hidden="1">TRUE</definedName>
    <definedName name="solver_rhs5" hidden="1">0.1</definedName>
    <definedName name="solver_rhs7" hidden="1">0.15</definedName>
    <definedName name="solver_rhs8" hidden="1">0.2</definedName>
    <definedName name="solver_rhs9" hidden="1">0.25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0.6</definedName>
    <definedName name="Sommer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onstAuszahlungen" hidden="1">#REF!</definedName>
    <definedName name="SonstAuszahlungen_" hidden="1">#REF!</definedName>
    <definedName name="SonstAuszahlungenN" hidden="1">#REF!</definedName>
    <definedName name="SonstEinzahlungen" hidden="1">#REF!</definedName>
    <definedName name="SonstEinzahlungen_" hidden="1">#REF!</definedName>
    <definedName name="SonstEinzahlungenN" hidden="1">#REF!</definedName>
    <definedName name="SonstKo" hidden="1">{"budget95",#N/A,TRUE,"Tabelle1";"Tab1",#N/A,TRUE,"Tabelle2"}</definedName>
    <definedName name="SonstNeutrAufw" hidden="1">#REF!</definedName>
    <definedName name="SonstNeutrAufw_" hidden="1">#REF!</definedName>
    <definedName name="SonstNeutrAufwK" hidden="1">#REF!</definedName>
    <definedName name="SonstNeutrAufwM" hidden="1">#REF!</definedName>
    <definedName name="SonstNeutrAufwN" hidden="1">#REF!</definedName>
    <definedName name="SonstNeutrErtr" hidden="1">#REF!</definedName>
    <definedName name="SonstNeutrErtr_" hidden="1">#REF!</definedName>
    <definedName name="SonstNeutrErtrK" hidden="1">#REF!</definedName>
    <definedName name="SonstNeutrErtrM" hidden="1">#REF!</definedName>
    <definedName name="SonstNeutrErtrN" hidden="1">#REF!</definedName>
    <definedName name="sort1" hidden="1">#REF!</definedName>
    <definedName name="SortV2" hidden="1">#REF!</definedName>
    <definedName name="s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P_EXCEL_LINK_b3e8cbbaa3e4490e9b5212f139b8b19b" hidden="1">#REF!</definedName>
    <definedName name="SPE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ialPrice" hidden="1">#REF!</definedName>
    <definedName name="Spenden" hidden="1">#REF!</definedName>
    <definedName name="Spenden_" hidden="1">#REF!</definedName>
    <definedName name="SpendenN" hidden="1">#REF!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PLIT" hidden="1">{#N/A,#N/A,FALSE,"단축1";#N/A,#N/A,FALSE,"단축2";#N/A,#N/A,FALSE,"단축3";#N/A,#N/A,FALSE,"장축";#N/A,#N/A,FALSE,"4WD"}</definedName>
    <definedName name="sppers" hidden="1">{"budget95",#N/A,TRUE,"Tabelle1";"Tab1",#N/A,TRUE,"Tabelle2"}</definedName>
    <definedName name="SpreadsheetBuilder_2" hidden="1">#REF!</definedName>
    <definedName name="SPWD" hidden="1">"pepsico"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eserhst" hidden="1">{#N/A,#N/A,FALSE,"INPUTS";#N/A,#N/A,FALSE,"PROFORMA BSHEET";#N/A,#N/A,FALSE,"COMBINED";#N/A,#N/A,FALSE,"HIGH YIELD";#N/A,#N/A,FALSE,"COMB_GRAPHS"}</definedName>
    <definedName name="SREUYSRHY" hidden="1">{"'Demand Units'!$X$11:$AD$45"}</definedName>
    <definedName name="srfs" hidden="1">{"FY97Q1",#N/A,FALSE,"FY97 - Q1";"FY97Q2",#N/A,FALSE,"FY97 - Q2";"FY97Q3",#N/A,FALSE,"FY97 - Q3";"FY97Q4",#N/A,FALSE,"FY97 - Q4"}</definedName>
    <definedName name="srgjsgjsjs" hidden="1">{#N/A,#N/A,FALSE,"ACQ_GRAPHS";#N/A,#N/A,FALSE,"T_1 GRAPHS";#N/A,#N/A,FALSE,"T_2 GRAPHS";#N/A,#N/A,FALSE,"COMB_GRAPHS"}</definedName>
    <definedName name="srgjsrg" hidden="1">{"vi1",#N/A,FALSE,"Financial Statements";"vi2",#N/A,FALSE,"Financial Statements";#N/A,#N/A,FALSE,"DCF"}</definedName>
    <definedName name="srhser" hidden="1">{#N/A,#N/A,FALSE,"ACQ_GRAPHS";#N/A,#N/A,FALSE,"T_1 GRAPHS";#N/A,#N/A,FALSE,"T_2 GRAPHS";#N/A,#N/A,FALSE,"COMB_GRAPHS"}</definedName>
    <definedName name="srhsjsrtjs" hidden="1">{#N/A,#N/A,FALSE,"ACQ_GRAPHS";#N/A,#N/A,FALSE,"T_1 GRAPHS";#N/A,#N/A,FALSE,"T_2 GRAPHS";#N/A,#N/A,FALSE,"COMB_GRAPHS"}</definedName>
    <definedName name="SRHYTWH" hidden="1">{"'Demand Units'!$X$11:$AD$45"}</definedName>
    <definedName name="srjgjsrjg" hidden="1">{"vi1",#N/A,FALSE,"Financial Statements";"vi2",#N/A,FALSE,"Financial Statements";#N/A,#N/A,FALSE,"DCF"}</definedName>
    <definedName name="srnsgjsj" hidden="1">{"vi1",#N/A,FALSE,"Financial Statements";"vi2",#N/A,FALSE,"Financial Statements";#N/A,#N/A,FALSE,"DCF"}</definedName>
    <definedName name="SRTHRWHY" hidden="1">{"'Demand Units'!$X$11:$AD$45"}</definedName>
    <definedName name="srtjsrtjsrt" hidden="1">{#N/A,#N/A,FALSE,"INPUTS";#N/A,#N/A,FALSE,"PROFORMA BSHEET";#N/A,#N/A,FALSE,"COMBINED";#N/A,#N/A,FALSE,"ACQUIROR";#N/A,#N/A,FALSE,"TARGET 1";#N/A,#N/A,FALSE,"TARGET 2";#N/A,#N/A,FALSE,"HIGH YIELD";#N/A,#N/A,FALSE,"OVERFUND"}</definedName>
    <definedName name="srtjsrtjsrtjs" hidden="1">{#N/A,#N/A,FALSE,"ACQ_GRAPHS";#N/A,#N/A,FALSE,"T_1 GRAPHS";#N/A,#N/A,FALSE,"T_2 GRAPHS";#N/A,#N/A,FALSE,"COMB_GRAPHS"}</definedName>
    <definedName name="SRTUWHSBWR" hidden="1">{"'Demand Units'!$X$11:$AD$45"}</definedName>
    <definedName name="SRTUYRHT" hidden="1">{"'Demand Units'!$X$11:$AD$45"}</definedName>
    <definedName name="srtzstrz" hidden="1">{#N/A,#N/A,FALSE,"Finanzbedarsrechnung"}</definedName>
    <definedName name="ssadfas" hidden="1">{"cap_structure",#N/A,FALSE,"Graph-Mkt Cap";"price",#N/A,FALSE,"Graph-Price";"ebit",#N/A,FALSE,"Graph-EBITDA";"ebitda",#N/A,FALSE,"Graph-EBITDA"}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sa" hidden="1">{#N/A,#N/A,FALSE,"Performance Flash Report"}</definedName>
    <definedName name="SSD" hidden="1">{#N/A,#N/A,FALSE,"REPORT"}</definedName>
    <definedName name="ssdsd" hidden="1">{"'Demand Units'!$Z$2:$AF$53"}</definedName>
    <definedName name="sse" hidden="1">{"YD GENERALH2",#N/A,FALSE,"YTD"}</definedName>
    <definedName name="sss" hidden="1">{#N/A,#N/A,FALSE,"Fluktuation TSI"}</definedName>
    <definedName name="sss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s" hidden="1">{#N/A,#N/A,FALSE,"mfg - consol";#N/A,#N/A,FALSE,"mfg - flo";#N/A,#N/A,FALSE,"mfg - lindsay"}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 hidden="1">Main.SAPF4Help()</definedName>
    <definedName name="sssssss" hidden="1">{"fleisch",#N/A,FALSE,"WG HK";"food",#N/A,FALSE,"WG HK";"hartwaren",#N/A,FALSE,"WG HK";"weichwaren",#N/A,FALSE,"WG HK"}</definedName>
    <definedName name="ssssssss" hidden="1">{#N/A,#N/A,FALSE,"IPO";#N/A,#N/A,FALSE,"DCF";#N/A,#N/A,FALSE,"LBO";#N/A,#N/A,FALSE,"MULT_VAL";#N/A,#N/A,FALSE,"Status Quo";#N/A,#N/A,FALSE,"Recap"}</definedName>
    <definedName name="sssssssssssss" hidden="1">{"general",#N/A,FALSE,"Assumptions"}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w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ge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taril" hidden="1">{#N/A,#N/A,FALSE,"REPORT"}</definedName>
    <definedName name="StartSearchForDataRange" hidden="1">INDIRECT("s1")</definedName>
    <definedName name="STATE" hidden="1">"STATE"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he" hidden="1">{"Tages_D",#N/A,FALSE,"Tagesbericht";"Tages_PL",#N/A,FALSE,"Tagesbericht"}</definedName>
    <definedName name="Steuererstattungen" hidden="1">#REF!</definedName>
    <definedName name="Steuererstattungen_" hidden="1">#REF!</definedName>
    <definedName name="SteuererstattungenN" hidden="1">#REF!</definedName>
    <definedName name="Steuerl_AuflIAB" hidden="1">#REF!</definedName>
    <definedName name="Steuerl_AuflIAB_" hidden="1">#REF!</definedName>
    <definedName name="Steuerl_BildIAB" hidden="1">#REF!</definedName>
    <definedName name="Steuerl_BildIAB_" hidden="1">#REF!</definedName>
    <definedName name="Steuerl_Gewerbest" hidden="1">#REF!</definedName>
    <definedName name="Steuerl_Gewerbest_" hidden="1">#REF!</definedName>
    <definedName name="Steuerl_Gewinnkorr" hidden="1">#REF!</definedName>
    <definedName name="Steuerl_Gewinnkorr_" hidden="1">#REF!</definedName>
    <definedName name="Steuerl_MUV" hidden="1">#REF!</definedName>
    <definedName name="Steuerl_MUV_" hidden="1">#REF!</definedName>
    <definedName name="Steuern" hidden="1">#REF!</definedName>
    <definedName name="Steuern_" hidden="1">#REF!</definedName>
    <definedName name="SteuernEinkUndErtr" hidden="1">#REF!</definedName>
    <definedName name="SteuernEinkUndErtr_" hidden="1">#REF!</definedName>
    <definedName name="SteuernEinkUndErtrK" hidden="1">#REF!</definedName>
    <definedName name="SteuernEinkUndErtrM" hidden="1">#REF!</definedName>
    <definedName name="SteuernEinkUndErtrN" hidden="1">#REF!</definedName>
    <definedName name="SteuernN" hidden="1">#REF!</definedName>
    <definedName name="sthkshkshk" hidden="1">{#N/A,#N/A,FALSE,"INPUTS";#N/A,#N/A,FALSE,"PROFORMA BSHEET";#N/A,#N/A,FALSE,"COMBINED";#N/A,#N/A,FALSE,"ACQUIROR";#N/A,#N/A,FALSE,"TARGET 1";#N/A,#N/A,FALSE,"TARGET 2";#N/A,#N/A,FALSE,"HIGH YIELD";#N/A,#N/A,FALSE,"OVERFUND"}</definedName>
    <definedName name="stksthkstyk" hidden="1">{#N/A,#N/A,FALSE,"Valuation Assumptions";#N/A,#N/A,FALSE,"Summary";#N/A,#N/A,FALSE,"DCF";#N/A,#N/A,FALSE,"Valuation";#N/A,#N/A,FALSE,"WACC";#N/A,#N/A,FALSE,"UBVH";#N/A,#N/A,FALSE,"Free Cash Flow"}</definedName>
    <definedName name="STOCK_BASED" hidden="1">"STOCK_BASED"</definedName>
    <definedName name="strategi1" hidden="1">{#N/A,#N/A,FALSE,"PrintS"}</definedName>
    <definedName name="Strategy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ratPlanAP" hidden="1">{#N/A,#N/A,FALSE,"Pharm";#N/A,#N/A,FALSE,"WWCM"}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ub_Header1" hidden="1">#REF!</definedName>
    <definedName name="Stub_Header2" hidden="1">#REF!</definedName>
    <definedName name="Stub_Header3" hidden="1">#REF!</definedName>
    <definedName name="stuff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ubj_EBITDA" hidden="1">#REF!</definedName>
    <definedName name="SubsGrowth" hidden="1">#REF!</definedName>
    <definedName name="SUMMARY_BOOK" hidden="1">{"page1",#N/A,FALSE,"GIRLBO";"page2",#N/A,FALSE,"GIRLBO";"page3",#N/A,FALSE,"GIRLBO";"page4",#N/A,FALSE,"GIRLBO";"page5",#N/A,FALSE,"GIRLBO"}</definedName>
    <definedName name="summtarget" hidden="1">{"'Future Reviews'!$A$1:$D$58"}</definedName>
    <definedName name="Sumtarget" hidden="1">{"'Future Reviews'!$A$1:$D$58"}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san" hidden="1">{#N/A,#N/A,FALSE,"Revised cover";#N/A,#N/A,FALSE,"Trends";"main view",#N/A,FALSE,"As Reported";#N/A,#N/A,FALSE,"delegations";#N/A,#N/A,FALSE,"(un) Commited"}</definedName>
    <definedName name="SV_AUTO_CONN_CATALOG" hidden="1">"Attix5 Africa Limited"</definedName>
    <definedName name="SV_AUTO_CONN_SERVER" hidden="1">"196.36.89.170"</definedName>
    <definedName name="SV_ENCPT_AUTO_CONN_PASSWORD" hidden="1">"083096084083070090115102121083115110"</definedName>
    <definedName name="SV_ENCPT_AUTO_CONN_USER" hidden="1">"095094088070084121098"</definedName>
    <definedName name="SV_ENCPT_EVOCOMMON_PASSWORD" hidden="1">"083096084083070090115102121083115110"</definedName>
    <definedName name="SV_ENCPT_EVOCOMMON_USER" hidden="1">"095094088070084121098"</definedName>
    <definedName name="SV_ENCPT_LOGON_PWD" hidden="1">"078104085088070"</definedName>
    <definedName name="SV_ENCPT_LOGON_USER" hidden="1">"095094088070084"</definedName>
    <definedName name="SV_EVOCOMMON_CATALOG" hidden="1">"EvolutionCommon"</definedName>
    <definedName name="SV_EVOCOMMON_SERVER" hidden="1">"196.36.89.170"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D" hidden="1">{"GuVGmbH",#N/A,FALSE,"ratios";"BilanzGmbH",#N/A,FALSE,"ratios";"BilanzKG",#N/A,FALSE,"ratios";"GuVKG",#N/A,FALSE,"ratios"}</definedName>
    <definedName name="svddvsdv" hidden="1">{#N/A,#N/A,TRUE,"coll"}</definedName>
    <definedName name="svfs" hidden="1">{"comps2",#N/A,FALSE,"AERO";"footnotes",#N/A,FALSE,"AERO"}</definedName>
    <definedName name="svid" hidden="1">#REF!</definedName>
    <definedName name="SVK" hidden="1">TEXT(sve,"T.M.JJJJ")</definedName>
    <definedName name="SVor2" hidden="1">TEXT(DATE(YEAR(sve)-1,MONTH(sve),DAY(sve)),"TT.MM.JJJJ")</definedName>
    <definedName name="SVor3" hidden="1">TEXT(DATE(YEAR(sve)-2,MONTH(sve),DAY(sve)),"TT.MM.JJJJ")</definedName>
    <definedName name="SVor4" hidden="1">TEXT(DATE(YEAR(sve)-3,MONTH(sve),DAY(sve)),"TT.MM.JJJJ")</definedName>
    <definedName name="sw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areawg" hidden="1">{"vi1",#N/A,FALSE,"Financial Statements";"vi2",#N/A,FALSE,"Financial Statements";#N/A,#N/A,FALSE,"DCF"}</definedName>
    <definedName name="swfwert" hidden="1">{#N/A,#N/A,FALSE,"Mittelherkunft";#N/A,#N/A,FALSE,"Mittelverwendung"}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srehsrtusrt" hidden="1">{"vi1",#N/A,FALSE,"Financial Statements";"vi2",#N/A,FALSE,"Financial Statements";#N/A,#N/A,FALSE,"DCF"}</definedName>
    <definedName name="Swvu.BS." hidden="1">#REF!</definedName>
    <definedName name="Swvu.summary1." hidden="1">#REF!</definedName>
    <definedName name="Swvu.summary2." hidden="1">#REF!</definedName>
    <definedName name="Swvu.summary3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D" hidden="1">{"'Demand Units'!$X$11:$AD$45"}</definedName>
    <definedName name="sxdfg" hidden="1">{0,#N/A,TRUE,0;0,#N/A,TRUE,0;0,#N/A,TRUE,0;0,#N/A,TRUE,0;0,#N/A,TRUE,0;0,#N/A,TRUE,0}</definedName>
    <definedName name="SYSTEM_VER" hidden="1">"Windows (32-bit) NT 4.00"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db" hidden="1">#REF!</definedName>
    <definedName name="szx" hidden="1">{"LAPO2N2",#N/A,FALSE,"CM"}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2000대책서" hidden="1">{#N/A,#N/A,FALSE,"단축1";#N/A,#N/A,FALSE,"단축2";#N/A,#N/A,FALSE,"단축3";#N/A,#N/A,FALSE,"장축";#N/A,#N/A,FALSE,"4WD"}</definedName>
    <definedName name="ta" hidden="1">{"BA detail",#N/A,FALSE,"Q3YTD "}</definedName>
    <definedName name="table2" hidden="1">#REF!</definedName>
    <definedName name="Table2Out" hidden="1">#REF!</definedName>
    <definedName name="Table3" hidden="1">#REF!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6ab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s3" hidden="1">{"'NWC03'!$C$81"}</definedName>
    <definedName name="targets4" hidden="1">{"'NWC03'!$C$81"}</definedName>
    <definedName name="taxol" hidden="1">{#N/A,#N/A,FALSE,"Pharm";#N/A,#N/A,FALSE,"WWCM"}</definedName>
    <definedName name="Taxpb" hidden="1">#REF!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{#N/A,#N/A,FALSE,"WOB_1.XLS";#N/A,#N/A,FALSE,"WOB_2.XLS";#N/A,#N/A,FALSE,"WOB_3.XLS";#N/A,#N/A,FALSE,"WOB_4.XLS";#N/A,#N/A,FALSE,"WOB_5.XLS"}</definedName>
    <definedName name="TCB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TCBLOCKBOX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TCG" hidden="1">{#N/A,#N/A,FALSE,"PROJPACK"}</definedName>
    <definedName name="tci" hidden="1">{#N/A,#N/A,FALSE,"단축1";#N/A,#N/A,FALSE,"단축2";#N/A,#N/A,FALSE,"단축3";#N/A,#N/A,FALSE,"장축";#N/A,#N/A,FALSE,"4WD"}</definedName>
    <definedName name="TCR_DATUM" hidden="1">37378</definedName>
    <definedName name="TCR_PosRes" hidden="1">12</definedName>
    <definedName name="TCR_TG" hidden="1">"0104TGNr.0102"</definedName>
    <definedName name="TCR_TGSize" hidden="1">"0110TGSiz0006005704"</definedName>
    <definedName name="TCR_TGW" hidden="1">"0104TGW  0030"</definedName>
    <definedName name="TCR_VER" hidden="1">8</definedName>
    <definedName name="td" hidden="1">{"'Data'!$A$1:$D$17"}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m" hidden="1">{#N/A,#N/A,FALSE,"Pharm";#N/A,#N/A,FALSE,"WWCM"}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name" hidden="1">{"ALLOCATION1",#N/A,FALSE,"EXPENSE ALLOCATIONS";"ALLOCATION2",#N/A,FALSE,"EXPENSE ALLOCATIONS";"ALLOCATION3",#N/A,FALSE,"EXPENSE ALLOCATIONS";"ALLOCATION4",#N/A,FALSE,"EXPENSE ALLOCATIONS"}</definedName>
    <definedName name="temp2" hidden="1">{#N/A,#N/A,FALSE,"Admin"}</definedName>
    <definedName name="TemplateVersion" hidden="1">#REF!</definedName>
    <definedName name="tempxxx" hidden="1">0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adyne" hidden="1">{#N/A,#N/A,FALSE,"Consol P&amp;L ";#N/A,#N/A,FALSE,"CP P&amp;L";#N/A,#N/A,FALSE,"ADS P&amp;L";#N/A,#N/A,FALSE,"Corp P&amp;L"}</definedName>
    <definedName name="teradyne2" hidden="1">{#N/A,#N/A,FALSE,"Consol P&amp;L ";#N/A,#N/A,FALSE,"CP P&amp;L";#N/A,#N/A,FALSE,"ADS P&amp;L";#N/A,#N/A,FALSE,"Corp P&amp;L"}</definedName>
    <definedName name="teradyne7" hidden="1">{#N/A,#N/A,FALSE,"Consol P&amp;L ";#N/A,#N/A,FALSE,"CP P&amp;L";#N/A,#N/A,FALSE,"ADS P&amp;L";#N/A,#N/A,FALSE,"Corp P&amp;L"}</definedName>
    <definedName name="terc" hidden="1">{"YD GENERALH2",#N/A,FALSE,"YTD"}</definedName>
    <definedName name="tertw" hidden="1">{#N/A,#N/A,FALSE,"Aging Summary";#N/A,#N/A,FALSE,"Ratio Analysis";#N/A,#N/A,FALSE,"Test 120 Day Accts";#N/A,#N/A,FALSE,"Tickmarks"}</definedName>
    <definedName name="test" hidden="1">{#N/A,#N/A,FALSE,"1996PL";#N/A,#N/A,FALSE,"1997PL";#N/A,#N/A,FALSE,"1998PL";#N/A,#N/A,FALSE,"1999PL"}</definedName>
    <definedName name="test10" hidden="1">{#N/A,#N/A,FALSE,"Profit Status";#N/A,#N/A,FALSE,"Invest";#N/A,#N/A,FALSE,"Revenue";#N/A,#N/A,FALSE,"Variable Cost";#N/A,#N/A,FALSE,"Options &amp; Series"}</definedName>
    <definedName name="test2" hidden="1">{"'SIVA Pricing Model'!$A$1:$F$39"}</definedName>
    <definedName name="test22" hidden="1">{"'SIVA Pricing Model'!$A$1:$F$39"}</definedName>
    <definedName name="test222" hidden="1">{"'SIVA Pricing Model'!$A$1:$F$39"}</definedName>
    <definedName name="test3" hidden="1">{"'SIVA Pricing Model'!$A$1:$F$39"}</definedName>
    <definedName name="test324" hidden="1">{"Oct_Plan_Income_Month",#N/A,FALSE,"OctInc";"Oct_Month_Lastyear_Inc",#N/A,FALSE,"OctInc"}</definedName>
    <definedName name="test3434" hidden="1">{"Oct_Plan_Income_Month",#N/A,FALSE,"OctInc";"Oct_Month_Lastyear_Inc",#N/A,FALSE,"OctInc"}</definedName>
    <definedName name="test4" hidden="1">{"CHART",#N/A,FALSE,"Arch Communications"}</definedName>
    <definedName name="test4w" hidden="1">{"'SIVA Pricing Model'!$A$1:$F$39"}</definedName>
    <definedName name="Test5" hidden="1">{"'SIVA Pricing Model'!$A$1:$F$39"}</definedName>
    <definedName name="test9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teste" hidden="1">{#N/A,#N/A,FALSE,"Pharm";#N/A,#N/A,FALSE,"WWCM"}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i" hidden="1">{#N/A,#N/A,FALSE,"Sheet2"}</definedName>
    <definedName name="testi1" hidden="1">{#N/A,#N/A,FALSE,"Sheet2"}</definedName>
    <definedName name="testing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2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3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4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s" hidden="1">{"'SIVA Pricing Model'!$A$1:$F$39"}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t234" hidden="1">{"Oct_Plan_Income_Month",#N/A,FALSE,"OctInc";"Oct_Month_Lastyear_Inc",#N/A,FALSE,"OctInc"}</definedName>
    <definedName name="testsw" hidden="1">{"'SIVA Pricing Model'!$A$1:$F$39"}</definedName>
    <definedName name="testterrwe" hidden="1">{"ConInc",#N/A,FALSE,"FinStmt";"ConBal",#N/A,FALSE,"FinStmt";"ConCash",#N/A,FALSE,"FinStmt"}</definedName>
    <definedName name="testv2" hidden="1">{#N/A,#N/A,FALSE,"F_Plan";#N/A,#N/A,FALSE,"Parameter"}</definedName>
    <definedName name="testv3" hidden="1">{#N/A,#N/A,FALSE,"Umsatz";#N/A,#N/A,FALSE,"Base V.02";#N/A,#N/A,FALSE,"Charts"}</definedName>
    <definedName name="testv4" hidden="1">{#N/A,#N/A,FALSE,"F_Plan";#N/A,#N/A,FALSE,"Parameter"}</definedName>
    <definedName name="testv5" hidden="1">{#N/A,#N/A,FALSE,"Umsatz";#N/A,#N/A,FALSE,"Base V.02";#N/A,#N/A,FALSE,"Charts"}</definedName>
    <definedName name="testw" hidden="1">{"'SIVA Pricing Model'!$A$1:$F$39"}</definedName>
    <definedName name="testww" hidden="1">{"'SIVA Pricing Model'!$A$1:$F$39"}</definedName>
    <definedName name="testwww" hidden="1">{"'SIVA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ts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tew" hidden="1">{"FY97Total",#N/A,FALSE,"FY97 - Total";"FY98Total",#N/A,FALSE,"FY98 - Total"}</definedName>
    <definedName name="TextRefCopyRangeCount" hidden="1">2</definedName>
    <definedName name="tfdhdg" hidden="1">43106.5304861111</definedName>
    <definedName name="tfill" hidden="1">#REF!</definedName>
    <definedName name="t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ME2" hidden="1">{#N/A,#N/A,FALSE,"96 3월물량표";#N/A,#N/A,FALSE,"96 4월물량표";#N/A,#N/A,FALSE,"96 5월물량표"}</definedName>
    <definedName name="thgbj" hidden="1">{"adj95mult",#N/A,FALSE,"COMPCO";"adj95est",#N/A,FALSE,"COMPCO"}</definedName>
    <definedName name="Threeyr_Data" hidden="1">#REF!</definedName>
    <definedName name="thth" hidden="1">{#N/A,#N/A,FALSE,"Calc";#N/A,#N/A,FALSE,"Sensitivity";#N/A,#N/A,FALSE,"LT Earn.Dil.";#N/A,#N/A,FALSE,"Dil. AVP"}</definedName>
    <definedName name="tickname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iui" hidden="1">{"GuVGmbH",#N/A,FALSE,"ratios";"BilanzGmbH",#N/A,FALSE,"ratios";"BilanzKG",#N/A,FALSE,"ratios";"GuVKG",#N/A,FALSE,"ratios"}</definedName>
    <definedName name="tjtr" hidden="1">{#N/A,#N/A,FALSE,"Layout Aktiva";#N/A,#N/A,FALSE,"Layout Passiva"}</definedName>
    <definedName name="TJUTU" hidden="1">{"'Demand Units'!$X$11:$AD$45"}</definedName>
    <definedName name="TLA.087" hidden="1">0</definedName>
    <definedName name="tl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d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my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mmy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OL" hidden="1">{"EXPORT",#N/A,FALSE,"A8CONTENT"}</definedName>
    <definedName name="ToolDeveloper" hidden="1">"Martin Brett"</definedName>
    <definedName name="ToolID" hidden="1">303</definedName>
    <definedName name="Tools" hidden="1">{"EXPORT",#N/A,FALSE,"A8CONTENT"}</definedName>
    <definedName name="ToolUpdateDate" hidden="1">"'09/04/2012"</definedName>
    <definedName name="top" hidden="1">{"Page1",#N/A,FALSE,"CompCo";"Page2",#N/A,FALSE,"CompCo"}</definedName>
    <definedName name="Top15_total" hidden="1">{"'Demand Units'!$Z$2:$AF$53"}</definedName>
    <definedName name="TORSION" hidden="1">{#N/A,#N/A,FALSE,"단축1";#N/A,#N/A,FALSE,"단축2";#N/A,#N/A,FALSE,"단축3";#N/A,#N/A,FALSE,"장축";#N/A,#N/A,FALSE,"4WD"}</definedName>
    <definedName name="TOTAL" hidden="1">{"Informes",#N/A,FALSE,"CA";"Informes",#N/A,FALSE,"CN";"Informes",#N/A,FALSE,"INVERSIONES";"Informes",#N/A,FALSE,"CN Oficial";"Informes",#N/A,FALSE,"CA Oficial";"Informes",#N/A,FALSE,"Res Datos Areas"}</definedName>
    <definedName name="TOTAL_ASSETS" hidden="1">"TOTAL_ASSETS"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cap" hidden="1">#REF!,#REF!,#REF!,#REF!</definedName>
    <definedName name="tot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usi" hidden="1">{"RES-2002",#N/A,FALSE,"BL2000";"A1-2002",#N/A,FALSE,"BL2000";"A2-2002",#N/A,FALSE,"BL2000"}</definedName>
    <definedName name="TP_Footer_Path" hidden="1">"S:\53676\05Ret\Valuations\ERISA and FAS results\"</definedName>
    <definedName name="TP_Footer_User" hidden="1">"CRAWFD"</definedName>
    <definedName name="TP_Footer_Version" hidden="1">"v4.00"</definedName>
    <definedName name="t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dcomp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s" hidden="1">{#N/A,#N/A,FALSE,"Summary Page";#N/A,#N/A,FALSE,"Backup Factory Order Request";#N/A,#N/A,FALSE,"Mix Updated to Include V227";#N/A,#N/A,FALSE,"2000 Bus Plan Status"}</definedName>
    <definedName name="Transactions" hidden="1">{"comp1",#N/A,FALSE,"COMPS";"footnotes",#N/A,FALSE,"COMPS"}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ASURY_STOCK" hidden="1">"TREASURY_STOCK"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HFT" hidden="1">{"'Demand Units'!$X$11:$AD$45"}</definedName>
    <definedName name="trhtrj" hidden="1">{#N/A,#N/A,FALSE,"단축1";#N/A,#N/A,FALSE,"단축2";#N/A,#N/A,FALSE,"단축3";#N/A,#N/A,FALSE,"장축";#N/A,#N/A,FALSE,"4WD"}</definedName>
    <definedName name="trim1" hidden="1">#N/A</definedName>
    <definedName name="trjhtrj" hidden="1">{#N/A,#N/A,FALSE,"단축1";#N/A,#N/A,FALSE,"단축2";#N/A,#N/A,FALSE,"단축3";#N/A,#N/A,FALSE,"장축";#N/A,#N/A,FALSE,"4WD"}</definedName>
    <definedName name="trjnm" hidden="1">Word</definedName>
    <definedName name="trjtrjh" hidden="1">{#N/A,#N/A,FALSE,"단축1";#N/A,#N/A,FALSE,"단축2";#N/A,#N/A,FALSE,"단축3";#N/A,#N/A,FALSE,"장축";#N/A,#N/A,FALSE,"4WD"}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r" hidden="1">{"Burden (burden)",#N/A,FALSE,"burden"}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w" hidden="1">{#N/A,#N/A,TRUE,"Historicals";#N/A,#N/A,TRUE,"Charts";#N/A,#N/A,TRUE,"Forecasts"}</definedName>
    <definedName name="trwegdfs" hidden="1">{#N/A,#N/A,TRUE,"Historicals";#N/A,#N/A,TRUE,"Charts";#N/A,#N/A,TRUE,"Forecasts"}</definedName>
    <definedName name="trwetre" hidden="1">{#N/A,#N/A,TRUE,"Historicals";#N/A,#N/A,TRUE,"Charts";#N/A,#N/A,TRUE,"Forecasts"}</definedName>
    <definedName name="tryeuyit" hidden="1">{#N/A,#N/A,FALSE,"Pharm";#N/A,#N/A,FALSE,"WWCM"}</definedName>
    <definedName name="trygf" hidden="1">{"adj95mult",#N/A,FALSE,"COMPCO";"adj95est",#N/A,FALSE,"COMPCO"}</definedName>
    <definedName name="trz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ttttt" hidden="1">{"'Set-Out'!$A$1:$H$30"}</definedName>
    <definedName name="TTTTTTTTTTTT" hidden="1">{"London cttee condensed",#N/A,FALSE,"Dev Panel Cut Report";"South East cttee condensed",#N/A,FALSE,"Dev Panel Cut Report"}</definedName>
    <definedName name="tttttttttttttt" hidden="1">{#N/A,#N/A,FALSE,"HEADER SHEET";#N/A,#N/A,FALSE,"A402";#N/A,#N/A,FALSE,"S150"}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rd" hidden="1">{"detail",#N/A,FALSE,"mfg";"summary",#N/A,FALSE,"mfg"}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zi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eyer" hidden="1">{#N/A,#N/A,TRUE,"Historicals";#N/A,#N/A,TRUE,"Charts";#N/A,#N/A,TRUE,"Forecasts"}</definedName>
    <definedName name="tyftyjky" hidden="1">{0,#N/A,FALSE,0}</definedName>
    <definedName name="tyh" hidden="1">{"CHART",#N/A,FALSE,"Arch Communications"}</definedName>
    <definedName name="TYIKGFDH" hidden="1">{"'Demand Units'!$X$11:$AD$45"}</definedName>
    <definedName name="tyjfdg" hidden="1">{#N/A,#N/A,TRUE,"Historicals";#N/A,#N/A,TRUE,"Charts";#N/A,#N/A,TRUE,"Forecasts"}</definedName>
    <definedName name="tyjtyutu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RUI" hidden="1">{#N/A,#N/A,FALSE,"단축1";#N/A,#N/A,FALSE,"단축2";#N/A,#N/A,FALSE,"단축3";#N/A,#N/A,FALSE,"장축";#N/A,#N/A,FALSE,"4WD"}</definedName>
    <definedName name="tyrw" hidden="1">{"FY97Total var",#N/A,FALSE,"FY97 - Total";"FY98Total var",#N/A,FALSE,"FY98 - Total"}</definedName>
    <definedName name="tyu" hidden="1">{"consolidated",#N/A,FALSE,"Sheet1";"cms",#N/A,FALSE,"Sheet1";"fse",#N/A,FALSE,"Sheet1"}</definedName>
    <definedName name="tyufg" hidden="1">{"AQUIRORDCF",#N/A,FALSE,"Merger consequences";"Acquirorassns",#N/A,FALSE,"Merger consequences"}</definedName>
    <definedName name="tyui" hidden="1">{"ICD Details",#N/A,FALSE,"Current Yr";"ICD Details",#N/A,FALSE,"Budget";"ICD Details",#N/A,FALSE,"Prior Year"}</definedName>
    <definedName name="TYUJHTE" hidden="1">{"'Demand Units'!$X$11:$AD$45"}</definedName>
    <definedName name="tyutytyi" hidden="1">{#N/A,#N/A,FALSE,"Pharm";#N/A,#N/A,FALSE,"WWCM"}</definedName>
    <definedName name="TYUYTJ" hidden="1">{"'Demand Units'!$X$11:$AD$45"}</definedName>
    <definedName name="tyyufkjkhjd" hidden="1">{#N/A,#N/A,FALSE,"Pharm";#N/A,#N/A,FALSE,"WWCM"}</definedName>
    <definedName name="TYYYYY" hidden="1">{#N/A,#N/A,FALSE,"단축1";#N/A,#N/A,FALSE,"단축2";#N/A,#N/A,FALSE,"단축3";#N/A,#N/A,FALSE,"장축";#N/A,#N/A,FALSE,"4WD"}</definedName>
    <definedName name="tz56zuzu" hidden="1">1/EUReXToBEF</definedName>
    <definedName name="tzeuetzuetzutz" hidden="1">{#N/A,#N/A,FALSE,"Mittelherkunft";#N/A,#N/A,FALSE,"Mittelverwendung"}</definedName>
    <definedName name="tzhutrzu" hidden="1">{#N/A,#N/A,FALSE,"Layout Cash Flow"}</definedName>
    <definedName name="tzit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tzizuizu" hidden="1">{#N/A,#N/A,FALSE,"Layout GuV"}</definedName>
    <definedName name="tzjuj" hidden="1">{#N/A,#N/A,FALSE,"Layout GuV"}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tz" hidden="1">#REF!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zutzu" hidden="1">{#N/A,#N/A,FALSE,"Finanzbedarsrechnung"}</definedName>
    <definedName name="tzutzutzut" hidden="1">{#N/A,#N/A,FALSE,"Layout Aktiva";#N/A,#N/A,FALSE,"Layout Passiva"}</definedName>
    <definedName name="tzuuet" hidden="1">{#N/A,#N/A,FALSE,"Mittelherkunft";#N/A,#N/A,FALSE,"Mittelverwendung"}</definedName>
    <definedName name="u" hidden="1">{"'Sheet1'!$A$1:$H$96"}</definedName>
    <definedName name="ü" hidden="1">{#N/A,#N/A,FALSE,"Aging Summary";#N/A,#N/A,FALSE,"Ratio Analysis";#N/A,#N/A,FALSE,"Test 120 Day Accts";#N/A,#N/A,FALSE,"Tickmarks"}</definedName>
    <definedName name="übers" hidden="1">{"budget95",#N/A,TRUE,"Tabelle1";"Tab1",#N/A,TRUE,"Tabelle2"}</definedName>
    <definedName name="uc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UE_Seg" hidden="1">{"mgmt forecast",#N/A,FALSE,"Mgmt Forecast";"dcf table",#N/A,FALSE,"Mgmt Forecast";"sensitivity",#N/A,FALSE,"Mgmt Forecast";"table inputs",#N/A,FALSE,"Mgmt Forecast";"calculations",#N/A,FALSE,"Mgmt Forecast"}</definedName>
    <definedName name="UEASDAS" hidden="1">{#N/A,#N/A,FALSE,"Performance Flash Report"}</definedName>
    <definedName name="UEBLAH2" hidden="1">{#N/A,#N/A,FALSE,"Performance Flash Report"}</definedName>
    <definedName name="UEEfbar" hidden="1">{#N/A,#N/A,FALSE,"Performance Flash Report"}</definedName>
    <definedName name="UEPlaceholder" hidden="1">{#N/A,#N/A,FALSE,"Performance Flash Report"}</definedName>
    <definedName name="UEtest2" hidden="1">{#N/A,#N/A,FALSE,"Performance Flash Report"}</definedName>
    <definedName name="UETest3" hidden="1">{#N/A,#N/A,FALSE,"Performance Flash Report"}</definedName>
    <definedName name="UEwef" hidden="1">{#N/A,#N/A,FALSE,"Performance Flash Report"}</definedName>
    <definedName name="UEwrncs" hidden="1">{#N/A,#N/A,FALSE,"Performance Flash Report"}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hds" hidden="1">{"'Sheet1'!$A$1:$H$96"}</definedName>
    <definedName name="uhiuk" hidden="1">{"adj95mult",#N/A,FALSE,"COMPCO";"adj95est",#N/A,FALSE,"COMPCO"}</definedName>
    <definedName name="uhu7gh" hidden="1">{#N/A,#N/A,FALSE,"Index";#N/A,#N/A,FALSE,"1.1";#N/A,#N/A,FALSE,"Scenario Summary"}</definedName>
    <definedName name="ui" hidden="1">{"Total",#N/A,FALSE,"Total Proved";"PDP",#N/A,FALSE,"Total Proved";"PNP",#N/A,FALSE,"Total Proved";"PUD",#N/A,FALSE,"Total Proved"}</definedName>
    <definedName name="uiim" hidden="1">{"Pg1",#N/A,FALSE,"OpExYTDvsBud";"Pg2",#N/A,FALSE,"OpExYTDvsBud"}</definedName>
    <definedName name="uiiuiui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ilui" hidden="1">{#N/A,#N/A,FALSE,"Mittelherkunft";#N/A,#N/A,FALSE,"Mittelverwendung"}</definedName>
    <definedName name="uiluiluo" hidden="1">{#N/A,#N/A,FALSE,"Mittelherkunft";#N/A,#N/A,FALSE,"Mittelverwendung"}</definedName>
    <definedName name="uio" hidden="1">{"MATERIAL",#N/A,FALSE,"material"}</definedName>
    <definedName name="uiogiuoyguiu" hidden="1">{#N/A,#N/A,FALSE,"Table of Contents"}</definedName>
    <definedName name="uiopöio" hidden="1">{#N/A,#N/A,FALSE,"Layout Aktiva";#N/A,#N/A,FALSE,"Layout Passiva"}</definedName>
    <definedName name="uit" hidden="1">{"'Other IPS'!$A$5","'Other IPS'!$A$4:$K$38"}</definedName>
    <definedName name="uiu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uyiutit" hidden="1">{#N/A,#N/A,TRUE,"Historicals";#N/A,#N/A,TRUE,"Charts";#N/A,#N/A,TRUE,"Forecasts"}</definedName>
    <definedName name="ujfsw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jn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ju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kyuyut" hidden="1">{"'Other IPS'!$A$5","'Other IPS'!$A$4:$K$38"}</definedName>
    <definedName name="Ultra" hidden="1">{"DOM",#N/A,FALSE,"A8CONTENT"}</definedName>
    <definedName name="Umbuchungsliste_cum" hidden="1">{"K Bilanz o. Kommentar",#N/A,FALSE,"Kaufhof"}</definedName>
    <definedName name="ummsatz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ums2001a" hidden="1">{"budget95",#N/A,TRUE,"Tabelle1";"Tab1",#N/A,TRUE,"Tabelle2"}</definedName>
    <definedName name="Umsatzbrücke" hidden="1">{"mgmt forecast",#N/A,FALSE,"Mgmt Forecast";"dcf table",#N/A,FALSE,"Mgmt Forecast";"sensitivity",#N/A,FALSE,"Mgmt Forecast";"table inputs",#N/A,FALSE,"Mgmt Forecast";"calculations",#N/A,FALSE,"Mgmt Forecast"}</definedName>
    <definedName name="umy" hidden="1">{"comps",#N/A,FALSE,"comps";"notes",#N/A,FALSE,"comps"}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o" hidden="1">{"weichwaren",#N/A,FALSE,"Liste 1";"hartwaren",#N/A,FALSE,"Liste 1";"food",#N/A,FALSE,"Liste 1";"fleisch",#N/A,FALSE,"Liste 1"}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n" hidden="1">{#N/A,#N/A,FALSE,"invpln"}</definedName>
    <definedName name="uoo" hidden="1">{"TAG1AGMS",#N/A,FALSE,"TAG 1A"}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p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UOUIOIU" hidden="1">{"'Demand Units'!$X$11:$AD$45"}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Dollar" hidden="1">#REF!</definedName>
    <definedName name="USR_Calc_Excel" hidden="1">"#-4135#"</definedName>
    <definedName name="USR_Grp_Excel" hidden="1">"KC21"</definedName>
    <definedName name="USR_Name_Excel" hidden="1">"GÄRTNER"</definedName>
    <definedName name="USR_Pwd_Excel" hidden="1">"nB164186180207200164"</definedName>
    <definedName name="ut" hidden="1">{#N/A,"PURCHM",FALSE,"Business Analysis";#N/A,"SPADD",FALSE,"Business Analysis"}</definedName>
    <definedName name="utzuutzutu" hidden="1">{#N/A,#N/A,FALSE,"Mittelherkunft";#N/A,#N/A,FALSE,"Mittelverwendung"}</definedName>
    <definedName name="uu" hidden="1">{"away stand alones",#N/A,FALSE,"Target"}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ik" hidden="1">#REF!</definedName>
    <definedName name="uuu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{#N/A,#N/A,FALSE,"MAY";#N/A,#N/A,FALSE,"Q2";#N/A,#N/A,FALSE,"YTD"}</definedName>
    <definedName name="uuuuu1" hidden="1">{#N/A,#N/A,FALSE,"MAY";#N/A,#N/A,FALSE,"Q2";#N/A,#N/A,FALSE,"YTD"}</definedName>
    <definedName name="uuuuuuuuuu" hidden="1">40803.6263310185</definedName>
    <definedName name="UUUUUUUUUUUUUUUUUU" hidden="1">{"Summary",#N/A,FALSE,"Summary";"A&amp;A's",#N/A,FALSE,"Aids &amp; A's";"MajorWorks",#N/A,FALSE,"Major Works";"EstateImps",#N/A,FALSE,"Estate Imps";"CatC",#N/A,FALSE,"Cat C Voids";"CycProg",#N/A,FALSE,"Cyclical Prog inc MR"}</definedName>
    <definedName name="UUUUUUUUUUUUUUUUUUUUUUUUU" hidden="1">{#N/A,#N/A,FALSE,"HEADER SHEET";#N/A,#N/A,FALSE,"A402";#N/A,#N/A,FALSE,"S150"}</definedName>
    <definedName name="ÜV1" hidden="1">#REF!*#REF!</definedName>
    <definedName name="ÜV2" hidden="1">#REF!*#REF!</definedName>
    <definedName name="ÜV3" hidden="1">#REF!*#REF!</definedName>
    <definedName name="ÜV4" hidden="1">#REF!*#REF!</definedName>
    <definedName name="uy" hidden="1">{"'Demand Units'!$Z$2:$AF$53"}</definedName>
    <definedName name="uyrjn" hidden="1">{#N/A,#N/A,TRUE,"Historicals";#N/A,#N/A,TRUE,"Charts";#N/A,#N/A,TRUE,"Forecasts"}</definedName>
    <definedName name="uyt" hidden="1">Main.SAPF4Help()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uy" hidden="1">{"page1",#N/A,FALSE,"Casual RLE";"page2",#N/A,FALSE,"Casual RLE"}</definedName>
    <definedName name="uyyuyuuu" hidden="1">{"CSheet",#N/A,FALSE,"C";"SmCap",#N/A,FALSE,"VAL1";"GulfCoast",#N/A,FALSE,"VAL1";"nav",#N/A,FALSE,"NAV";"Summary",#N/A,FALSE,"NAV"}</definedName>
    <definedName name="uz" hidden="1">{"fleisch",#N/A,FALSE,"WG HK";"food",#N/A,FALSE,"WG HK";"hartwaren",#N/A,FALSE,"WG HK";"weichwaren",#N/A,FALSE,"WG HK"}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z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v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SUm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ue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VANHIndex" hidden="1">"O"</definedName>
    <definedName name="vbhj" hidden="1">{#N/A,"PURCHM",FALSE,"Business Analysis";#N/A,"SPADD",FALSE,"Business Analysis"}</definedName>
    <definedName name="vbmghj" hidden="1">{#N/A,#N/A,TRUE,"Assumptions";#N/A,#N/A,TRUE,"Op Projection";#N/A,#N/A,TRUE,"Capital";#N/A,#N/A,TRUE,"Income";#N/A,#N/A,TRUE,"Balance";#N/A,#N/A,TRUE,"Sources&amp;Uses"}</definedName>
    <definedName name="vbncx" hidden="1">{#N/A,#N/A,FALSE,"Layout GuV"}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n" hidden="1">"c116"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vf" hidden="1">{#N/A,#N/A,TRUE,"Historicals";#N/A,#N/A,TRUE,"Charts";#N/A,#N/A,TRUE,"Forecasts"}</definedName>
    <definedName name="vcxvfds" hidden="1">{#N/A,#N/A,TRUE,"Historicals";#N/A,#N/A,TRUE,"Charts";#N/A,#N/A,TRUE,"Forecasts"}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fsvdsre" hidden="1">{#N/A,#N/A,TRUE,"Historicals";#N/A,#N/A,TRUE,"Charts";#N/A,#N/A,TRUE,"Forecasts"}</definedName>
    <definedName name="vdsfd" hidden="1">{#N/A,#N/A,TRUE,"Historicals";#N/A,#N/A,TRUE,"Charts";#N/A,#N/A,TRUE,"Forecasts"}</definedName>
    <definedName name="vel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Ver" hidden="1">800</definedName>
    <definedName name="verbaut_FI" hidden="1">{"QUERYLIB/VERBAUT"}</definedName>
    <definedName name="verbaut_IsText" hidden="1">FALSE</definedName>
    <definedName name="verbaut_OF" hidden="1">{"DBDTL","DBDAU","DBDNR","DBDMEI","DBDDTI","DBD2","DAUSAU","DAOTLN","DTL3","DTLBN2","DTL5","DAOLNR"}</definedName>
    <definedName name="verbaut_OFText" hidden="1">{"Teilenummer","Auftragsnummer","Bedarfsnummer","Ist-Menge","Ist-Datum","Sortierbegriff Bedar","Auftragsstatus","Teilenummer","Benennung 1","Benennung 2","Zeichnungsnummer","POSITIONSNUMMER"}</definedName>
    <definedName name="VerbindlGgLief" hidden="1">#REF!</definedName>
    <definedName name="VerbindlGgLief_" hidden="1">#REF!</definedName>
    <definedName name="Verkehrszweig1">#REF!</definedName>
    <definedName name="VerrKalkKosten" hidden="1">#REF!</definedName>
    <definedName name="VerrKalkKosten_" hidden="1">#REF!</definedName>
    <definedName name="VerrKalkKostenK" hidden="1">#REF!</definedName>
    <definedName name="VerrKalkKostenM" hidden="1">#REF!</definedName>
    <definedName name="VerrKalkKostenN" hidden="1">#REF!</definedName>
    <definedName name="VersichErstattung" hidden="1">#REF!</definedName>
    <definedName name="VersichErstattung_" hidden="1">#REF!</definedName>
    <definedName name="VersichErstattungN" hidden="1">#REF!</definedName>
    <definedName name="versicherung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ersicherungen" hidden="1">#REF!</definedName>
    <definedName name="Versicherungen_" hidden="1">#REF!</definedName>
    <definedName name="VersicherungenN" hidden="1">#REF!</definedName>
    <definedName name="VersionNumber" hidden="1">"4.5.5708"</definedName>
    <definedName name="Verwaltung" hidden="1">"4ZU4VF4FRUWRKH4J3VDZN4EKH"</definedName>
    <definedName name="vf" hidden="1">{#N/A,#N/A,FALSE,"Staffnos &amp; cost"}</definedName>
    <definedName name="vfcd" hidden="1">{"QTD",#N/A,FALSE,"SUM"}</definedName>
    <definedName name="vfdsagra" hidden="1">{#N/A,#N/A,TRUE,"Historicals";#N/A,#N/A,TRUE,"Charts";#N/A,#N/A,TRUE,"Forecasts"}</definedName>
    <definedName name="vfg" hidden="1">{#N/A,#N/A,FALSE,"Staffnos &amp; cost"}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iastar" hidden="1">{#N/A,#N/A,FALSE,"Assumptions";#N/A,#N/A,FALSE,"N-IS-Sum";#N/A,#N/A,FALSE,"N-St-Sum";#N/A,#N/A,FALSE,"Inc Stmt";#N/A,#N/A,FALSE,"Stats"}</definedName>
    <definedName name="vids" hidden="1">#REF!</definedName>
    <definedName name="vik" hidden="1">{#N/A,#N/A,FALSE,"Finanzbedarfsrechnung"}</definedName>
    <definedName name="viktor" hidden="1">{#N/A,#N/A,FALSE,"Finanzbedarfsrechnung"}</definedName>
    <definedName name="vimlesh" hidden="1">{#N/A,#N/A,FALSE,"Staffnos &amp; cost"}</definedName>
    <definedName name="VKL" hidden="1">{"weichwaren",#N/A,FALSE,"Liste 1";"hartwaren",#N/A,FALSE,"Liste 1";"food",#N/A,FALSE,"Liste 1";"fleisch",#N/A,FALSE,"Liste 1"}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o" hidden="1">{"consolidated",#N/A,FALSE,"Sheet1";"cms",#N/A,FALSE,"Sheet1";"fse",#N/A,FALSE,"Sheet1"}</definedName>
    <definedName name="VoIP" hidden="1">{"'Staffing and  Mail Volume'!$A$1:$J$19"}</definedName>
    <definedName name="Volumen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VorlaeufigesErgebnis" hidden="1">#REF!</definedName>
    <definedName name="VorlaeufigesErgebnis_" hidden="1">#REF!</definedName>
    <definedName name="VorlaeufigesErgebnisK" hidden="1">#REF!</definedName>
    <definedName name="VorlaeufigesErgebnisM" hidden="1">#REF!</definedName>
    <definedName name="VorlaeufigesErgebnisN" hidden="1">#REF!</definedName>
    <definedName name="vsv" hidden="1">{"comp",#N/A,FALSE,"SPEC";"footnotes",#N/A,FALSE,"SPEC"}</definedName>
    <definedName name="vt_recalc" hidden="1">#REF!</definedName>
    <definedName name="vv" hidden="1">{"Fiesta Facer Page",#N/A,FALSE,"Q_C_S";"Fiesta Main Page",#N/A,FALSE,"V_L";"Fiesta 95BP Struct",#N/A,FALSE,"StructBP";"Fiesta Post 95BP Struct",#N/A,FALSE,"AdjStructBP"}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swfv" hidden="1">{#N/A,#N/A,FALSE,"Mittelherkunft";#N/A,#N/A,FALSE,"Mittelverwendung"}</definedName>
    <definedName name="vvv" hidden="1">{"'Form'!$A$2:$J$81"}</definedName>
    <definedName name="vvvf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VVV" hidden="1">{"quarterly",#N/A,FALSE,"Income Statement";#N/A,#N/A,FALSE,"print segment";#N/A,#N/A,FALSE,"Balance Sheet";#N/A,#N/A,FALSE,"Annl Inc";#N/A,#N/A,FALSE,"Cash Flow"}</definedName>
    <definedName name="vvvvvvvvvv" hidden="1">{"net assets",#N/A,FALSE,"summary";"asset turnover",#N/A,FALSE,"summary";"orona",#N/A,FALSE,"summary"}</definedName>
    <definedName name="vvvvvvvvvvvvvvvv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" hidden="1">{#N/A,#N/A,FALSE,"bel";#N/A,#N/A,FALSE,"neth"}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" hidden="1">Main.SAPF4Help()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refa" hidden="1">{"toc1",#N/A,FALSE,"TOC";"cover",#N/A,FALSE,"Cover";"ts1",#N/A,FALSE,"Transaction Summary";"ei3",#N/A,FALSE,"Earnings Impact";"ad3",#N/A,FALSE,"accretion dilution"}</definedName>
    <definedName name="was" hidden="1">{#N/A,#N/A,FALSE,"Sales Graph";#N/A,#N/A,FALSE,"BUC Graph";#N/A,#N/A,FALSE,"P&amp;L - YTD"}</definedName>
    <definedName name="wasistdas" hidden="1">{#N/A,#N/A,FALSE,"Liste VKL"}</definedName>
    <definedName name="wat" hidden="1">{"résultats_édition client",#N/A,FALSE,"Résultats"}</definedName>
    <definedName name="wb" hidden="1">{#N/A,#N/A,FALSE,"Pharm";#N/A,#N/A,FALSE,"WWCM"}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om" hidden="1">{"IS",#N/A,FALSE,"IS";"RPTIS",#N/A,FALSE,"RPTIS";"STATS",#N/A,FALSE,"STATS";"BS",#N/A,FALSE,"BS"}</definedName>
    <definedName name="wcy" hidden="1">{"YD PRS",#N/A,FALSE,"YTD"}</definedName>
    <definedName name="wd" hidden="1">{#N/A,#N/A,FALSE,"Aging Summary";#N/A,#N/A,FALSE,"Ratio Analysis";#N/A,#N/A,FALSE,"Test 120 Day Accts";#N/A,#N/A,FALSE,"Tickmarks"}</definedName>
    <definedName name="WDFW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dw" hidden="1">{"'Title Transfer Units6,7,&amp;8'!$A$1:$B$4","'Title Transfer Units6,7,&amp;8'!$C$6"}</definedName>
    <definedName name="W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hidden="1">{"QTD_LPO2N2",#N/A,FALSE,"QTD"}</definedName>
    <definedName name="WEARF" hidden="1">{#N/A,#N/A,TRUE,"Y생산";#N/A,#N/A,TRUE,"Y판매";#N/A,#N/A,TRUE,"Y총물량";#N/A,#N/A,TRUE,"Y능력";#N/A,#N/A,TRUE,"YKD"}</definedName>
    <definedName name="weaw" hidden="1">{"YTD",#N/A,FALSE,"SUM"}</definedName>
    <definedName name="weawe" hidden="1">{"QTD_HYCO",#N/A,FALSE,"QTD"}</definedName>
    <definedName name="Web" hidden="1">{#N/A,#N/A,FALSE,"Inputs - Prices &amp; Forecasts"}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{#N/A,#N/A,FALSE,"Aging Summary";#N/A,#N/A,FALSE,"Ratio Analysis";#N/A,#N/A,FALSE,"Test 120 Day Accts";#N/A,#N/A,FALSE,"Tickmarks"}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" hidden="1">{"FY98Q1 var",#N/A,FALSE,"FY98 - Q1";"FY98Q2 var",#N/A,FALSE,"FY98 - Q2";"FY98Q3 var",#N/A,FALSE,"FY98 - Q3";"FY98Q4 var",#N/A,FALSE,"FY98 - Q4"}</definedName>
    <definedName name="weegare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e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" hidden="1">{#N/A,#N/A,FALSE,"Performance Flash Report"}</definedName>
    <definedName name="wef4f" hidden="1">{"GuVGmbH",#N/A,FALSE,"ratios";"BilanzGmbH",#N/A,FALSE,"ratios";"BilanzKG",#N/A,FALSE,"ratios";"GuVKG",#N/A,FALSE,"ratios"}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WE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gfa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n.printreg6" hidden="1">{#N/A,#N/A,FALSE,"Sheet2"}</definedName>
    <definedName name="Wenrer" hidden="1">Main.SAPF4Help()</definedName>
    <definedName name="weop" hidden="1">{"oct_res_comm",#N/A,FALSE,"VarToBud"}</definedName>
    <definedName name="WEQ" hidden="1">{#N/A,#N/A,FALSE,"단축1";#N/A,#N/A,FALSE,"단축2";#N/A,#N/A,FALSE,"단축3";#N/A,#N/A,FALSE,"장축";#N/A,#N/A,FALSE,"4WD"}</definedName>
    <definedName name="w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er23" hidden="1">{#N/A,#N/A,FALSE,"invpln"}</definedName>
    <definedName name="werfg435g" hidden="1">Main.SAPF4Help()</definedName>
    <definedName name="werfgvbv" hidden="1">Word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" hidden="1">{"cons",#N/A,TRUE,"MAY95"}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r" hidden="1">{#N/A,#N/A,FALSE,"Pharm";#N/A,#N/A,FALSE,"WWCM"}</definedName>
    <definedName name="werrrr" hidden="1">{"bkod1",#N/A,FALSE,"A";"bokd2",#N/A,FALSE,"A";"bokd3",#N/A,FALSE,"A";"bkod4",#N/A,FALSE,"A";"bokd5",#N/A,FALSE,"A";"bokd6",#N/A,FALSE,"A";"bokd7",#N/A,FALSE,"A"}</definedName>
    <definedName name="wersfsdgf" hidden="1">{#N/A,#N/A,FALSE,"Mittelherkunft";#N/A,#N/A,FALSE,"Mittelverwendung"}</definedName>
    <definedName name="wert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rttreiber" hidden="1">{#N/A,#N/A,FALSE,"DCF";#N/A,#N/A,FALSE,"WACC";#N/A,#N/A,FALSE,"Sales_EBIT";#N/A,#N/A,FALSE,"Capex_Depreciation";#N/A,#N/A,FALSE,"WC";#N/A,#N/A,FALSE,"Interest";#N/A,#N/A,FALSE,"Assumptions"}</definedName>
    <definedName name="wertw" hidden="1">{#N/A,#N/A,FALSE,"Layout GuV"}</definedName>
    <definedName name="WERTY" hidden="1">{#N/A,#N/A,FALSE,"단축1";#N/A,#N/A,FALSE,"단축2";#N/A,#N/A,FALSE,"단축3";#N/A,#N/A,FALSE,"장축";#N/A,#N/A,FALSE,"4WD"}</definedName>
    <definedName name="werw" hidden="1">{"ONE",#N/A,FALSE,"96DDCOD";"TWO",#N/A,FALSE,"96DDCOD"}</definedName>
    <definedName name="werwer" hidden="1">{"indirect labor",#N/A,FALSE,"labor"}</definedName>
    <definedName name="wet" hidden="1">{"CSheet",#N/A,FALSE,"C";"SmCap",#N/A,FALSE,"VAL1";"GulfCoast",#N/A,FALSE,"VAL1";"nav",#N/A,FALSE,"NAV";"Summary",#N/A,FALSE,"NAV"}</definedName>
    <definedName name="wetgswaw" hidden="1">{#N/A,#N/A,FALSE,"invpln"}</definedName>
    <definedName name="wet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et" hidden="1">#REF!</definedName>
    <definedName name="WETY" hidden="1">{#N/A,#N/A,FALSE,"단축1";#N/A,#N/A,FALSE,"단축2";#N/A,#N/A,FALSE,"단축3";#N/A,#N/A,FALSE,"장축";#N/A,#N/A,FALSE,"4WD"}</definedName>
    <definedName name="wew" hidden="1">{#N/A,#N/A,FALSE,"Sheet1"}</definedName>
    <definedName name="wew1q" hidden="1">{"INCOME",#N/A,FALSE,"ProNet";"VALUE",#N/A,FALSE,"ProNet"}</definedName>
    <definedName name="wew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wq" hidden="1">{"FY97Q1 nvs",#N/A,FALSE,"FY97 - Q1";"FY97Q2 nvs",#N/A,FALSE,"FY97 - Q2";"FY97Q3 nvs",#N/A,FALSE,"FY97 - Q3";"FY97Q4 nvs",#N/A,FALSE,"FY97 - Q4"}</definedName>
    <definedName name="wewrrh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ws" hidden="1">{"pro_view",#N/A,FALSE,"EEFSNAP2";"rep_view",#N/A,FALSE,"EEFSNAP2"}</definedName>
    <definedName name="WEWW" hidden="1">{"'Demand Units'!$X$11:$AD$45"}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T" hidden="1">{"Area1",#N/A,FALSE,"OREWACC";"Area2",#N/A,FALSE,"OREWACC"}</definedName>
    <definedName name="what" hidden="1">{"investments",#N/A,FALSE,"CYTD CF Oct";"invest month",#N/A,FALSE,"CYTD CF Oct";"scf",#N/A,FALSE,"CYTD CF Oct";"direct method",#N/A,FALSE,"CYTD CF Oct";"indirect",#N/A,FALSE,"CYTD CF Oct"}</definedName>
    <definedName name="what.project" hidden="1">{#N/A,#N/A,FALSE,"P1";#N/A,#N/A,FALSE,"P2";#N/A,#N/A,FALSE,"P4";#N/A,#N/A,FALSE,"P5";#N/A,#N/A,FALSE,"P6";#N/A,#N/A,FALSE,"P7";#N/A,#N/A,FALSE,"P8";#N/A,#N/A,FALSE,"P9";#N/A,#N/A,FALSE,"P10"}</definedName>
    <definedName name="What?" hidden="1">{#N/A,#N/A,TRUE,"Summary";#N/A,#N/A,TRUE,"Financials"}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{"indirect",#N/A,FALSE,"CYTD CF Oct";"direct method",#N/A,FALSE,"CYTD CF Oct";"scf",#N/A,FALSE,"CYTD CF Oct";"investments",#N/A,FALSE,"CYTD CF Oct";"invest month",#N/A,FALSE,"CYTD CF Oct"}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#REF!</definedName>
    <definedName name="WHRL" hidden="1">{#N/A,#N/A,FALSE,"단축1";#N/A,#N/A,FALSE,"단축2";#N/A,#N/A,FALSE,"단축3";#N/A,#N/A,FALSE,"장축";#N/A,#N/A,FALSE,"4WD"}</definedName>
    <definedName name="WHRwhrWH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WR" hidden="1">{"GuVGmbH",#N/A,FALSE,"ratios";"BilanzGmbH",#N/A,FALSE,"ratios";"BilanzKG",#N/A,FALSE,"ratios";"GuVKG",#N/A,FALSE,"ratios"}</definedName>
    <definedName name="whrWHRwrhWRHwr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in" hidden="1">{"'Sample Status'!$A$1:$J$21"}</definedName>
    <definedName name="wkrp" hidden="1">{"Area1",#N/A,FALSE,"OREWACC";"Area2",#N/A,FALSE,"OREWACC"}</definedName>
    <definedName name="wn.2222" hidden="1">{#N/A,#N/A,FALSE,"summary"}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rking" hidden="1">{#N/A,#N/A,FALSE,"REPORT"}</definedName>
    <definedName name="WOS_IQ_Div_payment_date" hidden="1">"c2205"</definedName>
    <definedName name="WOS_IQ_Div_record_date" hidden="1">"c2204"</definedName>
    <definedName name="WOS_IQ_xdiv_date" hidden="1">"c2203"</definedName>
    <definedName name="WQ" hidden="1">{#N/A,#N/A,FALSE,"을지 (4)";#N/A,#N/A,FALSE,"을지 (5)";#N/A,#N/A,FALSE,"을지 (6)"}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qwdqwd" hidden="1">{#N/A,#N/A,FALSE,"Staffnos &amp; cost"}</definedName>
    <definedName name="wqe" hidden="1">#REF!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q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qqwe" hidden="1">{"FY97Tot nvs",#N/A,FALSE,"FY97 - Total";"FY98Tot nvs",#N/A,FALSE,"FY98 - Total"}</definedName>
    <definedName name="wqrew" hidden="1">{"FY97Total",#N/A,FALSE,"FY97 - Total";"FY98Total",#N/A,FALSE,"FY98 - Total"}</definedName>
    <definedName name="wqrwqe" hidden="1">{"FY98Q1 nvs",#N/A,FALSE,"FY98 - Q1";"FY98Q2 nvs",#N/A,FALSE,"FY98 - Q2";"FY98Q3 nvs",#N/A,FALSE,"FY98 - Q3";"FY98Q4 nvs",#N/A,FALSE,"FY98 - Q4"}</definedName>
    <definedName name="wqwq" hidden="1">{"BA detail",#N/A,FALSE,"Q3YTD "}</definedName>
    <definedName name="wqx" hidden="1">{"Comp_of_Price_Effect",#N/A,FALSE,"QTRDPVAR"}</definedName>
    <definedName name="w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_.pagers.3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g.Tages" hidden="1">{"Tages_D",#N/A,FALSE,"Tagesbericht";"Tages_PL",#N/A,FALSE,"Tagesbericht"}</definedName>
    <definedName name="wrksht" hidden="1">{"USD",#N/A,FALSE,"FC-15 Cap Expend";"LC",#N/A,FALSE,"FC-15 Cap Expend"}</definedName>
    <definedName name="wrm.pucspaddq2" hidden="1">{#N/A,"PURCHM",FALSE,"Business Analysis";#N/A,"SPADD",FALSE,"Business Analysis"}</definedName>
    <definedName name="wrn" hidden="1">{#N/A,#N/A,FALSE,"Sheet1"}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_.Print._.Month._.Data." hidden="1">{"Month vs ABP p1",#N/A,FALSE,"Month vs ABP";"Month vs ABP p2",#N/A,FALSE,"Month vs ABP";"Month",#N/A,FALSE,"Month"}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.1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9._.Corporate." hidden="1">{"1999Corporate",#N/A,FALSE,"Corporate"}</definedName>
    <definedName name="wrn.1999._.Funding." hidden="1">{"1999Funding",#N/A,FALSE,"Funding"}</definedName>
    <definedName name="wrn.1999._.Grp._.Adjustments." hidden="1">{"1999GrpAdj",#N/A,FALSE,"Grp Adj"}</definedName>
    <definedName name="wrn.1999._.Grp._.Consol." hidden="1">{"1999GrpConsol",#N/A,FALSE,"Grp Consol"}</definedName>
    <definedName name="wrn.1999._.HTUK." hidden="1">{"1999HTUK",#N/A,FALSE,"HTUK"}</definedName>
    <definedName name="wrn.1999._.International." hidden="1">{"1999International",#N/A,FALSE,"International"}</definedName>
    <definedName name="wrn.1999._.OIDL." hidden="1">{"1999OIDL",#N/A,FALSE,"OIDL"}</definedName>
    <definedName name="wrn.1999._.Trust." hidden="1">{"1999Trust",#N/A,FALSE,"Trust"}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." hidden="1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.Print._.QTD._.Data." hidden="1">{"Qtr vs ABP p1",#N/A,FALSE,"Quarter vs ABP";"Qtr vs ABP p2",#N/A,FALSE,"Quarter vs ABP";"Qtr",#N/A,FALSE,"Quarter"}</definedName>
    <definedName name="wrn.2._pagers.4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" hidden="1">{"RES-2000",#N/A,FALSE,"BL2000";"A1-2000",#N/A,FALSE,"BL2000";"A2-2000",#N/A,FALSE,"BL2000"}</definedName>
    <definedName name="wrn.2000._.Corporate." hidden="1">{"2000Corporate",#N/A,FALSE,"Corporate"}</definedName>
    <definedName name="wrn.2000._.Funding." hidden="1">{"2000Funding",#N/A,FALSE,"Funding"}</definedName>
    <definedName name="wrn.2000._.Grp._.Adjustments." hidden="1">{"2000GrpAdj",#N/A,FALSE,"Grp Adj"}</definedName>
    <definedName name="wrn.2000._.Grp._.Consol." hidden="1">{"2000GrpConsol",#N/A,FALSE,"Grp Consol"}</definedName>
    <definedName name="wrn.2000._.HTUK." hidden="1">{"2000HTUK",#N/A,FALSE,"HTUK"}</definedName>
    <definedName name="wrn.2000._.International." hidden="1">{"2000International",#N/A,FALSE,"International"}</definedName>
    <definedName name="wrn.2000._.OIDL." hidden="1">{"2000OIDL",#N/A,FALSE,"OIDL"}</definedName>
    <definedName name="wrn.2000._.Package._.GOM." hidden="1">{"2000PPE",#N/A,FALSE,"PPE 2000";"2000DD",#N/A,FALSE,"DrydocksOther"}</definedName>
    <definedName name="wrn.2000._.Trust." hidden="1">{"2000Trust",#N/A,FALSE,"Trust"}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printreg." hidden="1">{#N/A,#N/A,FALSE,"Sheet2"}</definedName>
    <definedName name="wrn.3." hidden="1">{"cover",#N/A,TRUE,"Cover";"toc1",#N/A,TRUE,"TOC";"ts1",#N/A,TRUE,"Transaction Summary";"ei2",#N/A,TRUE,"Earnings Impact";"ad2",#N/A,TRUE,"accretion dilution"}</definedName>
    <definedName name="wrn.3._.month._.budget.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Print._.YTD._.Data." hidden="1">{"Year vs ABP p1",#N/A,FALSE,"Year vs ABP";"Year vs ABP p2",#N/A,FALSE,"Year vs ABP";"Year",#N/A,FALSE,"Year"}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5." hidden="1">{#N/A,#N/A,FALSE,"96 3월물량표";#N/A,#N/A,FALSE,"96 4월물량표";#N/A,#N/A,FALSE,"96 5월물량표"}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monthly" hidden="1">{#N/A,#N/A,FALSE,"mfg - consol";#N/A,#N/A,FALSE,"mfg - flo";#N/A,#N/A,FALSE,"mfg - lindsay"}</definedName>
    <definedName name="wrn.4." hidden="1">{"toc1",#N/A,FALSE,"TOC";"cover",#N/A,FALSE,"Cover";"ts1",#N/A,FALSE,"Transaction Summary";"ei3",#N/A,FALSE,"Earnings Impact";"ad3",#N/A,FALSE,"accretion dilution"}</definedName>
    <definedName name="wrn.4._.Print._.Appendix._.I." hidden="1">{"Appendix I",#N/A,FALSE,"Appendix I   - Assy Var"}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Print._.Appendix._.II." hidden="1">{"Appendix II",#N/A,FALSE,"Appendix II - Manu Var (Month)"}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a._.Co._.Ttl._.inc._.Buffer." hidden="1">{#N/A,#N/A,FALSE,"5 Company Total 2 inc buffer"}</definedName>
    <definedName name="wrn.5b._.Buffer." hidden="1">{#N/A,#N/A,FALSE,"Buffer"}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.Print._.Appendix._.III." hidden="1">{"Appendix III",#N/A,FALSE,"Appendix III - Manu Var (QTD) 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.Print._.Appendix._.IV." hidden="1">{"Appendix IV",#N/A,FALSE,"Appendix IV - Inventory Change"}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7." hidden="1">{"ONE",#N/A,FALSE,"96DDCOD";"TWO",#N/A,FALSE,"96DDCOD"}</definedName>
    <definedName name="wrn.97.1a" hidden="1">{"ONE",#N/A,FALSE,"96DDCOD";"TWO",#N/A,FALSE,"96DDCOD"}</definedName>
    <definedName name="wrn.98._.VALUE._.ANALYSES." hidden="1">{#VALUE!,#N/A,FALSE,0;#N/A,#N/A,FALSE,0;#N/A,#N/A,FALSE,0;#N/A,#N/A,FALSE,0}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1._.FY9798Totals._.no._.var." hidden="1">{"FY97Tot nvs",#N/A,FALSE,"FY97 - Total";"FY98Tot nvs",#N/A,FALSE,"FY98 - Total"}</definedName>
    <definedName name="wrn.a2._.FY97Q1234._.no._.var." hidden="1">{"FY97Q1 nvs",#N/A,FALSE,"FY97 - Q1";"FY97Q2 nvs",#N/A,FALSE,"FY97 - Q2";"FY97Q3 nvs",#N/A,FALSE,"FY97 - Q3";"FY97Q4 nvs",#N/A,FALSE,"FY97 - Q4"}</definedName>
    <definedName name="wrn.a3._.FY98Q1234._.no._.var." hidden="1">{"FY98Q1 nvs",#N/A,FALSE,"FY98 - Q1";"FY98Q2 nvs",#N/A,FALSE,"FY98 - Q2";"FY98Q3 nvs",#N/A,FALSE,"FY98 - Q3";"FY98Q4 nvs",#N/A,FALSE,"FY98 - Q4"}</definedName>
    <definedName name="wrn.aaa" hidden="1">{#N/A,#N/A,FALSE,"Pharm";#N/A,#N/A,FALSE,"WWCM"}</definedName>
    <definedName name="wrn.aaaaaaa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{#N/A,#N/A,FALSE,"Bezirk SW";#N/A,#N/A,FALSE,"Dir S (GK)";#N/A,#N/A,FALSE,"Dir FR (PK)"}</definedName>
    <definedName name="wrn.Abf.._.Szenario._.A.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counts." hidden="1">{"turnover",#N/A,FALSE;"profits",#N/A,FALSE;"cash",#N/A,FALSE}</definedName>
    <definedName name="wrn.Accounts._.99._.00." hidden="1">{"Ratio1",#N/A,FALSE,"Management Accounts";"Ratio2",#N/A,FALSE,"Management Accounts";"I &amp; E",#N/A,FALSE,"Management Accounts";"PRA",#N/A,FALSE,"Management Accounts";"Property Sales",#N/A,FALSE,"Management Accounts";"Dev",#N/A,FALSE,"Management Accounts";"F &amp; A",#N/A,FALSE,"Management Accounts";"Balance Sheet",#N/A,FALSE,"Management Accounts";"Rents",#N/A,FALSE,"Management Accounts";"Note PRA",#N/A,FALSE,"Management Accounts";"FA:Prop",#N/A,FALSE,"Management Accounts";"FA:Other",#N/A,FALSE,"Management Accounts";"Debtors",#N/A,FALSE,"Management Accounts";"Cash",#N/A,FALSE,"Forecast CF";"PI",#N/A,FALSE,"Performance"}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CCOUNTS._.PAYABLE." hidden="1">{#N/A,#N/A,FALSE,"CC-1 Accounts Payable";#N/A,#N/A,FALSE,"CC-2 Search for Unrecorded Liab"}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UED._.EXPENSES." hidden="1">{#N/A,#N/A,FALSE,"EE-1 Othr Acts. Pbl &amp; Accr. Exp";#N/A,#N/A,FALSE,"FF-1 Payroll Taxes";#N/A,#N/A,FALSE,"HH-1 Employee Benefit Plans"}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1" hidden="1">{"Acq_matrix",#N/A,FALSE,"Acquisition Matrix"}</definedName>
    <definedName name="wrn.AcqVal." hidden="1">{#N/A,#N/A,FALSE,"Acq-Val";#N/A,#N/A,FALSE,"Acq-Mult Val"}</definedName>
    <definedName name="wrn.acs." hidden="1">{"pl",#N/A,TRUE,"man acs";"admin",#N/A,TRUE,"man acs";"bs",#N/A,TRUE,"man acs";"notes",#N/A,TRUE,"notes";"tb",#N/A,TRUE,"man acs";"jv1",#N/A,TRUE,"man acs";"jv2",#N/A,TRUE,"man acs";"jv3",#N/A,TRUE,"man acs"}</definedName>
    <definedName name="wrn.ACUMULADOS." hidden="1">{"CTO ACUMULADO",#N/A,FALSE,"BASE ANEXOS";"VAR ACUMULADAS",#N/A,FALSE,"BASE ANEXOS"}</definedName>
    <definedName name="wrn.adj95." hidden="1">{"adj95mult",#N/A,FALSE,"COMPCO";"adj95est",#N/A,FALSE,"COMPCO"}</definedName>
    <definedName name="wrn.Adjustments." hidden="1">{"Page1",#N/A,FALSE,"Matrix (1)";"Page2",#N/A,FALSE,"Pay-Out";"Page3",#N/A,FALSE,"Prems_Reserves";"Page4",#N/A,FALSE,"Adj. EPS";"Page5",#N/A,FALSE,"Acc_Dil"}</definedName>
    <definedName name="wrn.Admin." hidden="1">{#N/A,#N/A,FALSE,"Admin"}</definedName>
    <definedName name="wrn.afa_zinsen." hidden="1">{"afa",#N/A,TRUE,"AfA_Zinsen";"zinsen",#N/A,TRUE,"AfA_Zinsen"}</definedName>
    <definedName name="wrn.Aging._.and._.Trend._.Analysis." hidden="1">{#N/A,#N/A,FALSE,"Aging Summary";#N/A,#N/A,FALSE,"Ratio Analysis";#N/A,#N/A,FALSE,"Test 120 Day Accts";#N/A,#N/A,FALSE,"Tickmarks"}</definedName>
    <definedName name="wrn.AJ._.Renner." hidden="1">{#N/A,#N/A,FALSE,"Summ";#N/A,#N/A,FALSE,"Fcst";#N/A,#N/A,FALSE,"BS";"Pro Forma IS",#N/A,FALSE,"Hist IS";"IS History",#N/A,FALSE,"Hist IS";"Payroll",#N/A,FALSE,"Summ"}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hidden="1">{"Alex2",#N/A,FALSE," SAV A8"}</definedName>
    <definedName name="wrn.Alex._1" hidden="1">{"Alex2",#N/A,FALSE," SAV A8"}</definedName>
    <definedName name="wrn.Alex._2" hidden="1">{"Alex2",#N/A,FALSE," SAV A8"}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3._.years." hidden="1">{#N/A,#N/A,FALSE,"Worldwide FY00";#N/A,#N/A,FALSE,"Worldwide FY01";#N/A,#N/A,FALSE,"Worldwide FY02"}</definedName>
    <definedName name="wrn.ALL._.ALLOCATIONS." hidden="1">{"ALLOCATION1",#N/A,FALSE,"EXPENSE ALLOCATIONS";"ALLOCATION2",#N/A,FALSE,"EXPENSE ALLOCATIONS";"ALLOCATION3",#N/A,FALSE,"EXPENSE ALLOCATIONS";"ALLOCATION4",#N/A,FALSE,"EXPENSE ALLOCATIONS"}</definedName>
    <definedName name="wrn.ALL._.ASSEM._.REPORTS.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DPAK._.REPORTS." hidden="1">{"TOTALDPAK",#N/A,FALSE,"DPAK PRODUCTION";"HADPAK",#N/A,FALSE,"DPAK PRODUCTION";"PSIDPAK",#N/A,FALSE,"DPAK PRODUCTION"}</definedName>
    <definedName name="wrn.ALL._.FAB._.2._.EXP._.REPORTS.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B._.I._.EXP._.REPORTS.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wrn.ALL._.FAB._9._.EXP._.REPORTS.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CILITIES._.REPORT.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hidden="1">{#N/A,#N/A,FALSE,"inc state";#N/A,#N/A,FALSE,"Products";#N/A,#N/A,FALSE,"bal sht"}</definedName>
    <definedName name="wrn.ALL._.PACKAGE." hidden="1">{#N/A,#N/A,FALSE,"COVER";#N/A,#N/A,FALSE," index";#N/A,#N/A,FALSE,"notes";#N/A,#N/A,FALSE,"Perform";#N/A,#N/A,FALSE,"Graphs";#N/A,#N/A,FALSE,"FAMILIES GRAPHS";#N/A,#N/A,FALSE,"WWP&amp;Lsum";#N/A,#N/A,FALSE,"WWP&amp;Lfam";#N/A,#N/A,FALSE,"SALCOMP";#N/A,#N/A,FALSE,"Assets";#N/A,#N/A,FALSE,"assgraph";#N/A,#N/A,FALSE,"FG Inventory Aging";#N/A,#N/A,FALSE,"WWINVSUM";#N/A,#N/A,FALSE,"WWinvFAM";#N/A,#N/A,FALSE,"RM&amp;WIP";#N/A,#N/A,FALSE,"CUSTOM";#N/A,#N/A,FALSE,"cesd cust";#N/A,#N/A,FALSE,"cesd cust";#N/A,#N/A,FALSE,"PRODUCT"}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R._.EXP._.REPORTS.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wrn.All._.Reports." hidden="1">{#N/A,#N/A,FALSE,"Income";#N/A,#N/A,FALSE,"Total Plant";#N/A,#N/A,FALSE,"Natural";#N/A,#N/A,FALSE,"Coating";#N/A,#N/A,FALSE,"Production";#N/A,#N/A,FALSE,"Main";#N/A,#N/A,FALSE,"Trucking";#N/A,#N/A,FALSE,"Distribution";#N/A,#N/A,FALSE,"Admin";#N/A,#N/A,FALSE,"Balance Sheet";#N/A,#N/A,FALSE,"Taxes"}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{#N/A,#N/A,FALSE,"TOTAL mtd";#N/A,#N/A,FALSE,"BSE mtd";#N/A,#N/A,FALSE,"BSS mtd";#N/A,#N/A,FALSE,"TDE mtd";#N/A,#N/A,FALSE,"TDS mtd";#N/A,#N/A,FALSE,"FA mtd";#N/A,#N/A,FALSE,"TIS mtd";#N/A,#N/A,FALSE,"SEC mtd";#N/A,#N/A,FALSE,"SND mtd";#N/A,#N/A,FALSE,"NC mtd";#N/A,#N/A,FALSE,"MT&amp;C BS mtd";#N/A,#N/A,FALSE,"OT BS mtd";#N/A,#N/A,FALSE,"EM mtd";#N/A,#N/A,FALSE,"WI mtd";#N/A,#N/A,FALSE,"MT&amp;C TD mtd";#N/A,#N/A,FALSE,"OT TD mtd";#N/A,#N/A,FALSE,"Sales mtd";#N/A,#N/A,FALSE,"Orders mtd"}</definedName>
    <definedName name="wrn.All._.Sheets._.One._.by._.One." hidden="1">{#N/A,#N/A,FALSE,"Info";#N/A,#N/A,FALSE,"Op I";#N/A,#N/A,FALSE,"Op O";#N/A,#N/A,FALSE,"LBO I";#N/A,#N/A,FALSE,"LBO O";#N/A,#N/A,FALSE,"Taxes"}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Y._.EXP._.RPTS." hidden="1">{"TOTALHEXAMEXPENSE",#N/A,FALSE,"MANUFACTURING EXPENSE SUMMARY";"TOTALASSEMBLYEXPENSE",#N/A,FALSE,"MANUFACTURING EXPENSE SUMMARY";"TOTALWAFERFABEXPENSE",#N/A,FALSE,"MANUFACTURING EXPENSE SUMMARY";"TOTALMATERIALSEXPENSE",#N/A,FALSE,"MANUFACTURING EXPENSE SUMMARY";"TOTALQAEXPENSE",#N/A,FALSE,"MANUFACTURING EXPENSE SUMMARY";"TOTALSUBEXPNESE",#N/A,FALSE,"MANUFACTURING EXPENSE SUMMARY";"TOTALFACILITIESEXPENSE",#N/A,FALSE,"MANUFACTURING EXPENSE SUMMARY";"TOTALWAFERFAB2EXPENSE",#N/A,FALSE,"MANUFACTURING EXPENSE SUMMARY"}</definedName>
    <definedName name="wrn.All._.Sums.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.TO220._.REPORTS." hidden="1">{"TOTALTO220",#N/A,FALSE,"TO-220 PRODUCTION";"HATO220",#N/A,FALSE,"TO-220 PRODUCTION";"MXTO220",#N/A,FALSE,"TO-220 PRODUCTION";"PSITO220",#N/A,FALSE,"TO-220 PRODUCTION";"MOTTO220",#N/A,FALSE,"TO-220 PRODUCTION"}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ProdQuantities.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_sheets." hidden="1">{#N/A,#N/A,FALSE,"compcoval";#N/A,#N/A,FALSE,"optionval"}</definedName>
    <definedName name="wrn.All1.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hidden="1">{#N/A,#N/A,FALSE,"AD_Purchase";#N/A,#N/A,FALSE,"Credit";#N/A,#N/A,FALSE,"PF Acquisition";#N/A,#N/A,FALSE,"PF Offering"}</definedName>
    <definedName name="wrn.ALLMOSANDQTRS.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wrn.ALLMOSANDQTRS.1a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wrn.ALLOC._.Q1._.AND._.Q2._.FY96." hidden="1">{"ALLOCATION1",#N/A,FALSE,"EXPENSE ALLOCATIONS"}</definedName>
    <definedName name="wrn.ALLOC._.Q1._.AND._.Q2._.FY97." hidden="1">{"ALLOCATION3",#N/A,FALSE,"EXPENSE ALLOCATIONS"}</definedName>
    <definedName name="wrn.ALLOC._.Q3._.AND._.Q4._.FY96." hidden="1">{"ALLOCATION2",#N/A,FALSE,"EXPENSE ALLOCATIONS"}</definedName>
    <definedName name="wrn.ALLOC._.Q3._.AND._.Q4._.FY97." hidden="1">{"ALLOCATION4",#N/A,FALSE,"EXPENSE ALLOCATIONS"}</definedName>
    <definedName name="wrn.Allocation._.Matrix." hidden="1">{"Allocation Matrix p1",#N/A,FALSE,"Allocation Matrix";"Allocation Matrix p2",#N/A,FALSE,"Allocation Matrix";"Allocation Matrix p3",#N/A,FALSE,"Allocation Matrix"}</definedName>
    <definedName name="wrn.allpages." hidden="1">{#N/A,#N/A,TRUE,"Historicals";#N/A,#N/A,TRUE,"Charts";#N/A,#N/A,TRUE,"Forecasts"}</definedName>
    <definedName name="wrn.AMAT._.Intranet." hidden="1">{"AMAT INC",#N/A,FALSE,"AMAT-INC";"AMAT BLSH",#N/A,FALSE,"AMATBLSH"}</definedName>
    <definedName name="wrn.Americas." hidden="1">{#N/A,#N/A,FALSE,"Americas"}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analysis." hidden="1">{#N/A,#N/A,FALSE,"Analysis"}</definedName>
    <definedName name="wrn.Analysis_qtr." hidden="1">{#N/A,#N/A,FALSE,"Analysis";#N/A,#N/A,FALSE,"Anal_QTR"}</definedName>
    <definedName name="wrn.Annual._.Summary." hidden="1">{#N/A,#N/A,FALSE,"Annual Summary"}</definedName>
    <definedName name="wrn.Antonelle." hidden="1">{#N/A,#N/A,FALSE,"P&amp;L";#N/A,#N/A,FALSE,"bilan";#N/A,#N/A,FALSE,"DCF"}</definedName>
    <definedName name="wrn.AOB." hidden="1">{"TRAD DDC",#N/A,FALSE,"AOB96";"DOMESTIC",#N/A,FALSE,"AOB96";"CANADA",#N/A,FALSE,"AOB96";"EUROPE",#N/A,FALSE,"AOB96";"DOC",#N/A,FALSE,"AOB96";"DDODC",#N/A,FALSE,"AOB96";"ELIMS",#N/A,FALSE,"AOB96"}</definedName>
    <definedName name="wrn.AOB1a" hidden="1">{"TRAD DDC",#N/A,FALSE,"AOB96";"DOMESTIC",#N/A,FALSE,"AOB96";"CANADA",#N/A,FALSE,"AOB96";"EUROPE",#N/A,FALSE,"AOB96";"DOC",#N/A,FALSE,"AOB96";"DDODC",#N/A,FALSE,"AOB96";"ELIMS",#N/A,FALSE,"AOB96"}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R." hidden="1">{"APR",#N/A,FALSE,"APR"}</definedName>
    <definedName name="wrn.APRIL." hidden="1">{"APRIL",#N/A,FALSE,"Q4"}</definedName>
    <definedName name="wrn.April._.Financials." hidden="1">{"Statement of Income",#N/A,TRUE,"Mar99";"Balance Sheet",#N/A,TRUE,"Mar99"}</definedName>
    <definedName name="wrn.AQUIROR._.DCF.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RPU._.composition." hidden="1">{#N/A,#N/A,FALSE,"Additional ARPU"}</definedName>
    <definedName name="wrn.ARZTLM.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rn.as." hidden="1">{#N/A,#N/A,FALSE,"1. PTI Ziele";#N/A,#N/A,FALSE,"2. Zielkatalog ";#N/A,#N/A,FALSE,"3. Masterterminplan"}</definedName>
    <definedName name="wrn.asia" hidden="1">{#N/A,#N/A,FALSE,"ASIA CORP";#N/A,#N/A,FALSE,"SEG";#N/A,#N/A,FALSE,"INVEST";#N/A,#N/A,FALSE,"ELIM"}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ptn." hidden="1">{#N/A,#N/A,TRUE,"asptn "}</definedName>
    <definedName name="wrn.ASSEM._.SALARY._.CALC." hidden="1">{"SALMGMT",#N/A,FALSE,"ASSEMBLY EXPENSE";"SALMFGENG",#N/A,FALSE,"ASSEMBLY EXPENSE";"SALEQUIPENG",#N/A,FALSE,"ASSEMBLY EXPENSE";"SALTO220MGMT",#N/A,FALSE,"ASSEMBLY EXPENSE";"SALEQUIPSUP",#N/A,FALSE,"ASSEMBLY EXPENSE";"SALMATPROCESS",#N/A,FALSE,"ASSEMBLY EXPENSE"}</definedName>
    <definedName name="wrn.ASSETS." hidden="1">{#N/A,#N/A,FALSE,"notes";#N/A,#N/A,FALSE,"Assets";#N/A,#N/A,FALSE,"assgraph";#N/A,#N/A,FALSE,"FG Inventory Aging";#N/A,#N/A,FALSE,"WWINVSUM";#N/A,#N/A,FALSE,"WWinvFAM";#N/A,#N/A,FALSE,"RM&amp;WIP"}</definedName>
    <definedName name="wrn.assumptions." hidden="1">{"casespecific",#N/A,FALSE,"Assumptions"}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flösung.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1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2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3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4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5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G." hidden="1">{"AUG",#N/A,FALSE,"AUG"}</definedName>
    <definedName name="wrn.AUGUST." hidden="1">{"Q1AUG",#N/A,FALSE,"Q1"}</definedName>
    <definedName name="wrn.Auto._.Comp." hidden="1">{#N/A,#N/A,FALSE,"Sheet1"}</definedName>
    <definedName name="wrn.Auto._.Comp.1" hidden="1">{#N/A,#N/A,FALSE,"Sheet1"}</definedName>
    <definedName name="wrn.away." hidden="1">{"away stand alones",#N/A,FALSE,"Target"}</definedName>
    <definedName name="wrn.b1._.FY9798Totals." hidden="1">{"FY97Total",#N/A,FALSE,"FY97 - Total";"FY98Total",#N/A,FALSE,"FY98 - Total"}</definedName>
    <definedName name="wrn.B10." hidden="1">{"B10-2000",#N/A,FALSE,"BL2000"}</definedName>
    <definedName name="wrn.b2._.FY97Q1234." hidden="1">{"FY97Q1",#N/A,FALSE,"FY97 - Q1";"FY97Q2",#N/A,FALSE,"FY97 - Q2";"FY97Q3",#N/A,FALSE,"FY97 - Q3";"FY97Q4",#N/A,FALSE,"FY97 - Q4"}</definedName>
    <definedName name="wrn.b3._.FY98Q1234." hidden="1">{"FY98Q1",#N/A,FALSE,"FY98 - Q1";"FY98Q2",#N/A,FALSE,"FY98 - Q2";"FY98Q3",#N/A,FALSE,"FY98 - Q3";"FY98Q4",#N/A,FALSE,"FY98 - Q4"}</definedName>
    <definedName name="wrn.Back._.Page." hidden="1">{"Back Page",#N/A,FALSE,"Front and Back"}</definedName>
    <definedName name="wrn.backup." hidden="1">{"financials",#N/A,FALSE,"BASIC";"interest",#N/A,FALSE,"BASIC";"leasing and financing",#N/A,FALSE,"BASIC";"returns back up",#N/A,FALSE,"BASIC"}</definedName>
    <definedName name="wrn.Backup1a" hidden="1">{#N/A,#N/A,FALSE,"Back-up";#N/A,#N/A,FALSE,"Pricing";#N/A,#N/A,FALSE,"Incentives";#N/A,#N/A,FALSE,"Cons. Employment";#N/A,#N/A,FALSE,"Manufacturing";#N/A,#N/A,FALSE,"Engineering II";#N/A,#N/A,FALSE,"Expenses";#N/A,#N/A,FALSE,"Administration";#N/A,#N/A,FALSE,"Selling";#N/A,#N/A,FALSE,"Marketing";#N/A,#N/A,FALSE,"Warehouse";#N/A,#N/A,FALSE,"Warranty";#N/A,#N/A,FALSE,"CAPEX";#N/A,#N/A,FALSE,"Series 50-60";#N/A,#N/A,FALSE,"2 Cycle";#N/A,#N/A,FALSE,"Series 2000";#N/A,#N/A,FALSE,"Series 4000";#N/A,#N/A,FALSE,"Series 30-40";#N/A,#N/A,FALSE,"Reman";#N/A,#N/A,FALSE,"Cento";#N/A,#N/A,FALSE,"Distr";#N/A,#N/A,FALSE,"Deep Backup";#N/A,#N/A,FALSE,"Series 50-60 (2)";#N/A,#N/A,FALSE,"2 Cycle (2)";#N/A,#N/A,FALSE,"Series 2000 (2)";#N/A,#N/A,FALSE,"Series 4000 (2)";#N/A,#N/A,FALSE,"Series 30-40 (2)";#N/A,#N/A,FALSE,"Deducts";#N/A,#N/A,FALSE,"EBIT";#N/A,#N/A,FALSE,"Employment"}</definedName>
    <definedName name="wrn.balance._.sheet." hidden="1">{"bs",#N/A,FALSE,"SCF"}</definedName>
    <definedName name="wrn.balance._.sheet.2" hidden="1">{"bs",#N/A,FALSE,"SCF"}</definedName>
    <definedName name="wrn.BalanceSheetGermanGAAP2000_2009." hidden="1">{"BSGGAAP1",#N/A,FALSE,"P&amp;L G GAAP"}</definedName>
    <definedName name="wrn.BalanceSheetGermanGAAP2010_2019." hidden="1">{"BSGGAAP2",#N/A,FALSE,"BS G GAAP"}</definedName>
    <definedName name="wrn.BalanceSheetUSGAAP2000_2009." hidden="1">{"BSUSGAAP1",#N/A,FALSE,"BS US GAAP"}</definedName>
    <definedName name="wrn.BalanceSheetUSGAAP2010_2019." hidden="1">{"BSUSGAAP2",#N/A,FALSE,"BS US GAAP"}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EL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richt.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wrn.Bericht._.FO._.R." hidden="1">{#N/A,#N/A,FALSE,"FO R";"Bericht FO FR",#N/A,FALSE,"DB"}</definedName>
    <definedName name="wrn.Bericht._.OC." hidden="1">{#N/A,#N/A,FALSE,"OC";"Bericht OC",#N/A,FALSE,"DB"}</definedName>
    <definedName name="wrn.Bericht._.OI." hidden="1">{#N/A,#N/A,FALSE,"OI";"Bericht OI",#N/A,FALSE,"DB"}</definedName>
    <definedName name="wrn.Bericht._.OS._.L." hidden="1">{#N/A,#N/A,FALSE,"OS L";"Bericht OS L",#N/A,FALSE,"DB"}</definedName>
    <definedName name="wrn.Bericht._.OS._.T." hidden="1">{#N/A,#N/A,FALSE,"OS T";"Bericht OS T",#N/A,FALSE,"DB"}</definedName>
    <definedName name="wrn.Bericht._.Q." hidden="1">{#N/A,#N/A,FALSE,"Q";"Bericht Q",#N/A,FALSE,"DB"}</definedName>
    <definedName name="wrn.Bericht._.STA." hidden="1">{#N/A,#N/A,FALSE,"STA";"Bericht STA",#N/A,FALSE,"DB"}</definedName>
    <definedName name="wrn.Bericht._.TF." hidden="1">{"TF",#N/A,FALSE,"la september";#N/A,#N/A,FALSE,"diagramm tf"}</definedName>
    <definedName name="wrn.Bericht._.TF.1a" hidden="1">{"TF",#N/A,FALSE,"la september";#N/A,#N/A,FALSE,"diagramm tf"}</definedName>
    <definedName name="wrn.Bericht._.TM." hidden="1">{"TM",#N/A,FALSE,"la september";#N/A,#N/A,FALSE,"diagramm tm"}</definedName>
    <definedName name="wrn.Bericht._.TM.1a" hidden="1">{"TM",#N/A,FALSE,"la september";#N/A,#N/A,FALSE,"diagramm tm"}</definedName>
    <definedName name="wrn.Bericht._.VV." hidden="1">{#N/A,#N/A,FALSE,"VV";"Bericht VV",#N/A,FALSE,"DB"}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rtungD.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hko." hidden="1">{"bhv1",#N/A,FALSE,"A";"bhv2",#N/A,FALSE,"A";"bhv4",#N/A,FALSE,"A";"bhv3",#N/A,FALSE,"A"}</definedName>
    <definedName name="wrn.bhvkd." hidden="1">{"bkod1",#N/A,FALSE,"A";"bokd2",#N/A,FALSE,"A";"bokd3",#N/A,FALSE,"A";"bkod4",#N/A,FALSE,"A";"bokd5",#N/A,FALSE,"A";"bokd6",#N/A,FALSE,"A";"bokd7",#N/A,FALSE,"A"}</definedName>
    <definedName name="wrn.BidCo.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lanzen_GuV_Memo.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ilanzplan." hidden="1">{#N/A,#N/A,FALSE,"Deckblatt Bilanz";#N/A,#N/A,FALSE,"Bilanz";#N/A,#N/A,FALSE,"GuV";#N/A,#N/A,FALSE,"Cash-flow-Rechnung";#N/A,#N/A,FALSE,"Berechnung Zinsergebnis";#N/A,#N/A,FALSE,"Berechnung Rückstellungen";#N/A,#N/A,FALSE,"Berechnung sonstige Vbdl.";#N/A,#N/A,FALSE,"Wertentwicklung";#N/A,#N/A,FALSE,"Annahmen"}</definedName>
    <definedName name="wrn.billbook." hidden="1">{#N/A,#N/A,FALSE,"FIRG96";#N/A,#N/A,FALSE,"FIRG96_2";#N/A,#N/A,FALSE,"FIRG96_3";#N/A,#N/A,FALSE,"FIRG96_4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kof." hidden="1">{"bkf1",#N/A,FALSE,"A";"bfk2",#N/A,FALSE,"A";"bfk3",#N/A,FALSE,"A";"bfk4",#N/A,FALSE,"A";"bfk5",#N/A,FALSE,"A";"bfk6",#N/A,FALSE,"A";"bfk7",#N/A,FALSE,"A";"bfk8",#N/A,FALSE,"A";"bfk9",#N/A,FALSE,"A"}</definedName>
    <definedName name="wrn.BL." hidden="1">{"BL2000",#N/A,FALSE,"BL2000"}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Book." hidden="1">{#N/A,#N/A,FALSE,"COVER PAGE";#N/A,#N/A,FALSE,"IS by Q";#N/A,#N/A,FALSE,"IS";#N/A,#N/A,FALSE,"BS-A";#N/A,#N/A,FALSE,"BS-L &amp; E";#N/A,#N/A,FALSE,"Cash Flow";#N/A,#N/A,FALSE,"Subs";#N/A,#N/A,FALSE,"Subs Pre Pay";#N/A,#N/A,FALSE,"IS ISP";#N/A,#N/A,FALSE,"Subs ISP";#N/A,#N/A,FALSE," IS ISP split";#N/A,#N/A,FALSE,"Covenants"}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ook." hidden="1">{#N/A,#N/A,FALSE,"FIRG96";#N/A,#N/A,FALSE,"FIRG96_2";#N/A,#N/A,FALSE,"FIRG96_3";#N/A,#N/A,FALSE,"FIRG96_4";#N/A,#N/A,FALSE,"FIRG Exec";#N/A,#N/A,FALSE,"Sys Arch";#N/A,#N/A,FALSE,"RETEX";#N/A,#N/A,FALSE,"RETEX2";#N/A,#N/A,FALSE,"RETEX3";#N/A,#N/A,FALSE,"RETEX4";#N/A,#N/A,FALSE,"EMS";#N/A,#N/A,FALSE,"EMS2";#N/A,#N/A,FALSE,"EMS3";#N/A,#N/A,FALSE,"EMS4";#N/A,#N/A,FALSE,"Q496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GUIDE.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lan." hidden="1">{#N/A,#N/A,FALSE,"F_Plan";#N/A,#N/A,FALSE,"Parameter"}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.com." hidden="1">{#N/A,#N/A,FALSE,"Summary (A)";#N/A,#N/A,FALSE,"DCF (B-1)";#N/A,#N/A,FALSE,"WACC (B-2)";#N/A,#N/A,FALSE,"Web Comps (B-3)";#N/A,#N/A,FALSE,"Web Approach (C-1)";#N/A,#N/A,FALSE,"Recnt Trans (D)";#N/A,#N/A,FALSE,"Inc. Stmt Scen 1(E-1,E-2)";#N/A,#N/A,FALSE,"Fixed Assets (E-3)";#N/A,#N/A,FALSE,"Venture Cap (F)";#N/A,#N/A,FALSE,"Control (G)"}</definedName>
    <definedName name="wrn.BS_ALL." hidden="1">{"BS","id_9000",FALSE,"BS";"BS","id_7007",FALSE,"BS"}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{#N/A,#N/A,TRUE,"Sheet1";#N/A,#N/A,TRUE,"assumptions";#N/A,#N/A,TRUE,"p&amp;l";#N/A,#N/A,TRUE,"P&amp;L - MKD";#N/A,#N/A,TRUE,"sales cos";#N/A,#N/A,TRUE,"expenses";#N/A,#N/A,TRUE,"LAB PACK NOTE";#N/A,#N/A,TRUE,"Salaries";#N/A,#N/A,TRUE,"Capex"}</definedName>
    <definedName name="wrn.Budget._.1995." hidden="1">{"budget95",#N/A,TRUE,"Tabelle1";"Tab1",#N/A,TRUE,"Tabelle2"}</definedName>
    <definedName name="wrn.budget._.balance._.sheet." hidden="1">{"bugdet992000 balance sheet",#N/A,FALSE,"Celtel alternative 6"}</definedName>
    <definedName name="wrn.Budget._.Book._.Format." hidden="1">{"Ratios",#N/A,FALSE,"Management Accounts";"I &amp; E Summary BB",#N/A,FALSE,"Management Accounts";"I &amp; E Turnover BB",#N/A,FALSE,"Management Accounts";"I &amp; E Op Costs 1 BB",#N/A,FALSE,"Management Accounts";"I &amp; E Op Costs 2 BB",#N/A,FALSE,"Management Accounts";"I &amp; E Sales BB",#N/A,FALSE,"Management Accounts";"I &amp; E Interest BB",#N/A,FALSE,"Management Accounts";"Cash Flow",#N/A,FALSE,"Management Accounts";"Dev Exp",#N/A,FALSE,"Management Accounts";"Dev SHG",#N/A,FALSE,"Management Accounts";"I &amp; E F &amp; A BB",#N/A,FALSE,"Management Accounts"}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._.with._.LTM." hidden="1">{"I &amp; E Summary LTM",#N/A,FALSE,"Management Accounts";"I &amp; E Turnover LTM",#N/A,FALSE,"Management Accounts";"I &amp; E Op Costs 1 LTM",#N/A,FALSE,"Management Accounts";"I &amp; E Op Costs 2 LTM",#N/A,FALSE,"Management Accounts";"I &amp; E Sales LTM",#N/A,FALSE,"Management Accounts";"I &amp; E Interest LTM",#N/A,FALSE,"Management Accounts";"I &amp; E F &amp; A LTM",#N/A,FALSE,"Management Accounts"}</definedName>
    <definedName name="wrn.Budsjett._.halvår." hidden="1">{#N/A,#N/A,FALSE,"PrintH"}</definedName>
    <definedName name="wrn.budsjett._.halvår1" hidden="1">{#N/A,#N/A,FALSE,"PrintH"}</definedName>
    <definedName name="wrn.Budsjett._.periodis._.pr._.mnd." hidden="1">{#N/A,#N/A,FALSE,"Sheet2"}</definedName>
    <definedName name="wrn.Budsjett._.periodisert._.pr._.mnd._.og._.kvart._.akk." hidden="1">{#N/A,#N/A,FALSE,"PrintM"}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RDEN." hidden="1">{"Burden (burden)",#N/A,FALSE,"burden"}</definedName>
    <definedName name="wrn.burdens" hidden="1">{"Burden (burden)",#N/A,FALSE,"burden"}</definedName>
    <definedName name="wrn.Business._.Case.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Plan." hidden="1">{#N/A,#N/A,TRUE,"Deckblatt";#N/A,#N/A,TRUE,"Bilanz";#N/A,#N/A,TRUE,"GuV";#N/A,#N/A,TRUE,"Bilanz+GuV Erläuterungen";#N/A,#N/A,TRUE,"Umsatz";#N/A,#N/A,TRUE,"Umsatz Erläuterungen";#N/A,#N/A,TRUE,"Personal";#N/A,#N/A,TRUE,"Personal Erläuterungen";#N/A,#N/A,TRUE,"Anlagen";#N/A,#N/A,TRUE,"Anlagen Erläuterungen";#N/A,#N/A,TRUE,"Berechnung Rückstellungen";#N/A,#N/A,TRUE,"Berechnung sonstige Vbdl.";#N/A,#N/A,TRUE,"Rückst.+Vbdl. Erläuterungen";#N/A,#N/A,TRUE,"Cash-flow-Rechnung";#N/A,#N/A,TRUE,"Berechnung Zinsergebnis";#N/A,#N/A,TRUE,"Berechnung WACC";#N/A,#N/A,TRUE,"Wertentwicklung"}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1._.FY9798Totals._.var._.only." hidden="1">{"FY97Total var",#N/A,FALSE,"FY97 - Total";"FY98Total var",#N/A,FALSE,"FY98 - Total"}</definedName>
    <definedName name="wrn.c2._.FY97Q1234._.var._.only." hidden="1">{"FY97Q1 var",#N/A,FALSE,"FY97 - Q1";"FY97Q2 var",#N/A,FALSE,"FY97 - Q2";"FY97Q3 var",#N/A,FALSE,"FY97 - Q3";"FY97Q4 var",#N/A,FALSE,"FY97 - Q4"}</definedName>
    <definedName name="wrn.c3._.FY98Q1234._.var._.only." hidden="1">{"FY98Q1 var",#N/A,FALSE,"FY98 - Q1";"FY98Q2 var",#N/A,FALSE,"FY98 - Q2";"FY98Q3 var",#N/A,FALSE,"FY98 - Q3";"FY98Q4 var",#N/A,FALSE,"FY98 - Q4"}</definedName>
    <definedName name="wrn.CAG." hidden="1">{#N/A,#N/A,FALSE,"CAG"}</definedName>
    <definedName name="wrn.Call.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ll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pex1." hidden="1">{"Capex1",#N/A,FALSE,"Capex"}</definedName>
    <definedName name="wrn.Capex2." hidden="1">{"Capex2",#N/A,FALSE,"Capex"}</definedName>
    <definedName name="wrn.Capex3." hidden="1">{"Capex3",#N/A,FALSE,"Capex"}</definedName>
    <definedName name="wrn.capital." hidden="1">{"Capital",#N/A,FALSE,"capital"}</definedName>
    <definedName name="wrn.CAPITAL._.LEASES." hidden="1">{#N/A,#N/A,FALSE,"NN-1 Capital Leases"}</definedName>
    <definedName name="wrn.capital_depr." hidden="1">{"capx97",#N/A,FALSE,"Capital";"capx98",#N/A,FALSE,"Capital"}</definedName>
    <definedName name="wrn.capital1" hidden="1">{"Capital",#N/A,FALSE,"capital"}</definedName>
    <definedName name="wrn.capitalq" hidden="1">{"Capital",#N/A,FALSE,"capital"}</definedName>
    <definedName name="wrn.capitalw" hidden="1">{"Capital",#N/A,FALSE,"capital"}</definedName>
    <definedName name="wrn.Cardiovasculars." hidden="1">{#N/A,#N/A,FALSE,"Card";#N/A,#N/A,FALSE,"Prav";#N/A,#N/A,FALSE,"Irbe";#N/A,#N/A,FALSE,"Plavix";#N/A,#N/A,FALSE,"Capt";#N/A,#N/A,FALSE,"Fosi"}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{#N/A,#N/A,FALSE,"Layout Cash Flow"}</definedName>
    <definedName name="wrn.cash._.flow._.nov." hidden="1">{"scf",#N/A,TRUE,"CYTD CF Nov";"direct method",#N/A,TRUE,"CYTD CF Nov";"investments",#N/A,TRUE,"CYTD CF Nov";"indirect",#N/A,TRUE,"CYTD CF Nov"}</definedName>
    <definedName name="wrn.cash._.flow._.Oct." hidden="1">{"indirect",#N/A,FALSE,"CYTD CF Oct";"direct method",#N/A,FALSE,"CYTD CF Oct";"scf",#N/A,FALSE,"CYTD CF Oct";"investments",#N/A,FALSE,"CYTD CF Oct";"invest month",#N/A,FALSE,"CYTD CF Oct"}</definedName>
    <definedName name="wrn.Cash._.Flow._.only." hidden="1">{"print area 10yr cash flow",#N/A,FALSE,"TICA_EC"}</definedName>
    <definedName name="wrn.Cash._.Plan." hidden="1">{"cash plan",#N/A,FALSE,"fccashflow"}</definedName>
    <definedName name="wrn.CASH._.REPORT.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wrn.cash.huh" hidden="1">{"investments",#N/A,FALSE,"CYTD CF Oct";"invest month",#N/A,FALSE,"CYTD CF Oct";"scf",#N/A,FALSE,"CYTD CF Oct";"direct method",#N/A,FALSE,"CYTD CF Oct";"indirect",#N/A,FALSE,"CYTD CF Oct"}</definedName>
    <definedName name="wrn.cashflow._.Dec." hidden="1">{"investments",#N/A,FALSE,"CY Invmt Dec99";"scf",#N/A,FALSE,"CY Invmt Dec99";"direct method",#N/A,FALSE,"CY Invmt Dec99";"indirect",#N/A,FALSE,"CY Invmt Dec99"}</definedName>
    <definedName name="wrn.cashflow._.mar2000." hidden="1">{"investments",#N/A,FALSE,"CY CF Mar00";"scf",#N/A,FALSE,"CY CF Mar00";"direct method",#N/A,FALSE,"CY CF Mar00";"indirect",#N/A,FALSE,"CY CF Mar00"}</definedName>
    <definedName name="wrn.CashFlowGermanGAAP2000_2009." hidden="1">{"CFGGAAP1a",#N/A,FALSE,"CF G GAAP"}</definedName>
    <definedName name="wrn.CashFlowGermanGAAP2010_2019." hidden="1">{"CFGGAAP2a",#N/A,FALSE,"CF G GAAP"}</definedName>
    <definedName name="wrn.CashFlowUSGAAP2000_2009." hidden="1">{"CFUSGAAP1a",#N/A,FALSE,"CF US GAAP"}</definedName>
    <definedName name="wrn.CashFlowUSGAAP2009_2019." hidden="1">{"CFUSGAAP2a",#N/A,FALSE,"CF US GAAP"}</definedName>
    <definedName name="wrn.cc." hidden="1">{#N/A,#N/A,FALSE,"1. PTI Ziele";#N/A,#N/A,FALSE,"2. Zielkatalog ";#N/A,#N/A,FALSE,"3. Masterterminplan"}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IL._.FC.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wrn.Central._.Nervous._.System." hidden="1">{#N/A,#N/A,FALSE,"CNS";#N/A,#N/A,FALSE,"Serz";#N/A,#N/A,FALSE,"Ace"}</definedName>
    <definedName name="wrn.CESD._.PERFORMANCE." hidden="1">{#N/A,#N/A,FALSE,"CUSTOM";#N/A,#N/A,FALSE,"cesd cust";#N/A,#N/A,FALSE,"PRODUCT";#N/A,#N/A,FALSE,"cesd family"}</definedName>
    <definedName name="wrn.CFGGAAPMSDW." hidden="1">{"CFGGAAP1",#N/A,FALSE,"P&amp;L G GAAP";"CFGGAAP2",#N/A,FALSE,"P&amp;L G GAAP"}</definedName>
    <definedName name="wrn.CFSModel." hidden="1">{"CFSModel",#N/A,FALSE,"CFS"}</definedName>
    <definedName name="wrn.CFTRENDS." hidden="1">{#N/A,#N/A,FALSE,"OMM III";#N/A,#N/A,FALSE,"1995 PLAN";#N/A,#N/A,FALSE,"1995 TARGET";#N/A,#N/A,FALSE,"1995 ADJUSTED"}</definedName>
    <definedName name="wrn.CHARLIE." hidden="1">{#N/A,#N/A,FALSE,"Key No's YTD";#N/A,#N/A,FALSE,"Key No's Disc.";#N/A,#N/A,FALSE,"cr,br,pbt,cost by unit YTD";#N/A,#N/A,FALSE,"cr,br,pbt,cost by unit DISC";#N/A,#N/A,FALSE,"Bal Sheet 457";#N/A,#N/A,FALSE,"Cost Analysis - DT";#N/A,#N/A,FALSE,"Cost Analysis - DC";#N/A,#N/A,FALSE,"Cost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emicals." hidden="1">{"PnL",#N/A,FALSE,"Chem P&amp;L";"Responsibility",#N/A,FALSE,"Chem P&amp;L";"Cost Control",#N/A,FALSE,"Chem P&amp;L"}</definedName>
    <definedName name="wrn.CHESAPEAKE." hidden="1">{"CASHFLOW",#N/A,FALSE,"CHESAPEA";"ASSETVALUE",#N/A,FALSE,"CHESAPEA";"DATA",#N/A,FALSE,"CHESAPEA";"INCOME",#N/A,FALSE,"CHESAPEA"}</definedName>
    <definedName name="wrn.ciao." hidden="1">{#N/A,#N/A,TRUE,"coll"}</definedName>
    <definedName name="wrn.ciao._1" hidden="1">{#N/A,#N/A,TRUE,"coll"}</definedName>
    <definedName name="wrn.ciao._2" hidden="1">{#N/A,#N/A,TRUE,"coll"}</definedName>
    <definedName name="wrn.Cider." hidden="1">{#N/A,#N/A,FALSE,"Cider Segment";#N/A,#N/A,FALSE,"Bulmers";#N/A,#N/A,FALSE,"Ritz";#N/A,#N/A,FALSE,"Stag";#N/A,#N/A,FALSE,"Cider Others"}</definedName>
    <definedName name="wrn.CIVMARKBUD96." hidden="1">{"CIVBUD96",#N/A,FALSE,"EVOLCIV1"}</definedName>
    <definedName name="wrn.cl00." hidden="1">{#N/A,#N/A,TRUE,"ergebnis"}</definedName>
    <definedName name="wrn.clearing" hidden="1">{"CLEARING",#N/A,FALSE,"clearing"}</definedName>
    <definedName name="wrn.clearing." hidden="1">{"CLEARING",#N/A,FALSE,"clearing"}</definedName>
    <definedName name="wrn.clearing1" hidden="1">{"CLEARING",#N/A,FALSE,"clearing"}</definedName>
    <definedName name="wrn.clearing2" hidden="1">{"CLEARING",#N/A,FALSE,"clearing"}</definedName>
    <definedName name="WRN.clearing3" hidden="1">{"CLEARING",#N/A,FALSE,"clearing"}</definedName>
    <definedName name="wrn.clearing4" hidden="1">{"CLEARING",#N/A,FALSE,"clearing"}</definedName>
    <definedName name="wrn.client." hidden="1">{"multiple",#N/A,FALSE,"client";"margins",#N/A,FALSE,"client";"data",#N/A,FALSE,"client"}</definedName>
    <definedName name="wrn.Client._.Process._.Report." hidden="1">{#N/A,#N/A,FALSE,"Renewals In Process";#N/A,#N/A,FALSE,"New Clients In Process";#N/A,#N/A,FALSE,"Completed New Clients";#N/A,#N/A,FALSE,"Completed Renewals"}</definedName>
    <definedName name="wrn.Client._.report." hidden="1">{"Deal information sheet",#N/A,TRUE,"MBOco";"Projected P and L Accounts",#N/A,TRUE,"MBOco";"Projected Balance Sheet",#N/A,TRUE,"MBOco";"Projected Cash Flows",#N/A,TRUE,"MBOco"}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ating." hidden="1">{#N/A,#N/A,FALSE,"Coating"}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ision._.ejecutiva._.mayo._.98.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MISSION." hidden="1">{"FORM17",#N/A,FALSE,"Commission1";"FORM17.1",#N/A,FALSE,"Commission2"}</definedName>
    <definedName name="wrn.Committee._.Bid._.Report." hidden="1">{"South East Committee",#N/A,FALSE,"Dev Panel Cut Report";"London Committee",#N/A,FALSE,"Dev Panel Cut Report"}</definedName>
    <definedName name="wrn.COMNUS." hidden="1">{"COMNUS2000",#N/A,FALSE,"BL2000"}</definedName>
    <definedName name="wrn.Comp._.and._.Prices." hidden="1">{#N/A,#N/A,FALSE,"comp";#N/A,#N/A,FALSE,"Alpha";#N/A,#N/A,FALSE,"Hi";#N/A,#N/A,FALSE,"Lo";#N/A,#N/A,FALSE,"Mkt. Cap";#N/A,#N/A,FALSE,"Categ."}</definedName>
    <definedName name="wrn.COMPANY." hidden="1">{"REP1",#N/A,FALSE,"ריכוז";"REP2",#N/A,FALSE,"מפורט1";"REP3",#N/A,FALSE,"מפורט1";"REP4",#N/A,FALSE,"מפורט2";"REP5",#N/A,FALSE,"מפורט2";"REP6",#N/A,FALSE,"מפורט2"}</definedName>
    <definedName name="wrn.compare." hidden="1">{"page1",#N/A,FALSE,"Temp";"page2",#N/A,FALSE,"Temp";"page3",#N/A,FALSE,"Temp";"page4",#N/A,FALSE,"Temp";"page5",#N/A,FALSE,"Temp";"page6",#N/A,FALSE,"Temp"}</definedName>
    <definedName name="wrn.compare.s" hidden="1">{"page1",#N/A,FALSE,"Temp";"page2",#N/A,FALSE,"Temp";"page3",#N/A,FALSE,"Temp";"page4",#N/A,FALSE,"Temp";"page5",#N/A,FALSE,"Temp";"page6",#N/A,FALSE,"Temp"}</definedName>
    <definedName name="wrn.COMPARISON." hidden="1">{"COMPARISON",#N/A,FALSE,"Sheet1"}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JPN." hidden="1">{"COMJPN2000",#N/A,FALSE,"BL2000"}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 hidden="1">{#N/A,#N/A,FALSE,"J-CAR";#N/A,#N/A,FALSE,"gmx-130";#N/A,#N/A,FALSE,"d-186sable";#N/A,#N/A,FALSE,"savana";#N/A,#N/A,FALSE,"d-186taurus";#N/A,#N/A,FALSE,"hb dn";#N/A,#N/A,FALSE,"dakota"}</definedName>
    <definedName name="wrn.comps." hidden="1">{"comps",#N/A,FALSE,"comps";"notes",#N/A,FALSE,"comps"}</definedName>
    <definedName name="wrn.Comps1_Printing." hidden="1">{"comps1_1",#N/A,FALSE,"Comps1";"comps1_2",#N/A,FALSE,"Comps1";"comps1_3",#N/A,FALSE,"Comps1";"comps1_4",#N/A,FALSE,"Comps1";"comps1_5",#N/A,FALSE,"Comps1"}</definedName>
    <definedName name="wrn.Comps2_Printing." hidden="1">{"comps2_1",#N/A,FALSE,"Comps2";"comps2_2",#N/A,FALSE,"Comps2";"comps2_3",#N/A,FALSE,"Comps2";"comps2_4",#N/A,FALSE,"Comps2";"comps2_5",#N/A,FALSE,"Comps2"}</definedName>
    <definedName name="wrn.comsat_compco." hidden="1">{"page1",#N/A,FALSE,"comsat";"page2",#N/A,FALSE,"comsat";"summary",#N/A,FALSE,"comsat"}</definedName>
    <definedName name="wrn.Con_Fin_Stmts." hidden="1">{"ConInc",#N/A,FALSE,"FinStmt";"ConBal",#N/A,FALSE,"FinStmt";"ConCash",#N/A,FALSE,"FinStmt"}</definedName>
    <definedName name="wrn.Condensed._.report." hidden="1">{"London cttee condensed",#N/A,FALSE,"Dev Panel Cut Report";"South East cttee condensed",#N/A,FALSE,"Dev Panel Cut Report"}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ted." hidden="1">{"income",#N/A,FALSE,"CONSOLIDATED";"value",#N/A,FALSE,"CONSOLIDATED"}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reports." hidden="1">{#N/A,#N/A,FALSE,"INDEX - CON.";#N/A,#N/A,FALSE,"A - CON. BALANCE SHEET";#N/A,#N/A,FALSE,"B - CON. INCOME STATEMENT - YTD";#N/A,#N/A,FALSE,"B - CON. MONTH INCOME STATEMENT";#N/A,#N/A,FALSE,"C - CON. CASHFLOW STATEMENT ";#N/A,#N/A,FALSE,"D - CON. CUSTOMERS STATEMENT ";#N/A,#N/A,FALSE,"E - CON. SALES STATEMENT";#N/A,#N/A,FALSE,"F - CON. HEADCOUNT SCHEDULE ";#N/A,#N/A,FALSE,"G - CON. BANKS OBLIGO STATUS";#N/A,#N/A,FALSE,"H - CON. SALES BY UNITS";#N/A,#N/A,FALSE,"I - CON. INVENTORY REPORT";#N/A,#N/A,FALSE,"P&amp;L VS Budget"}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ents5" hidden="1">{#N/A,#N/A,FALSE,"Table of Contents"}</definedName>
    <definedName name="wrn.contents7" hidden="1">{#N/A,#N/A,FALSE,"Table of Contents"}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" hidden="1">{#N/A,#N/A,FALSE,"Contribution Analysis"}</definedName>
    <definedName name="wrn.CONTROL." hidden="1">{"CONTROL",#N/A,FALSE,"REVENUE AND GM "}</definedName>
    <definedName name="wrn.cooper." hidden="1">{#N/A,#N/A,TRUE,"Pro Forma";#N/A,#N/A,TRUE,"PF_Bal";#N/A,#N/A,TRUE,"PF_INC";#N/A,#N/A,TRUE,"CBE";#N/A,#N/A,TRUE,"SWK"}</definedName>
    <definedName name="wrn.Corporate." hidden="1">{"Corporate",#N/A,FALSE,"Sorted by database"}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t._.Center._.Opex.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wrn.COST._.OF._.SALES." hidden="1">{"COST OF SALES",#N/A,FALSE,"C.O.SALES"}</definedName>
    <definedName name="wrn.Cost._.Summary.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._.Summary1.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os." hidden="1">{"Costo1",#N/A,FALSE,"Costo Estimado";"Costo2",#N/A,FALSE,"Costo Estimado";"Costos3",#N/A,FALSE,"Costo Estimado";"Costo4",#N/A,FALSE,"Costo Estimado"}</definedName>
    <definedName name="wrn.cotop." hidden="1">{"ReportTop",#N/A,FALSE,"report top"}</definedName>
    <definedName name="wrn.Covenants." hidden="1">{"Summary",#N/A,FALSE,"Covenants";"Detailed summary",#N/A,FALSE,"Covenants"}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 Summary"}</definedName>
    <definedName name="wrn.crm0299." hidden="1">{"en FRF",#N/A,FALSE,"fév99";"en €uros",#N/A,FALSE,"fév99"}</definedName>
    <definedName name="wrn.crm0399." hidden="1">{"en FRF",#N/A,FALSE,"mars99";"en €uros",#N/A,FALSE,"mars99"}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._.Flash._.Test." hidden="1">{#N/A,#N/A,FALSE,"Performance Flash Report"}</definedName>
    <definedName name="wrn.CSC." hidden="1">{"page1",#N/A,TRUE,"CSC";"page2",#N/A,TRUE,"CSC"}</definedName>
    <definedName name="wrn.CSC2" hidden="1">{"page1",#N/A,TRUE,"CSC";"page2",#N/A,TRUE,"CSC"}</definedName>
    <definedName name="wrn.csc2." hidden="1">{#N/A,#N/A,FALSE,"ORIX CSC"}</definedName>
    <definedName name="wrn.csc3." hidden="1">{#N/A,#N/A,FALSE,"ORIX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v." hidden="1">{#N/A,#N/A,FALSE,"1. PTI Ziele";#N/A,#N/A,FALSE,"2. Zielkatalog ";#N/A,#N/A,FALSE,"3. Masterterminplan"}</definedName>
    <definedName name="wrn.cy._.budget.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ily." hidden="1">{#N/A,#N/A,FALSE,"Input";#N/A,#N/A,FALSE,"BBC";#N/A,#N/A,FALSE,"Sch A";#N/A,#N/A,FALSE,"Sch B";#N/A,#N/A,FALSE,"Ineligible"}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ve." hidden="1">{#N/A,#N/A,FALSE,"Income";#N/A,#N/A,FALSE,"Natural";#N/A,#N/A,FALSE,"Admin";#N/A,#N/A,FALSE,"Misc"}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{"DCF1",#N/A,FALSE,"SIERRA DCF";"MATRIX1",#N/A,FALSE,"SIERRA DCF"}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_FCF." hidden="1">{#N/A,#N/A,TRUE,"FCF_10Yr";#N/A,#N/A,TRUE,"FCF_15Yr"}</definedName>
    <definedName name="wrn.DCF_Terminal_Value_qchm." hidden="1">{"qchm_dcf",#N/A,FALSE,"QCHMDCF2";"qchm_terminal",#N/A,FALSE,"QCHMDCF2"}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GermanGAAP2000_2009." hidden="1">{"DebtGGAAP1",#N/A,FALSE,"P&amp;L G GAAP"}</definedName>
    <definedName name="wrn.DebtGermanGAAP2010_2019." hidden="1">{"DebtGGAAP2",#N/A,FALSE,"P&amp;L G GAAP"}</definedName>
    <definedName name="wrn.DebtUSGAAP2000_2009." hidden="1">{"DebtUSGAAP1",#N/A,FALSE,"P&amp;L US GAAP"}</definedName>
    <definedName name="wrn.DebtUSGAAP2010_2019." hidden="1">{"DebtUSGAAP2",#N/A,FALSE,"P&amp;L US GAAP"}</definedName>
    <definedName name="wrn.DECEMBER." hidden="1">{"DECEMBER",#N/A,FALSE,"Q2"}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P." hidden="1">{"DEP",#N/A,FALSE,"A"}</definedName>
    <definedName name="wrn.depmatrix." hidden="1">{"depmatrix",#N/A,FALSE,"DECATUR-DIMMIT"}</definedName>
    <definedName name="wrn.Depreciation." hidden="1">{"GAAP Deprec",#N/A,TRUE,"Financials";"Tax Deprec",#N/A,TRUE,"Financials"}</definedName>
    <definedName name="wrn.Dept._.Salaries." hidden="1">{"99-00 Chief Exec",#N/A,FALSE,"All";"99-00 Corp Serv",#N/A,FALSE,"All";"99-00 Fin Serv",#N/A,FALSE,"All";"99-00 Housing",#N/A,FALSE,"All";"99-00 Prop Serv",#N/A,FALSE,"All"}</definedName>
    <definedName name="wrn.Derek." hidden="1">{#N/A,#N/A,FALSE,"Transaction_Sum_debt_Stats";#N/A,#N/A,FALSE,"Earnings Impact";#N/A,#N/A,FALSE,"Sensitivity Table"}</definedName>
    <definedName name="wrn.Derek.2" hidden="1">{#N/A,#N/A,FALSE,"Transaction_Sum_debt_Stats";#N/A,#N/A,FALSE,"Earnings Impact";#N/A,#N/A,FALSE,"Sensitivity Table"}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ed._.Calculations." hidden="1">{"IncDetail",#N/A,FALSE,"Inc";"BalDetail",#N/A,FALSE,"Bal";"GCFDetail",#N/A,FALSE,"GCF";"RcDsDetail",#N/A,FALSE,"RcDs"}</definedName>
    <definedName name="wrn.Detailed._.P._.and._.L." hidden="1">{"P and L Detail Page 1",#N/A,FALSE,"Data";"P and L Detail Page 2",#N/A,FALSE,"Data"}</definedName>
    <definedName name="wrn.Details._.Budget." hidden="1">{"991TO",#N/A,FALSE,"Management Accounts";"992OPlist",#N/A,FALSE,"Management Accounts";"993SA",#N/A,FALSE,"Management Accounts";"994INT",#N/A,FALSE,"Management Accounts"}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iagramme_Gesamt." hidden="1">{#N/A,#N/A,FALSE,"diagramm tf";#N/A,#N/A,FALSE,"diagramm tm";#N/A,#N/A,FALSE,"diagramm tp";#N/A,#N/A,FALSE,"diagramm to";#N/A,#N/A,FALSE,"diagramm tq";#N/A,#N/A,FALSE,"diagramm te";#N/A,#N/A,FALSE,"diagramm gw";#N/A,#N/A,FALSE,"diagramm rest"}</definedName>
    <definedName name="wrn.Diagramme_Gesamt.1a" hidden="1">{#N/A,#N/A,FALSE,"diagramm tf";#N/A,#N/A,FALSE,"diagramm tm";#N/A,#N/A,FALSE,"diagramm tp";#N/A,#N/A,FALSE,"diagramm to";#N/A,#N/A,FALSE,"diagramm tq";#N/A,#N/A,FALSE,"diagramm te";#N/A,#N/A,FALSE,"diagramm gw";#N/A,#N/A,FALSE,"diagramm rest"}</definedName>
    <definedName name="wrn.Diebold._.1." hidden="1">{#N/A,#N/A,FALSE,"Allo SEC";#N/A,#N/A,FALSE,"Consid";#N/A,#N/A,FALSE,"BalSht";#N/A,#N/A,FALSE,"Customer List";#N/A,#N/A,FALSE,"WFIP";#N/A,#N/A,FALSE,"WC";#N/A,#N/A,FALSE,"FA_Dep";#N/A,#N/A,FALSE,"SUMMARY";#N/A,#N/A,FALSE,"Hardware";#N/A,#N/A,FALSE,"WRM";#N/A,#N/A,FALSE,"NWS";#N/A,#N/A,FALSE,"Embed. SW";#N/A,#N/A,FALSE,"WRM-IPRD";#N/A,#N/A,FALSE,"WinForm-IPRD";#N/A,#N/A,FALSE,"Sheet1"}</definedName>
    <definedName name="wrn.dil_anal.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lution." hidden="1">{#N/A,#N/A,FALSE,"FY 1997 (NR)";#N/A,#N/A,FALSE,"FY 1998 (NR)";#N/A,#N/A,FALSE,"Balance";#N/A,#N/A,FALSE,"Matrix (NR)"}</definedName>
    <definedName name="wrn.direct._.labor." hidden="1">{"direct labor",#N/A,FALSE,"labor";"direct labor1",#N/A,FALSE,"labor"}</definedName>
    <definedName name="wrn.direct.labore" hidden="1">{"direct labor",#N/A,FALSE,"labor";"direct labor1",#N/A,FALSE,"labor"}</definedName>
    <definedName name="wrn.Distribution." hidden="1">{#N/A,#N/A,FALSE,"Distribution"}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s." hidden="1">{#N/A,#N/A,TRUE,"DATA (2)";#N/A,#N/A,TRUE,"Material (2)";#N/A,#N/A,TRUE,"Labour (2)";#N/A,#N/A,TRUE,"LLPs (2)";#N/A,#N/A,TRUE,"Line labour (2)";#N/A,#N/A,TRUE,"DATA (3)";#N/A,#N/A,TRUE,"Material (3)";#N/A,#N/A,TRUE,"Build-up b to mature m (2)"}</definedName>
    <definedName name="wrn.document." hidden="1">{"consolidated",#N/A,FALSE,"Sheet1";"cms",#N/A,FALSE,"Sheet1";"fse",#N/A,FALSE,"Sheet1"}</definedName>
    <definedName name="wrn.document.1" hidden="1">{"comp",#N/A,FALSE,"SPEC";"footnotes",#N/A,FALSE,"SPEC"}</definedName>
    <definedName name="wrn.documentaero." hidden="1">{"comps2",#N/A,FALSE,"AERO";"footnotes",#N/A,FALSE,"AERO"}</definedName>
    <definedName name="wrn.documentaero.1" hidden="1">{"comps2",#N/A,FALSE,"AERO";"footnotes",#N/A,FALSE,"AERO"}</definedName>
    <definedName name="wrn.documenthand." hidden="1">{"comps",#N/A,FALSE,"HANDPACK";"footnotes",#N/A,FALSE,"HANDPACK"}</definedName>
    <definedName name="wrn.documenthand.1" hidden="1">{"comps",#N/A,FALSE,"HANDPACK";"footnotes",#N/A,FALSE,"HANDPACK"}</definedName>
    <definedName name="wrn.DOM." hidden="1">{"DOM",#N/A,FALSE,"A8CONTENT"}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wnstairs." hidden="1">{"histincome",#N/A,FALSE,"hyfins";"closing balance",#N/A,FALSE,"hyfins"}</definedName>
    <definedName name="wrn.DPI._.Summary." hidden="1">{#N/A,#N/A,TRUE,"Summary";#N/A,#N/A,TRUE,"Financials"}</definedName>
    <definedName name="wrn.Draft." hidden="1">{"Draft",#N/A,FALSE,"Feb-96"}</definedName>
    <definedName name="wrn.Dream._.Team." hidden="1">{#N/A,#N/A,FALSE,"Introduction";#N/A,#N/A,FALSE,"Structure"}</definedName>
    <definedName name="wrn.druck." hidden="1">{#N/A,#N/A,FALSE,"0Praemissen";#N/A,#N/A,FALSE,"3Modrech";#N/A,#N/A,FALSE,"4Modellkorrektur";#N/A,#N/A,FALSE,"5Rechnung";#N/A,#N/A,FALSE,"6Cash";#N/A,#N/A,FALSE,"7Renta"}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DITION._.ANNEXE." hidden="1">{"ANNEXE",#N/A,FALSE,"Annexe"}</definedName>
    <definedName name="wrn.EDITION._.DES._.TABLEAUX." hidden="1">{"BILAN PUB FRF",#N/A,FALSE,"Etats publiables FRF";"RESULTAT PUB FRF",#N/A,FALSE,"Etats publiables FRF";"DETAIL COMPTES DE BILAN",#N/A,FALSE,"Etats publiables FRF";"DETAIL RUBRIQUES BILAN",#N/A,FALSE,"Etats publiables FRF";"DETAIL COMPTE DE RESULTAT",#N/A,FALSE,"Etats publiables FRF";"CONTROLES",#N/A,FALSE,"Etats publiables FRF"}</definedName>
    <definedName name="wrn.EDITION._.GLOBALE._.DES._.DOCUMENTS." hidden="1">{"Bilan publiable FRF",#N/A,FALSE,"ETATS";"Résultat publiable FRF",#N/A,FALSE,"ETATS";"Balance",#N/A,FALSE,"ETATS";"Détail rubriques comptes de bilan",#N/A,FALSE,"ETATS";"Détail rubriques compte de résultat",#N/A,FALSE,"ETATS";"Controles",#N/A,FALSE,"ETATS"}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hidden="1">{"Eilbericht_UBA",#N/A,FALSE,"EB"}</definedName>
    <definedName name="wrn.eken" hidden="1">{#N/A,#N/A,FALSE,"ACQ_GRAPHS";#N/A,#N/A,FALSE,"T_1 GRAPHS";#N/A,#N/A,FALSE,"T_2 GRAPHS";#N/A,#N/A,FALSE,"COMB_GRAPHS"}</definedName>
    <definedName name="wrn.electron_compco." hidden="1">{"page1",#N/A,FALSE,"CWS";"page2",#N/A,FALSE,"CWS";"summary",#N/A,FALSE,"CWS"}</definedName>
    <definedName name="wrn.electron_wacc." hidden="1">{"WACC",#N/A,FALSE,"CWS"}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ployee._.Efficiency." hidden="1">{"Employee Efficiency",#N/A,FALSE,"Benchmarking"}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file.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ntire._.model." hidden="1">{"dcf_summary_value",#N/A,FALSE,"Assumptions";"dcf_discountedCF",#N/A,FALSE,"Assumptions";"dcf_terminalCF",#N/A,FALSE,"Assumptions";"dcf_terminal_value",#N/A,FALSE,"Assumptions";"dcf_implied_multiples",#N/A,FALSE,"Assumptions";"dcf_is_annual",#N/A,FALSE,"Assumptions";"dcf_is_annual_cs",#N/A,FALSE,"Assumptions";"dcf_is_annual_growth",#N/A,FALSE,"Assumptions";"dcf_is_quarter",#N/A,FALSE,"Assumptions";"dcf_is_quarter_cs",#N/A,FALSE,"Assumptions";"dcf_is_quarter_growth",#N/A,FALSE,"Assumptions";"dcf_bs_annual",#N/A,FALSE,"Assumptions";"dcf_bs_annual_cs",#N/A,FALSE,"Assumptions";"dcf_bs_annual_growth",#N/A,FALSE,"Assumptions";"dcf_cf_annual",#N/A,FALSE,"Assumptions";"dcf_ratios_1",#N/A,FALSE,"Assumptions";"dcf_ratios_2",#N/A,FALSE,"Assumptions";"dcf_ratios_3",#N/A,FALSE,"Assumptions";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;"historical_is_annual",#N/A,FALSE,"Assumptions";"historical_is_annual_cs",#N/A,FALSE,"Assumptions";"historical_is_annual_growth",#N/A,FALSE,"Assumptions";"historical_is_quarter",#N/A,FALSE,"Assumptions";"historical_is_quarter_cs",#N/A,FALSE,"Assumptions";"historical_is_quarter_growth",#N/A,FALSE,"Assumptions";"historical_bs_annual",#N/A,FALSE,"Assumptions";"historical_bs_annaul_cs",#N/A,FALSE,"Assumptions";"historical_bs_annaul_growth",#N/A,FALSE,"Assumptions";"historical_bs_quarter",#N/A,FALSE,"Assumptions";"historical_bs_quarter_cs",#N/A,FALSE,"Assumptions";"historical_bs_quarter_growth",#N/A,FALSE,"Assumptions";"historical_cf",#N/A,FALSE,"Assumptions";"historical_ratios_1",#N/A,FALSE,"Assumptions";"historical_ratios_2",#N/A,FALSE,"Assumptions";"historical_ratios_3",#N/A,FALSE,"Assumptions";"hist_rev",#N/A,FALSE,"Assumptions";"hist_rev_growth",#N/A,FALSE,"Assumptions";"hist_exp",#N/A,FALSE,"Assumptions";"hist_exp_growth",#N/A,FALSE,"Assumptions";"historical_workcap",#N/A,FALSE,"Assumptions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O._.REPORT." hidden="1">{#N/A,#N/A,FALSE,"INC";#N/A,#N/A,FALSE,"BAL SHEET";#N/A,#N/A,FALSE,"RP_INC";#N/A,#N/A,FALSE,"RP_BS";#N/A,#N/A,FALSE,"F_A";#N/A,#N/A,FALSE,"TAX"}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bericht_UBA." hidden="1">{"Ergebnisbericht_UBA",#N/A,FALSE,"MB"}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sum." hidden="1">{"execsum",#N/A,FALSE,"ExecSum";"finstatement",#N/A,FALSE,"Fin_St"}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hidden="1">{"Exp_qty",#N/A,FALSE,"Export";"Exp_sell",#N/A,FALSE,"Export";"Exp_misc",#N/A,FALSE,"Export"}</definedName>
    <definedName name="wrn.ExpCompSet." hidden="1">{"ExpCompSet",#N/A,FALSE,"Export Comp. Sets"}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." hidden="1">{"EXPORT",#N/A,FALSE,"A8CONTENT"}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B._.1._.TOTAL." hidden="1">{"FB1_T",#N/A,FALSE,"FAB 1"}</definedName>
    <definedName name="wrn.FAB._.2._.ADMIN._.EXP." hidden="1">{"FABMATERIALS",#N/A,FALSE,"WAFER FAB 2 EXPENSE"}</definedName>
    <definedName name="wrn.FAB._.2._.ENG._.EXP." hidden="1">{"FABENGINEERING",#N/A,FALSE,"WAFER FAB 2 EXPENSE"}</definedName>
    <definedName name="wrn.FAB._.2._.EQUIP._.SUP._.EXP." hidden="1">{"FABEQUIPSUPPORT",#N/A,FALSE,"WAFER FAB 2 EXPENSE"}</definedName>
    <definedName name="wrn.FAB._.2._.PROD._.EXP." hidden="1">{"FABPRODUCTION",#N/A,FALSE,"WAFER FAB 2 EXPENSE"}</definedName>
    <definedName name="wrn.FAB._.2._.PROD._.LINE._.EXP." hidden="1">{"FABPRODUCTLINE",#N/A,FALSE,"WAFER FAB 2 EXPENSE"}</definedName>
    <definedName name="wrn.FAB._.2._.SALARY._.REPORTS." hidden="1">{"SALFABENG",#N/A,FALSE,"WAFER FAB 2 EXPENSE";"SALFABMAT",#N/A,FALSE,"WAFER FAB 2 EXPENSE"}</definedName>
    <definedName name="wrn.FAB._.ONE._.3420." hidden="1">{"FB342O",#N/A,FALSE,"FAB 1"}</definedName>
    <definedName name="wrn.FAB._.ONE._.3430." hidden="1">{"FB343O",#N/A,FALSE,"FAB 1"}</definedName>
    <definedName name="wrn.Facturation." hidden="1">{"Factures - projets en cours",#N/A,FALSE,"Juin 99";"Factures -DVMD",#N/A,FALSE,"Juin 99";"Factures - projets terminés",#N/A,FALSE,"Juin 99"}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ar._.East._.Set." hidden="1">{"IS FE with Ratios",#N/A,FALSE,"Far East";"PF CF Far East",#N/A,FALSE,"Far East";"DCF Far East Matrix",#N/A,FALSE,"Far East"}</definedName>
    <definedName name="wrn.fb." hidden="1">{"AnnMarg",#N/A,FALSE,"FALCON";"Q",#N/A,FALSE,"Qtrs."}</definedName>
    <definedName name="wrn.FB3410." hidden="1">{"FB341O",#N/A,FALSE,"FAB 1"}</definedName>
    <definedName name="wrn.fcb" hidden="1">{"FCB_ALL",#N/A,FALSE,"FCB"}</definedName>
    <definedName name="wrn.FCB." hidden="1">{"FCB_ALL",#N/A,FALSE,"FCB"}</definedName>
    <definedName name="wrn.fcb2" hidden="1">{"FCB_ALL",#N/A,FALSE,"FCB"}</definedName>
    <definedName name="wrn.fdb1_Imprime_Print." hidden="1">{"fdb1_Rapport_Report",#N/A,FALSE,"Report"}</definedName>
    <definedName name="wrn.fdb2_print_rpt." hidden="1">{"fdb2_print",#N/A,FALSE,"Report"}</definedName>
    <definedName name="wrn.FE._.Sensitivity." hidden="1">{"Far East Top",#N/A,FALSE,"FE Model";"Far East Mid",#N/A,FALSE,"FE Model";"Far East Base",#N/A,FALSE,"FE Model"}</definedName>
    <definedName name="wrn.FEBRUARY." hidden="1">{"FEBRUARY",#N/A,FALSE,"Q3"}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Stmts_ALL." hidden="1">{"bs",#N/A,FALSE,"BS-Consol";"con all",#N/A,FALSE,"CON-ALL";"cf",#N/A,FALSE,"BS-Consol";"debt sve",#N/A,FALSE,"BS-Consol"}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" hidden="1">{"Final",#N/A,FALSE,"Feb-96"}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alysis." hidden="1">{"finana",#N/A,FALSE,"Fin"}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Databook." hidden="1">{#N/A,#N/A,FALSE,"Index";#N/A,#N/A,FALSE,"1.1";#N/A,#N/A,FALSE,"Scenario Summary"}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Output." hidden="1">{"P and L",#N/A,FALSE,"Financial Output";"Cashflow",#N/A,FALSE,"Financial Output";"Balance Sheet",#N/A,FALSE,"Financial Output"}</definedName>
    <definedName name="wrn.Financial._.Statements." hidden="1">{#N/A,#N/A,FALSE,"Income Statement";#N/A,#N/A,FALSE,"Calendarized PL_Current";#N/A,#N/A,FALSE,"Calendarized PL_AOP"}</definedName>
    <definedName name="wrn.Financial._.Statements._.and._.Schedules.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Update.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StatementsGGAAP.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USGAAP.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" hidden="1">{#N/A,"Five Year",FALSE,"Assumptions";#N/A,"Five Year",FALSE,"Annual Summary";#N/A,"Five Year",FALSE,"Quarterly Summary";#N/A,#N/A,FALSE,"IRR"}</definedName>
    <definedName name="wrn.five._.year._.history." hidden="1">{#N/A,#N/A,FALSE,"5yr.hist."}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xed._.assets.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la._.Cape._.Info._.Memo._.Reports." hidden="1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sh._.report?." hidden="1">{#N/A,#N/A,TRUE,"Flash";#N/A,#N/A,TRUE,"regional report"}</definedName>
    <definedName name="wrn.FOC._.Detail." hidden="1">{#N/A,#N/A,TRUE,"FOC_Product_Assumptions"}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ecasts." hidden="1">{#N/A,#N/A,FALSE,"Forecasts"}</definedName>
    <definedName name="wrn.FORM1." hidden="1">{#N/A,#N/A,FALSE,"COMP"}</definedName>
    <definedName name="wrn.FORM6C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s." hidden="1">{"formulas",#N/A,FALSE,"Key Indicators"}</definedName>
    <definedName name="wrn.Förster." hidden="1">{"GuVGmbH",#N/A,FALSE,"ratios";"BilanzGmbH",#N/A,FALSE,"ratios";"BilanzKG",#N/A,FALSE,"ratios";"GuVKG",#N/A,FALSE,"ratios"}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ront_Page." hidden="1">{"Front_Page",#N/A,FALSE,"Front Page"}</definedName>
    <definedName name="wrn.FSCT._.PCKG." hidden="1">{#N/A,#N/A,FALSE,"P&amp;L";#N/A,#N/A,FALSE,"Capital";#N/A,#N/A,FALSE,"Summary";#N/A,#N/A,FALSE,"VAR Rec";#N/A,#N/A,FALSE,"EBIT Rec"}</definedName>
    <definedName name="wrn.Full." hidden="1">{#N/A,#N/A,FALSE,"Cover";"outputs total",#N/A,FALSE,"Outputs"}</definedName>
    <definedName name="wrn.full._.document." hidden="1">{#N/A,#N/A,FALSE,"Header &amp; Contents";#N/A,#N/A,FALSE,"Section1 - Inv Smry";#N/A,#N/A,FALSE,"Section2 - Exec Smry";#N/A,#N/A,FALSE,"Section 3 - Cost Bdwn";#N/A,#N/A,FALSE,"Section 5 - Load &amp; Cap";#N/A,#N/A,FALSE,"Section 6 - Financial";#N/A,#N/A,FALSE,"Section 8 - Assumptions Summary";#N/A,#N/A,FALSE,"Section 9 - Local Signatures";#N/A,#N/A,FALSE,"Section 10 - Liberated Assets";#N/A,#N/A,FALSE,"Section 11 - Suppl Auth"}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.excl._.detailed._.schedules." hidden="1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2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Funnel._.Report." hidden="1">{#N/A,#N/A,FALSE,"funnel";#N/A,#N/A,FALSE,"AE Summary";#N/A,#N/A,FALSE,"Product Summary"}</definedName>
    <definedName name="wrn.FY00._.Summary." hidden="1">{"FY00",#N/A,FALSE,"Sheet1"}</definedName>
    <definedName name="wrn.FY01._.Target." hidden="1">{"FY01 TARGET",#N/A,FALSE,"Sheet1"}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_Model_Assumptions." hidden="1">{#N/A,#N/A,FALSE,"GenAssump"}</definedName>
    <definedName name="wrn.Geographic._.Trends." hidden="1">{"Geographic P1",#N/A,FALSE,"Division &amp; Geog"}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ausdruck.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wrn.Gesamtbericht." hidden="1">{#N/A,#N/A,FALSE,"Inhalt";#N/A,#N/A,FALSE,"Fach A";#N/A,#N/A,FALSE,"Fach A0";#N/A,#N/A,FALSE,"Fach A01";#N/A,#N/A,FALSE,"Fach B ";#N/A,#N/A,FALSE,"Fach B0";#N/A,#N/A,FALSE,"Fach B01";#N/A,#N/A,FALSE,"Fach B1";#N/A,#N/A,FALSE,"Fach B2";#N/A,#N/A,FALSE,"Fach B3";#N/A,#N/A,FALSE,"Fach B4";#N/A,#N/A,FALSE,"Fach C ";#N/A,#N/A,FALSE,"Fach C0";#N/A,#N/A,FALSE,"Fach C01";#N/A,#N/A,FALSE,"Fach C1";#N/A,#N/A,FALSE,"Fach C1A";#N/A,#N/A,FALSE,"Fach C1B-F";#N/A,#N/A,FALSE,"Fach C2";#N/A,#N/A,FALSE,"Fach C3";#N/A,#N/A,FALSE,"Fach C4";#N/A,#N/A,FALSE,"Fach C5";#N/A,#N/A,FALSE,"Fach C6";#N/A,#N/A,FALSE,"Fach C7";#N/A,#N/A,FALSE,"Fach C8";#N/A,#N/A,FALSE,"Fach D";#N/A,#N/A,FALSE,"Fach D0";#N/A,#N/A,FALSE,"Fach D01";#N/A,#N/A,FALSE,"Fach D1";#N/A,#N/A,FALSE,"Fach D2";#N/A,#N/A,FALSE,"Fach D3";#N/A,#N/A,FALSE,"Fach D4";#N/A,#N/A,FALSE,"Fach D5";#N/A,#N/A,FALSE,"Fach D6";#N/A,#N/A,FALSE,"Fach D7";#N/A,#N/A,FALSE,"Fach D8";#N/A,#N/A,FALSE,"Fach E";#N/A,#N/A,FALSE,"Fach E0";#N/A,#N/A,FALSE,"Fach E01";#N/A,#N/A,FALSE,"Fach E1";#N/A,#N/A,FALSE,"Fach E2";#N/A,#N/A,FALSE,"Fach E3 ";#N/A,#N/A,FALSE,"Fach E4";#N/A,#N/A,FALSE,"Fach E5";#N/A,#N/A,FALSE,"Fach E6";#N/A,#N/A,FALSE,"Fach E7";#N/A,#N/A,FALSE,"Fach F";#N/A,#N/A,FALSE,"Fach F0";#N/A,#N/A,FALSE,"Fach F01";#N/A,#N/A,FALSE,"Fach F1";#N/A,#N/A,FALSE,"Fach F2";#N/A,#N/A,FALSE,"Fach F3"}</definedName>
    <definedName name="wrn.Gesamtliste." hidden="1">{"TF",#N/A,FALSE,"la juli";"TM",#N/A,FALSE,"la juli";"TP/TL",#N/A,FALSE,"la juli";"TQ",#N/A,FALSE,"la juli";"TE",#N/A,FALSE,"la juli";"GW",#N/A,FALSE,"la juli";"ohne Zuordnung",#N/A,FALSE,"la juli"}</definedName>
    <definedName name="wrn.Gesamtliste.1a" hidden="1">{"TF",#N/A,FALSE,"la juli";"TM",#N/A,FALSE,"la juli";"TP/TL",#N/A,FALSE,"la juli";"TQ",#N/A,FALSE,"la juli";"TE",#N/A,FALSE,"la juli";"GW",#N/A,FALSE,"la juli";"ohne Zuordnung",#N/A,FALSE,"la juli"}</definedName>
    <definedName name="wrn.GIS." hidden="1">{#N/A,#N/A,FALSE,"GIS"}</definedName>
    <definedName name="wrn.GRANT._.SUMMARY." hidden="1">{#N/A,#N/A,FALSE,"SUMMARY";#N/A,#N/A,FALSE,"RECEIVABLE";"Report recd",#N/A,FALSE,"RECEIVED"}</definedName>
    <definedName name="wrn.Graph._.edition." hidden="1">{#N/A,#N/A,FALSE,"KPI-EMM-Graph";#N/A,#N/A,FALSE,"Cost Graph";#N/A,#N/A,FALSE,"Cash graph";#N/A,#N/A,FALSE,"Order Sales Graph"}</definedName>
    <definedName name="wrn.GRAPHS." hidden="1">{#N/A,#N/A,FALSE,"ACQ_GRAPHS";#N/A,#N/A,FALSE,"T_1 GRAPHS";#N/A,#N/A,FALSE,"T_2 GRAPHS";#N/A,#N/A,FALSE,"COMB_GRAPHS"}</definedName>
    <definedName name="wrn.Growth." hidden="1">{#N/A,#N/A,FALSE,"Rev Grwth";#N/A,#N/A,FALSE,"Op Inc Grwth";#N/A,#N/A,FALSE,"Net Grwth";#N/A,#N/A,FALSE,"EPS Growth"}</definedName>
    <definedName name="wrn.Grup" hidden="1">{"fleisch",#N/A,FALSE,"WG HK";"food",#N/A,FALSE,"WG HK";"hartwaren",#N/A,FALSE,"WG HK";"weichwaren",#N/A,FALSE,"WG HK"}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{"quarterly",#N/A,FALSE,"Income Statement New CPB";"annual",#N/A,FALSE,"Income Statement New CPB";"cash flow",#N/A,FALSE,"Cash Flow";"balance",#N/A,FALSE,"Balance Sheet";"seg",#N/A,FALSE,"New Segment Breakout"}</definedName>
    <definedName name="wrn.HEADCOUNT." hidden="1">{"HEADCOUNT",#N/A,FALSE,"labor"}</definedName>
    <definedName name="wrn.headcount5" hidden="1">{"HEADCOUNT",#N/A,FALSE,"labor"}</definedName>
    <definedName name="wrn.HEAT.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pótesis._.A." hidden="1">{#N/A,"Hipótesis A",FALSE,"desglose";#N/A,#N/A,FALSE,"p&amp;g";#N/A,#N/A,FALSE,"detallder+dob (A)";#N/A,#N/A,FALSE,"costotitulo(A)";#N/A,#N/A,FALSE,"costohora(A)"}</definedName>
    <definedName name="wrn.Hipótesis._.B." hidden="1">{#N/A,"Hipótesis B",FALSE,"desglose";#N/A,#N/A,FALSE,"p&amp;g";#N/A,#N/A,FALSE,"detallder+dob (B)";#N/A,#N/A,FALSE,"costotitulo(B)";#N/A,#N/A,FALSE,"costohora(B)"}</definedName>
    <definedName name="wrn.Hipótesis._.C." hidden="1">{#N/A,"Hipótesis C",FALSE,"desglose";#N/A,#N/A,FALSE,"p&amp;g";#N/A,#N/A,FALSE,"detallder+dob (C)";#N/A,#N/A,FALSE,"costotitulo(C)";#N/A,#N/A,FALSE,"costohora(C)"}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y." hidden="1">{#N/A,#N/A,FALSE,"model"}</definedName>
    <definedName name="wrn.history2" hidden="1">{#N/A,#N/A,FALSE,"5yr.hist."}</definedName>
    <definedName name="wrn.history5" hidden="1">{#N/A,#N/A,FALSE,"5yr.hist."}</definedName>
    <definedName name="wrn.histROIC." hidden="1">{#N/A,#N/A,FALSE,"model"}</definedName>
    <definedName name="wrn.histROIC2" hidden="1">{#N/A,#N/A,FALSE,"model"}</definedName>
    <definedName name="wrn.HNZ." hidden="1">{#N/A,#N/A,FALSE,"HNZ"}</definedName>
    <definedName name="wrn.Hoja._.de._.garantías." hidden="1">{#N/A,#N/A,FALSE,"Garantias";"hoja",#N/A,FALSE,"Garantias"}</definedName>
    <definedName name="wrn.hours." hidden="1">{"hours",#N/A,FALSE,"Actual -vs- Budget"}</definedName>
    <definedName name="wrn.HPS._.Vertical." hidden="1">{#N/A,#N/A,FALSE,"Front Page";#N/A,#N/A,FALSE,"Contents";#N/A,#N/A,FALSE,"Deals in month";#N/A,#N/A,FALSE,"Major Sales Top 20";#N/A,#N/A,FALSE,"HPS Major Sales";#N/A,#N/A,FALSE,"MJ HPS Calculation sheet";#N/A,#N/A,FALSE,"HPS Rev Track";#N/A,#N/A,FALSE,"HPS Committed";#N/A,#N/A,FALSE,"HPS P1-3";#N/A,#N/A,FALSE,"Lost Bids";#N/A,#N/A,FALSE,"HPS Offering Bar Chart";#N/A,#N/A,FALSE,"HPS Industry Bar Chart";#N/A,#N/A,FALSE,"Ongoing HPS VME Revenue";#N/A,#N/A,FALSE,"Issues "}</definedName>
    <definedName name="wrn.HPSTMRO._.Pack" hidden="1">{#N/A,#N/A,TRUE,"Front Page";#N/A,#N/A,TRUE,"Content";#N/A,#N/A,TRUE,"Changes to forecast";#N/A,#N/A,TRUE,"Forecast Summaries";#N/A,#N/A,TRUE,"Q1 Summary";#N/A,#N/A,TRUE,"Q2 Summary";#N/A,#N/A,TRUE,"Q3 Summary";#N/A,#N/A,TRUE,"Q4 Summary";#N/A,#N/A,TRUE,"FY Summary";#N/A,#N/A,TRUE,"Opportunities";#N/A,#N/A,TRUE,"Risks";#N/A,#N/A,TRUE,"Target Graphs";#N/A,#N/A,TRUE,"Rev Chart";#N/A,#N/A,TRUE,"GM Chart";#N/A,#N/A,TRUE,"Offering Bar Chart";#N/A,#N/A,TRUE,"Issues";#N/A,#N/A,TRUE,"Lost Bids";#N/A,#N/A,TRUE,"Major Sales Campains";#N/A,#N/A,TRUE,"Ongoing Revenue";#N/A,#N/A,TRUE,"Names List"}</definedName>
    <definedName name="wrn.HS_USA." hidden="1">{"HS_USA",#N/A,FALSE,"Base"}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g._.Acq." hidden="1">{#N/A,#N/A,FALSE,"main";#N/A,#N/A,FALSE,"100% Cash";#N/A,#N/A,FALSE,"100% Stock"}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OS._.2." hidden="1">{"zweis 1",#N/A,FALSE,"B";"zweis2",#N/A,FALSE,"B";"zweis3",#N/A,FALSE,"B";"zweis4",#N/A,FALSE,"B";"zweis5",#N/A,FALSE,"B";"zweis6",#N/A,FALSE,"B";"zweis7",#N/A,FALSE,"B";"zweis8",#N/A,FALSE,"B";"zweis9",#N/A,FALSE,"B"}</definedName>
    <definedName name="wrn.ICOS1." hidden="1">{"konz1",#N/A,FALSE,"B";"konz2",#N/A,FALSE,"B";"konz3",#N/A,FALSE,"B"}</definedName>
    <definedName name="wrn.icos2." hidden="1">{"konz1",#N/A,FALSE,"B";"konz2",#N/A,FALSE,"B";"konz3",#N/A,FALSE,"B"}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ya." hidden="1">{#N/A,#N/A,TRUE,"Staff cost as % of revenue";#N/A,#N/A,TRUE,"Depreciation as % of sales";#N/A,#N/A,TRUE,"Employee cost";#N/A,#N/A,TRUE,"Traffic per line";#N/A,#N/A,TRUE,"Lines per employee"}</definedName>
    <definedName name="wrn.ilya1." hidden="1">{#N/A,#N/A,TRUE,"Staff cost as % of revenue";#N/A,#N/A,TRUE,"Depreciation as % of sales";#N/A,#N/A,TRUE,"Employee cost";#N/A,#N/A,TRUE,"Traffic per line";#N/A,#N/A,TRUE,"Lines per employee"}</definedName>
    <definedName name="wrn.Immos._.2000." hidden="1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p." hidden="1">{"vue1",#N/A,FALSE,"synthese";"vue2",#N/A,FALSE,"synthese"}</definedName>
    <definedName name="wrn.imp.2" hidden="1">{"vue1",#N/A,FALSE,"synthese";"vue2",#N/A,FALSE,"synthese"}</definedName>
    <definedName name="wrn.imp.3" hidden="1">{"vue1",#N/A,FALSE,"synthese";"vue2",#N/A,FALSE,"synthese"}</definedName>
    <definedName name="wrn.Import._.figures." hidden="1">{"reports",#N/A,FALSE,"Balance Sheet"}</definedName>
    <definedName name="wrn.impressao.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ão." hidden="1">{#N/A,#N/A,FALSE,"CA_FSE";#N/A,#N/A,FALSE,"CA_Pessoal";#N/A,#N/A,FALSE,"CA_Plano_Invest.";#N/A,#N/A,FALSE,"CA_Mapa FM";#N/A,#N/A,FALSE,"CA_DR";#N/A,#N/A,FALSE,"CA_Balanço";#N/A,#N/A,FALSE,"CA_Valor"}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" hidden="1">{#N/A,#N/A,TRUE,"Income";#N/A,#N/A,TRUE,"IncomeDetail";#N/A,#N/A,TRUE,"Balance";#N/A,#N/A,TRUE,"BalDetail"}</definedName>
    <definedName name="wrn.income._.statement." hidden="1">{"income statement",#N/A,FALSE,"ATLAS-A"}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s." hidden="1">{#N/A,#N/A,FALSE,"1996PL";#N/A,#N/A,FALSE,"1997PL";#N/A,#N/A,FALSE,"1998PL";#N/A,#N/A,FALSE,"1999PL"}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PRE." hidden="1">{"INCPRE2000",#N/A,FALSE,"BL2000"}</definedName>
    <definedName name="wrn.INDEPS." hidden="1">{"page1",#N/A,FALSE,"TIND_CC1";"page2",#N/A,FALSE,"TIND_CC1";"page3",#N/A,FALSE,"TIND_CC1";"page4",#N/A,FALSE,"TIND_CC1";"page5",#N/A,FALSE,"TIND_CC1"}</definedName>
    <definedName name="wrn.indirect._.labor." hidden="1">{"indirect labor",#N/A,FALSE,"labor"}</definedName>
    <definedName name="wrn.indirect_labor23" hidden="1">{"indirect labor",#N/A,FALSE,"labor"}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MemoPhotosMapsPlans.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put." hidden="1">{"données",#N/A,FALSE,"Input"}</definedName>
    <definedName name="wrn.Input._.and._.Cash._.Flow." hidden="1">{"print area 10yr",#N/A,FALSE,"Input";"print area 10yr cash flow",#N/A,FALSE,"TICA_EC"}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only." hidden="1">{"print area 10yr",#N/A,FALSE,"Input"}</definedName>
    <definedName name="wrn.Inputs." hidden="1">{"Input1",#N/A,FALSE,"PF";"Input2",#N/A,FALSE,"PF";"Input3",#N/A,FALSE,"PF"}</definedName>
    <definedName name="wrn.Inputsheet_ProjectInput." hidden="1">{"ProjectInput",#N/A,FALSE,"INPUT-AREA"}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{"EPS and CF",#N/A,FALSE;"Ops and Stats",#N/A,FALSE}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pln." hidden="1">{#N/A,#N/A,FALSE,"invpln"}</definedName>
    <definedName name="wrn.invpln2" hidden="1">{#N/A,#N/A,FALSE,"invpln"}</definedName>
    <definedName name="wrn.invpln3" hidden="1">{#N/A,#N/A,FALSE,"invpln"}</definedName>
    <definedName name="wrn.invpln5" hidden="1">{#N/A,#N/A,FALSE,"invpln"}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R." hidden="1">{#N/A,#N/A,FALSE,"IRR"}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{"JANUARY",#N/A,FALSE,"Q3"}</definedName>
    <definedName name="wrn.Japan._.Data." hidden="1">{"Analysis1Q95",#N/A,FALSE,"Japan";"Analysis2Q95",#N/A,FALSE,"Japan";"Analysis1H95",#N/A,FALSE,"Japan";"Data",#N/A,FALSE,"Japan";"Margin Summary",#N/A,FALSE,"Japan";"Sales Summary",#N/A,FALSE,"Japan"}</definedName>
    <definedName name="wrn.jcbsum." hidden="1">{#N/A,#N/A,FALSE,"Finstmts";#N/A,#N/A,FALSE,"Lost Revenue";#N/A,#N/A,FALSE,"Ratios"}</definedName>
    <definedName name="wrn.Jeff._.Standalone." hidden="1">{#N/A,#N/A,TRUE,"Acquirer_Cases_Input";#N/A,#N/A,TRUE,"Acquirer_Input";#N/A,#N/A,TRUE,"Acquirer"}</definedName>
    <definedName name="wrn.jev." hidden="1">{"prt_jev",#N/A,FALSE,"Sheet1"}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egocompleto.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JUL." hidden="1">{#N/A,#N/A,FALSE,"JUL"}</definedName>
    <definedName name="wrn.JULY." hidden="1">{"Q1JUL",#N/A,FALSE,"Q1"}</definedName>
    <definedName name="wrn.JUN." hidden="1">{"JUN",#N/A,FALSE,"JUN"}</definedName>
    <definedName name="wrn.JUNE." hidden="1">{"JUNE",#N/A,FALSE,"Q4"}</definedName>
    <definedName name="wrn.Just._.Sorts." hidden="1">{#N/A,#N/A,FALSE,"Hi";#N/A,#N/A,FALSE,"Lo";#N/A,#N/A,FALSE,"Mkt. Cap";#N/A,#N/A,FALSE,"Alpha"}</definedName>
    <definedName name="wrn.JV._.Budget._.Summary.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wrn.K." hidden="1">{#N/A,#N/A,FALSE,"K"}</definedName>
    <definedName name="wrn.K._" hidden="1">{"K GuV o. Kommentar",#N/A,FALSE,"Kaufhof"}</definedName>
    <definedName name="wrn.K._.GuV._.o.._.Kommentar." hidden="1">{"K GuV o. Kommentar",#N/A,FALSE,"Kaufhof"}</definedName>
    <definedName name="wrn.K.M.C.._.Anlagen." hidden="1">{#N/A,#N/A,FALSE,"A1-BILANZ";#N/A,#N/A,FALSE,"A2-GUV";#N/A,#N/A,FALSE,"A3-AV ";#N/A,#N/A,FALSE,"A5-E-BILANZ";#N/A,#N/A,FALSE,"A5-E-GUV";#N/A,#N/A,FALSE,"A6-E-AV"}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Bilanz._.o.._.Kommentar." hidden="1">{"K Bilanz o. Kommentar",#N/A,FALSE,"Kaufhof"}</definedName>
    <definedName name="wrn.ke." hidden="1">{"ke1",#N/A,FALSE,"B";"ke2",#N/A,FALSE,"B";"ke3",#N/A,FALSE,"B"}</definedName>
    <definedName name="wrn.kekto.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IM" hidden="1">{"salaried",#N/A,FALSE,"VLD View (2)"}</definedName>
    <definedName name="wrn.kkk." hidden="1">{#N/A,#N/A,FALSE,"1. PTI Ziele";#N/A,#N/A,FALSE,"2. Zielkatalog ";#N/A,#N/A,FALSE,"3. Masterterminplan"}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mplett.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kue." hidden="1">{#N/A,#N/A,FALSE,"KUE-NBO"}</definedName>
    <definedName name="wrn.Kvartalsrapport.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bor." hidden="1">{"labor",#N/A,FALSE,"Actual -vs- Budget"}</definedName>
    <definedName name="wrn.labor2" hidden="1">{"direct labor",#N/A,FALSE,"labor";"direct labor1",#N/A,FALSE,"labor"}</definedName>
    <definedName name="wrn.labor3" hidden="1">{"indirect labor",#N/A,FALSE,"labor"}</definedName>
    <definedName name="wrn.labor7" hidden="1">{"indirect labor",#N/A,FALSE,"labor"}</definedName>
    <definedName name="wrn.laborsumary4" hidden="1">{"summary",#N/A,FALSE,"labor"}</definedName>
    <definedName name="wrn.laborsummary." hidden="1">{"summary",#N/A,FALSE,"labor"}</definedName>
    <definedName name="wrn.laborsummary2" hidden="1">{"summary",#N/A,FALSE,"labor"}</definedName>
    <definedName name="wrn.laborsummary5" hidden="1">{"summary",#N/A,FALSE,"labor"}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C._.COST." hidden="1">{"LCCOST",#N/A,FALSE,"FC-3 "}</definedName>
    <definedName name="wrn.LC._.FC3." hidden="1">{"LCFC3",#N/A,FALSE,"FC-3 "}</definedName>
    <definedName name="wrn.Lead._.Sheet." hidden="1">{"PrintView",#N/A,FALSE,"Cash &amp; Equiv";"PrintView",#N/A,FALSE,"Investments";"Other Assets Print View",#N/A,FALSE,"Other Assets"}</definedName>
    <definedName name="wrn.lead._.sheet1." hidden="1">{"PrintView",#N/A,FALSE,"Cash &amp; Equiv";"PrintView",#N/A,FALSE,"Investments";"Other Assets Print View",#N/A,FALSE,"Other Assets"}</definedName>
    <definedName name="wrn.Lead._Sheet." hidden="1">{"PrintView",#N/A,FALSE,"Cash &amp; Equiv";"PrintView",#N/A,FALSE,"Investments";"Other Assets Print View",#N/A,FALSE,"Other Assets"}</definedName>
    <definedName name="wrn.Lead._Sheets." hidden="1">{"PrintView",#N/A,FALSE,"Cash &amp; Equiv";"PrintView",#N/A,FALSE,"Investments";"Other Assets Print View",#N/A,FALSE,"Other Assets"}</definedName>
    <definedName name="wrn.legal." hidden="1">{"long",#N/A,FALSE,"ESC"}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FE._.INS.._.LOANS." hidden="1">{#N/A,#N/A,FALSE,"TT-1 Officers' Life Insurance"}</definedName>
    <definedName name="wrn.Line._.Efficiency." hidden="1">{"Line Efficiency",#N/A,FALSE,"Benchmarking"}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LJD._.Review._.1." hidden="1">{"LJD 1",#N/A,FALSE,"Master";"LJD 2",#N/A,FALSE,"Sheet2";"LJD 3",#N/A,FALSE,"Sheet1";"LJD 4",#N/A,FALSE,"Sheet3";"LJD 5",#N/A,FALSE,"Sheet4"}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s." hidden="1">{"Summary report",#N/A,FALSE,"BBH";"Details - chart",#N/A,FALSE,"BBH"}</definedName>
    <definedName name="wrn.LOB." hidden="1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London._.Regional._.Commitee." hidden="1">{#N/A,#N/A,FALSE,"HEADER SHEET";#N/A,#N/A,FALSE,"A402";#N/A,#N/A,FALSE,"S150"}</definedName>
    <definedName name="wrn.london._regional._.committee." hidden="1">{#N/A,#N/A,FALSE,"HEADER SHEET";#N/A,#N/A,FALSE,"A402";#N/A,#N/A,FALSE,"S150"}</definedName>
    <definedName name="wrn.LONG._.TERM._.DEBT." hidden="1">{#N/A,#N/A,FALSE,"MM-1 Long Term Debt"}</definedName>
    <definedName name="wrn.LOOKUP._.TABLE." hidden="1">{"LOOKUP TABLE",#N/A,FALSE,"FC-3 "}</definedName>
    <definedName name="wrn.LPNL." hidden="1">{"LPNL1",#N/A,FALSE,"EntitiesWithReclasses";"LPNL2",#N/A,FALSE,"EntitiesWithReclasses";"LPNL3",#N/A,FALSE,"EntitiesWithReclasses"}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.O.S.._.Charts." hidden="1">{#N/A,#N/A,FALSE,"Line FSB";#N/A,#N/A,FALSE,"Line FSC";#N/A,#N/A,FALSE,"Line RSB";#N/A,#N/A,FALSE,"Line RSC";#N/A,#N/A,FALSE,"Final";#N/A,#N/A,FALSE,"SCRAP";#N/A,#N/A,FALSE,"GM DPPM"}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gicrep." hidden="1">{"sub1",#N/A,FALSE,"Subs";"pac1",#N/A,FALSE,"Packages";"rev1",#N/A,FALSE,"2. Revenues"}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tenance." hidden="1">{#N/A,#N/A,FALSE,"Main"}</definedName>
    <definedName name="wrn.Management._.Accounts." hidden="1">{#N/A,#N/A,TRUE,"P&amp;L";#N/A,#N/A,TRUE,"balsheet";#N/A,#N/A,TRUE,"Notes - Sales-COS";#N/A,#N/A,TRUE,"Expenses";#N/A,#N/A,TRUE,"f assets";#N/A,#N/A,TRUE,"bs anal";#N/A,#N/A,TRUE,"mcer";#N/A,#N/A,TRUE,"Packing";#N/A,#N/A,TRUE,"Gross Profit";#N/A,#N/A,TRUE,"Gross Profit - Non chiq";#N/A,#N/A,TRUE,"P&amp;L - MKD"}</definedName>
    <definedName name="wrn.Management._.Accounts._.2002." hidden="1">{"Ratios",#N/A,FALSE,"Management Accounts";"I &amp; E Summary",#N/A,FALSE,"Management Accounts";"I &amp; E Turnover",#N/A,FALSE,"Management Accounts";"I &amp; E Op Costs 1",#N/A,FALSE,"Management Accounts";"I &amp; E Op Costs 2",#N/A,FALSE,"Management Accounts";"I &amp; E Sales",#N/A,FALSE,"Management Accounts";"I &amp; E Interest",#N/A,FALSE,"Management Accounts";"BS",#N/A,FALSE,"Management Accounts";"FA:HP",#N/A,FALSE,"Management Accounts";"FA:Other",#N/A,FALSE,"Management Accounts";"Debtors",#N/A,FALSE,"Management Accounts";"Cash Flow",#N/A,FALSE,"Management Accounts";"Dev Exp",#N/A,FALSE,"Management Accounts";"Dev SHG",#N/A,FALSE,"Management Accounts"}</definedName>
    <definedName name="wrn.Management._.Accounts._.2004." hidden="1">{"I &amp; E Summary",#N/A,FALSE,"Management Accounts";"I &amp; E Turnover",#N/A,FALSE,"Management Accounts";"I &amp; E Op Costs 1",#N/A,FALSE,"Management Accounts";"I &amp; E Op Costs 2",#N/A,FALSE,"Management Accounts";"I &amp; E Sales",#N/A,FALSE,"Management Accounts";"I &amp; E Interest",#N/A,FALSE,"Management Accounts";"Balance Sheet",#N/A,FALSE,"Management Accounts";"Other Assets",#N/A,FALSE,"Management Accounts";"Development",#N/A,FALSE,"Dev Report";"Cash Flow",#N/A,FALSE,"New CF"}</definedName>
    <definedName name="wrn.MANAGEMENT._.COSTS." hidden="1">{"MANAGEMENT COSTS",#N/A,FALSE,"C.CENTRE"}</definedName>
    <definedName name="wrn.MANAGEMENT._.PACK._.2.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wrn.Mappen._.gesamt." hidden="1">{#N/A,#N/A,FALSE,"Z3 1,8i";#N/A,#N/A,FALSE,"Z3 1,9iS";#N/A,#N/A,FALSE,"Z3 2,8i";#N/A,#N/A,FALSE,"Z3 2,8i Coupé"}</definedName>
    <definedName name="wrn.MAR." hidden="1">{"MAR",#N/A,FALSE,"MAR"}</definedName>
    <definedName name="wrn.MARCH." hidden="1">{"MARCH",#N/A,FALSE,"Q3"}</definedName>
    <definedName name="wrn.March._.Financials." hidden="1">{"Statement of Income",#N/A,TRUE,"Mar99";"Balance Sheet",#N/A,TRUE,"Mar99"}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terial." hidden="1">{"MATERIAL",#N/A,FALSE,"material"}</definedName>
    <definedName name="wrn.material.." hidden="1">{"MATERIAL",#N/A,FALSE,"material"}</definedName>
    <definedName name="wrn.material2" hidden="1">{"MATERIAL",#N/A,FALSE,"material"}</definedName>
    <definedName name="wrn.material3" hidden="1">{"MATERIAL",#N/A,FALSE,"material"}</definedName>
    <definedName name="wrn.material4" hidden="1">{"MATERIAL",#N/A,FALSE,"material"}</definedName>
    <definedName name="wrn.material5" hidden="1">{"MATERIAL",#N/A,FALSE,"material"}</definedName>
    <definedName name="wrn.MAY." hidden="1">{"MAY",#N/A,FALSE,"Q4"}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RK." hidden="1">{#N/A,#N/A,FALSE,"MCCRK"}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mo." hidden="1">{#N/A,#N/A,TRUE,"financial";#N/A,#N/A,TRUE,"plants"}</definedName>
    <definedName name="wrn.MENSUALES." hidden="1">{"CTO MES ACTUAL",#N/A,FALSE,"BASE ANEXOS";"VAR MES ACT",#N/A,FALSE,"BASE ANEXOS"}</definedName>
    <definedName name="wrn.merge.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F._.commentary._.on._.variance." hidden="1">{"Commentary",#N/A,FALSE,"May"}</definedName>
    <definedName name="wrn.MF._.with._.BA._.detail." hidden="1">{"BA detail",#N/A,FALSE,"Q3YTD "}</definedName>
    <definedName name="wrn.MFG._.Monthly._.Views." hidden="1">{"MFG Monthly View",#N/A,FALSE,"Mfgs. Only";"400 Monthly View",#N/A,FALSE,"400";"410 Monthly View",#N/A,FALSE,"410";"420 Monthly View",#N/A,FALSE,"420";"435 Monthly View",#N/A,FALSE,"430";"435 Monthly View",#N/A,FALSE,"435"}</definedName>
    <definedName name="wrn.MFG._.Qrtly._.Views." hidden="1">{"MFG Qrtly View pg1",#N/A,FALSE,"Mfgs. Only";"MFG Qrtly View Pg2",#N/A,FALSE,"Mfgs. Only";"MFG Qrtly View pg3",#N/A,FALSE,"Mfgs. Only";"400 Qrtly View",#N/A,FALSE,"400";"410 Qrtly View",#N/A,FALSE,"410";"420 Qrtly View",#N/A,FALSE,"420";"430 Qrtly View",#N/A,FALSE,"430";"435 Qrtly View",#N/A,FALSE,"435"}</definedName>
    <definedName name="wrn.MgtAccs." hidden="1">{#N/A,#N/A,FALSE,"Consol";#N/A,#N/A,FALSE,"F&amp;P";#N/A,#N/A,FALSE,"HK";#N/A,#N/A,FALSE,"Sing";#N/A,#N/A,FALSE,"GmbH";#N/A,#N/A,FALSE,"ODS"}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." hidden="1">{"MI",#N/A,FALSE,"A"}</definedName>
    <definedName name="wrn.MI1." hidden="1">{"MI1",#N/A,FALSE,"A"}</definedName>
    <definedName name="wrn.MIE._.Summary." hidden="1">{#N/A,#N/A,FALSE,"MIE Total";#N/A,#N/A,FALSE,"Japan";#N/A,#N/A,FALSE,"North America";#N/A,#N/A,FALSE,"Asia";#N/A,#N/A,FALSE,"Europe"}</definedName>
    <definedName name="wrn.Misc." hidden="1">{#N/A,#N/A,FALSE,"Misc"}</definedName>
    <definedName name="wrn.mkt_concprod." hidden="1">{"mkta",#N/A,FALSE,"mkt";"mktb",#N/A,FALSE,"mkt";"mktc",#N/A,FALSE,"mkt";"mktd",#N/A,FALSE,"mkt";"mktf",#N/A,FALSE,"mkt"}</definedName>
    <definedName name="wrn.mkt_plastics." hidden="1">{"mkte",#N/A,FALSE,"mkt"}</definedName>
    <definedName name="wrn.MOBA._.Results.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BIL." hidden="1">{"quarter",#N/A,FALSE,"MOB"}</definedName>
    <definedName name="wrn.mobile." hidden="1">{#N/A,#N/A,FALSE,"Denmark";#N/A,#N/A,FALSE,"Denmark"}</definedName>
    <definedName name="wrn.MoD._.Summary." hidden="1">{"Summary sheet",#N/A,TRUE,"Output pres";"Proforma 1 and 2",#N/A,TRUE,"Ratios";"Proforma 3,4 and 5",#N/A,TRUE,"FS";"Proforma 8,9 and 10",#N/A,TRUE,"Calcs"}</definedName>
    <definedName name="wrn.Model." hidden="1">{"DCF",#N/A,FALSE,"DCF"}</definedName>
    <definedName name="wrn.Model._.Output." hidden="1">{#N/A,#N/A,FALSE,"Purchase_50_Stock";#N/A,#N/A,FALSE,"Purchase_All_Stock";"Summary",#N/A,FALSE,"PF";"Income Statement",#N/A,FALSE,"PF";"Earnings",#N/A,FALSE,"PF";"Balance Sheet",#N/A,FALSE,"PF"}</definedName>
    <definedName name="wrn.Monatsabschluß." hidden="1">{#N/A,#N/A,FALSE,"Finanzplan";#N/A,#N/A,FALSE,"Bilanz";#N/A,#N/A,FALSE,"GuV"}</definedName>
    <definedName name="wrn.Monatsbericht." hidden="1">{#N/A,#N/A,FALSE,"Inhalta";#N/A,#N/A,FALSE,"Seite1a";#N/A,#N/A,FALSE,"Seite2a";#N/A,#N/A,FALSE,"Seite3a";#N/A,#N/A,FALSE,"Seite4a";#N/A,#N/A,FALSE,"Seite5a";#N/A,#N/A,FALSE,"Seite6a";#N/A,#N/A,FALSE,"Seite7a";#N/A,#N/A,FALSE,"Seite8a";#N/A,#N/A,FALSE,"Seite9a"}</definedName>
    <definedName name="wrn.monika." hidden="1">{"Telemonika",#N/A,FALSE,"Tele";"GF Text",#N/A,FALSE,"GF Text";"GF ATXITV",#N/A,FALSE,"GF ATX ITV";"GF Verw",#N/A,FALSE,"GF Verw"}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 hidden="1">{#N/A,#N/A,FALSE,"Bud Month-end Call";#N/A,#N/A,FALSE,"Bud vs Actual";#N/A,#N/A,FALSE,"FC3 Month-end Call";#N/A,#N/A,FALSE,"FC3 vs Actual"}</definedName>
    <definedName name="wrn.Month._.end._.report.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LY." hidden="1">{"1999MONTHLY",#N/A,FALSE,"MONTHLY";"2000MONTHLY",#N/A,FALSE,"MONTHLY";"2001MONTHLY",#N/A,FALSE,"MONTHLY"}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S._.Fa.10_01." hidden="1">{#N/A,#N/A,TRUE,"Overview";#N/A,#N/A,TRUE,"P&amp;L summary";#N/A,#N/A,TRUE,"pers.exp._op. inc._interest";#N/A,#N/A,TRUE,"op. expenses";#N/A,#N/A,TRUE,"non-op. inc_expense";#N/A,#N/A,TRUE,"balance sheet";#N/A,#N/A,TRUE,"key-figures"}</definedName>
    <definedName name="wrn.Monthly._.MIS._.Fa.26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name="wrn.Monthly._.MIS._.Fa.31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name="wrn.Monthly._.MIS._.Fa.50." hidden="1">{#N/A,#N/A,TRUE,"Overview";#N/A,#N/A,TRUE,"P&amp;L summary";#N/A,#N/A,TRUE,"pers.exp._op. inc._interest";#N/A,#N/A,TRUE,"op. expenses";#N/A,#N/A,TRUE,"non-op. inc_expense"}</definedName>
    <definedName name="wrn.Monthly._.MIS._.Fa.53_91." hidden="1">{#N/A,#N/A,TRUE,"Overview";#N/A,#N/A,TRUE,"P&amp;L summary";#N/A,#N/A,TRUE,"pers.exp._op. inc._interest";#N/A,#N/A,TRUE,"op. expenses";#N/A,#N/A,TRUE,"non-op. inc_expense"}</definedName>
    <definedName name="wrn.Monthly._.MIS._.Fa.59." hidden="1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name="wrn.Monthly._.MIS._.Fa.60." hidden="1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name="wrn.Monthly._.MIS._.Fa.73." hidden="1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name="wrn.Monthly._.MIS._.Fa.74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name="wrn.Monthly._.MIS._.Fa.78_20_21." hidden="1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s." hidden="1">{#N/A,#N/A,FALSE,"INDEX";#N/A,#N/A,FALSE,"A - BALANCE SHEET";#N/A,#N/A,FALSE,"B - INCOME STATEMENT YTD";#N/A,#N/A,FALSE,"B - MONTHLY INCOME STATEMENT ";#N/A,#N/A,FALSE,"C - CASHFLOW STATEMENT";#N/A,#N/A,FALSE,"D - CUSTOMERS STATEMENT";#N/A,#N/A,FALSE,"E - SALES STATEMENT"}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ONTHYL._.PACK." hidden="1">{#N/A,#N/A,TRUE,"Contents (2)";#N/A,#N/A,TRUE,"P&amp;L";#N/A,#N/A,TRUE,"Notes - Sales-COS";#N/A,#N/A,TRUE,"Expenses";#N/A,#N/A,TRUE,"mcer";#N/A,#N/A,TRUE,"P&amp;L - MKD"}</definedName>
    <definedName name="wrn.MOS4." hidden="1">{"MOS4",#N/A,FALSE,"Sorted by database"}</definedName>
    <definedName name="wrn.MOTOROLA._.TO220." hidden="1">{"MOTTO220",#N/A,FALSE,"TO-220 PRODUCTION"}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atural." hidden="1">{#N/A,#N/A,FALSE,"Natural"}</definedName>
    <definedName name="wrn.NDPC." hidden="1">{#N/A,#N/A,FALSE,"46EN114";#N/A,#N/A,FALSE,"46FN116";#N/A,#N/A,FALSE,"464VFN10";#N/A,#N/A,FALSE,"464VFN74"}</definedName>
    <definedName name="wrn.nema." hidden="1">{#N/A,#N/A,FALSE,"Distbn Ntwrk";#N/A,#N/A,FALSE,"Workforce";#N/A,#N/A,FALSE,"cur-prod1";#N/A,#N/A,FALSE,"in-proc"}</definedName>
    <definedName name="wrn.new._.DAC." hidden="1">{#N/A,#N/A,TRUE,"CF brut";#N/A,#N/A,TRUE,"CashFlow";#N/A,#N/A,TRUE,"RCE";#N/A,#N/A,TRUE,"amort"}</definedName>
    <definedName name="wrn.New._.MA._.Report." hidden="1">{"new ma report",#N/A,FALSE,"Loan Summary"}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st." hidden="1">{#N/A,#N/A,TRUE,"TS";#N/A,#N/A,TRUE,"Combo";#N/A,#N/A,TRUE,"FAIR";#N/A,#N/A,TRUE,"RBC";#N/A,#N/A,TRUE,"xxxx"}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o." hidden="1">{#N/A,#N/A,TRUE,"Cover";#N/A,#N/A,TRUE,"Transaction Summary";#N/A,#N/A,TRUE,"Earnings Impact";#N/A,#N/A,TRUE,"accretion dilution"}</definedName>
    <definedName name="wrn.No.._.America._.Data." hidden="1">{"Data",#N/A,FALSE,"North America";"Sales Summary",#N/A,FALSE,"North America"}</definedName>
    <definedName name="wrn.Non._.Div._.Balance._.Sheet." hidden="1">{#N/A,"NONDV",FALSE,"BSHIST.XLS"}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." hidden="1">{"NOV",#N/A,FALSE,"NOV"}</definedName>
    <definedName name="wrn.NOVEMBER." hidden="1">{"NOVEMBER",#N/A,FALSE,"Q2"}</definedName>
    <definedName name="wrn.NRC._.Statements." hidden="1">{#N/A,#N/A,FALSE,"NRC Inc Stmnt";#N/A,#N/A,FALSE,"NRC Cash Flows"}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t_res_comm." hidden="1">{"oct_res_comm",#N/A,FALSE,"VarToBud"}</definedName>
    <definedName name="wrn.OCTOBER." hidden="1">{"OCTOBER",#N/A,FALSE,"Q2"}</definedName>
    <definedName name="wrn.October_Income." hidden="1">{"Oct_Plan_Income_Month",#N/A,FALSE,"OctInc";"Oct_Month_Lastyear_Inc",#N/A,FALSE,"OctInc"}</definedName>
    <definedName name="wrn.Offerings._.HPS." hidden="1">{#N/A,#N/A,FALSE,"Front Page";#N/A,#N/A,FALSE,"Contents";#N/A,#N/A,FALSE,"Deals in month";#N/A,#N/A,FALSE,"Major Sales Top 20";#N/A,#N/A,FALSE,"HPS Major Sales";#N/A,#N/A,FALSE,"MJ HPS Calculation sheet";#N/A,#N/A,FALSE,"HPS Rev Track";#N/A,#N/A,FALSE,"HPS Committed";#N/A,#N/A,FALSE,"HPS P1-3";#N/A,#N/A,FALSE,"Lost Bids";#N/A,#N/A,FALSE,"HPS Offering Bar Chart";#N/A,#N/A,FALSE,"HPS Industry Bar Chart";#N/A,#N/A,FALSE,"Issues "}</definedName>
    <definedName name="wrn.Offerings._.OS." hidden="1">{#N/A,#N/A,FALSE,"Front Page";#N/A,#N/A,FALSE,"Contents";#N/A,#N/A,FALSE,"Deals in month";#N/A,#N/A,FALSE,"Major Sales Top 20";#N/A,#N/A,FALSE,"OS Major Sales";#N/A,#N/A,FALSE,"MJ OS Calculation sheet";#N/A,#N/A,FALSE,"OS Rev Track";#N/A,#N/A,FALSE,"OS Committed";#N/A,#N/A,FALSE,"OS P1-3";#N/A,#N/A,FALSE,"Lost Bids";#N/A,#N/A,FALSE,"OSD Offering Bar Chart";#N/A,#N/A,FALSE,"OSD Industry Bar Chart";#N/A,#N/A,FALSE,"Issues "}</definedName>
    <definedName name="wrn.Offices." hidden="1">{"Offices",#N/A,FALSE,"Sorted by database"}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ncology." hidden="1">{#N/A,#N/A,FALSE,"Onco";#N/A,#N/A,FALSE,"Taxol";#N/A,#N/A,FALSE,"UFT";#N/A,#N/A,FALSE,"Carb"}</definedName>
    <definedName name="wrn.one." hidden="1">{"page1",#N/A,FALSE,"A";"page2",#N/A,FALSE,"A"}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portunity._.Assessment.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TC._.Market._.Report." hidden="1">{#N/A,#N/A,FALSE,"Sales Graph";#N/A,#N/A,FALSE,"BUC Graph";#N/A,#N/A,FALSE,"P&amp;L - YTD"}</definedName>
    <definedName name="wrn.OTHER." hidden="1">{"OTHER",#N/A,FALSE,"EXP PIE"}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REVENUE." hidden="1">{"OTHER REVENUE",#N/A,FALSE,"OTHERS"}</definedName>
    <definedName name="wrn.Outlook." hidden="1">{#N/A,#N/A,FALSE,"Consol P&amp;L ";#N/A,#N/A,FALSE,"CP P&amp;L";#N/A,#N/A,FALSE,"ADS P&amp;L";#N/A,#N/A,FALSE,"Corp P&amp;L"}</definedName>
    <definedName name="wrn.Output." hidden="1">{#N/A,#N/A,TRUE,"Main";#N/A,#N/A,TRUE,"FCF_10Yr";#N/A,#N/A,TRUE,"FCF_15Yr";#N/A,#N/A,TRUE,"Assume"}</definedName>
    <definedName name="wrn.outputs." hidden="1">{#N/A,#N/A,FALSE,"Outputs"}</definedName>
    <definedName name="wrn.p" hidden="1">{#N/A,#N/A,FALSE,"1";#N/A,#N/A,FALSE,"2";#N/A,#N/A,FALSE,"16 - 17";#N/A,#N/A,FALSE,"18 - 19";#N/A,#N/A,FALSE,"26";#N/A,#N/A,FALSE,"27";#N/A,#N/A,FALSE,"28"}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1." hidden="1">{"page1",#N/A,FALSE,"comsat"}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ing._.Compco." hidden="1">{"financials",#N/A,TRUE,"6_30_96";"footnotes",#N/A,TRUE,"6_30_96";"valuation",#N/A,TRUE,"6_30_96"}</definedName>
    <definedName name="wrn.PandL_Summary." hidden="1">{#N/A,#N/A,FALSE,"Summary"}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ialFncls." hidden="1">{#N/A,#N/A,FALSE,"Income Statement";#N/A,#N/A,FALSE,"Balance Sheet";#N/A,#N/A,FALSE,"Cash Flows";#N/A,#N/A,FALSE,"Ratios"}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CS." hidden="1">{#N/A,#N/A,FALSE,"PCS"}</definedName>
    <definedName name="wrn.PCtrl_Wide." hidden="1">{#N/A,#N/A,FALSE,"PerfCtrl WideRpt"}</definedName>
    <definedName name="wrn.PDS." hidden="1">{#N/A,#N/A,FALSE,"Cover Sheet";#N/A,#N/A,FALSE,"Bill Of Materials";#N/A,#N/A,FALSE,"Gas Panel Drawing"}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SION._.PROVISION_SSAP24._.ADJ." hidden="1">{#N/A,#N/A,TRUE,"JOURNAL";#N/A,#N/A,TRUE,"Contributions";#N/A,#N/A,TRUE,"Provision";#N/A,#N/A,TRUE,"Provision &amp; Amortisation"}</definedName>
    <definedName name="wrn.PerfCtrl." hidden="1">{#N/A,#N/A,FALSE,"PERFCTRL Report"}</definedName>
    <definedName name="wrn.Performance." hidden="1">{"Performance Details",#N/A,FALSE,"Current Yr";"Performance Details",#N/A,FALSE,"Budget";"Performance Details",#N/A,FALSE,"Prior Year"}</definedName>
    <definedName name="wrn.Performance._.Report." hidden="1">{"1IE",#N/A,FALSE,"Management Accounts";"2TO",#N/A,FALSE,"Management Accounts";"3OP",#N/A,FALSE,"Management Accounts";"4SA",#N/A,FALSE,"Management Accounts";"5IN",#N/A,FALSE,"Management Accounts";"6OF",#N/A,FALSE,"Management Accounts";"9BS",#N/A,FALSE,"Management Accounts";"9CF",#N/A,FALSE,"Cash Flow Statement"}</definedName>
    <definedName name="wrn.perimeter._.comp." hidden="1">{#N/A,#N/A,TRUE,"comp";#N/A,#N/A,TRUE,"notes"}</definedName>
    <definedName name="wrn.Period._.End._.Report." hidden="1">{"Ending Period 4",#N/A,FALSE,"Period 4"}</definedName>
    <definedName name="wrn.Period._.Only." hidden="1">{#N/A,#N/A,FALSE,"CONSOLIDATED";#N/A,#N/A,FALSE,"LANCE CO";#N/A,#N/A,FALSE,"VISTA"}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rsrep." hidden="1">{"volu1",#N/A,FALSE,"Volumes";"headcount",#N/A,FALSE,"Headcount";"emprpt",#N/A,FALSE,"Output"}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Financials.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ianocomp." hidden="1">{"page_1",#N/A,TRUE,"Sheet1";"page_2",#N/A,TRUE,"Sheet1";"page_notes",#N/A,TRUE,"Sheet1"}</definedName>
    <definedName name="wrn.PK._.Szenario._.A.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wrn.PL." hidden="1">{"20 Years",#N/A,FALSE,"P&amp;Ls";"2001",#N/A,FALSE,"P&amp;Ls"}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cont_GermanGAAP2000_2009." hidden="1">{"PLGGAAP3",#N/A,FALSE,"P&amp;L G GAAP"}</definedName>
    <definedName name="wrn.PL_cont_GermanGAAP2010_2019." hidden="1">{"PLGGAAP4",#N/A,FALSE,"P&amp;L G GAAP"}</definedName>
    <definedName name="wrn.PL_cont_USGAAP2000_2009." hidden="1">{"PLUSGAAP3",#N/A,FALSE,"P&amp;L US GAAP"}</definedName>
    <definedName name="wrn.PL_cont_USGAAP2010_2019." hidden="1">{"PLUSGAAP4",#N/A,FALSE,"P&amp;L US GAAP"}</definedName>
    <definedName name="wrn.PL_Unterlagen." hidden="1">{#N/A,#N/A,FALSE,"Liste VKL"}</definedName>
    <definedName name="wrn.Plakat." hidden="1">{#N/A,#N/A,FALSE,"1. PTI Ziele";#N/A,#N/A,FALSE,"2. Zielkatalog ";#N/A,#N/A,FALSE,"3. Masterterminplan"}</definedName>
    <definedName name="wrn.PLAN." hidden="1">{#N/A,#N/A,FALSE,"5YRPL";#N/A,#N/A,FALSE,"3YRPL"}</definedName>
    <definedName name="wrn.Planung_Ebeling.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lanvsmodel." hidden="1">{#N/A,#N/A,FALSE,"total";#N/A,#N/A,FALSE,"cementonly";#N/A,#N/A,FALSE,"slagonly"}</definedName>
    <definedName name="wrn.plbscf." hidden="1">{"p_l",#N/A,FALSE,"Summary Accounts"}</definedName>
    <definedName name="wrn.PLGermanGAAP2000_2009." hidden="1">{"PLGGAAP1",#N/A,FALSE,"P&amp;L G GAAP"}</definedName>
    <definedName name="wrn.PLGermanGAAP2010_2019." hidden="1">{"PLGGAAP2",#N/A,FALSE,"P&amp;L G GAAP"}</definedName>
    <definedName name="wrn.PLUSGAAP2000_2009." hidden="1">{"PLUSGAAP1",#N/A,FALSE,"P&amp;L US GAAP"}</definedName>
    <definedName name="wrn.PLUSGAAP2010_2019." hidden="1">{"PLUSGAAP2",#N/A,FALSE,"P&amp;L US GAAP"}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S_Bericht." hidden="1">{#N/A,#N/A,FALSE,"Deckblatt PMS";#N/A,#N/A,FALSE,"Ergebnis und Cash-flow PMS";#N/A,#N/A,FALSE,"Kennzahlen PMS";#N/A,#N/A,FALSE,"Bilanz PMS"}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op" hidden="1">{"Pulp Production",#N/A,FALSE,"Pulp";"Pulp Earnings",#N/A,FALSE,"Pulp"}</definedName>
    <definedName name="wrn.ppepsum." hidden="1">{"rev",#N/A,FALSE,"ppepsum";"vcost",#N/A,FALSE,"ppepsum";"ecprof",#N/A,FALSE,"ppepsum"}</definedName>
    <definedName name="wrn.ppp" hidden="1">{#N/A,#N/A,FALSE,"1";#N/A,#N/A,FALSE,"2";#N/A,#N/A,FALSE,"16 - 17";#N/A,#N/A,FALSE,"18 - 19";#N/A,#N/A,FALSE,"26";#N/A,#N/A,FALSE,"27";#N/A,#N/A,FALSE,"28"}</definedName>
    <definedName name="wrn.pr3sty." hidden="1">{#N/A,#N/A,FALSE,"intag";#N/A,#N/A,FALSE,"budg";#N/A,#N/A,FALSE,"samtl"}</definedName>
    <definedName name="wrn.Practices." hidden="1">{"Practices",#N/A,FALSE,"Sorted by database"}</definedName>
    <definedName name="wrn.PREPAIDS." hidden="1">{#N/A,#N/A,FALSE,"G-1 Prepaid Expenses-Other";#N/A,#N/A,FALSE,"G-2 Prepaid Property Taxes";#N/A,#N/A,FALSE,"G-3 Prepaid Insurance "}</definedName>
    <definedName name="wrn.Presentation." hidden="1">{"Presentation",#N/A,FALSE,"Feb96 - ALL"}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ce_Effect." hidden="1">{"Comp_of_Price_Effect",#N/A,FALSE,"QTRDPVAR"}</definedName>
    <definedName name="wrn.PriceAssump2000_2009." hidden="1">{"PriceAssump1",#N/A,FALSE,"PriceAssump"}</definedName>
    <definedName name="wrn.PriceAssump2010_2019." hidden="1">{"PriceAssump2",#N/A,FALSE,"PriceAssump"}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{#N/A,#N/A,FALSE,"Trading-Mult ";#N/A,#N/A,FALSE,"Trading-Cap";#N/A,#N/A,FALSE,"Trading-Inc";#N/A,#N/A,FALSE,"Cash Flow";#N/A,#N/A,FALSE,"M&amp;A info"}</definedName>
    <definedName name="wrn.PRINT._.ALL." hidden="1">{#N/A,#N/A,FALSE,"Pharm";#N/A,#N/A,FALSE,"WWCM"}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S." hidden="1">{"USDFC3",#N/A,FALSE,"FC-3 ";"USDCOST",#N/A,FALSE,"FC-3 ";"LCFC3",#N/A,FALSE,"FC-3 ";"LCCOST",#N/A,FALSE,"FC-3 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Documents." hidden="1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C._.CAPITAL." hidden="1">{"LC",#N/A,FALSE,"FC-15 Cap Expend"}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.USD._.CAPITAL." hidden="1">{"USD",#N/A,FALSE,"FC-15 Cap Expend"}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all1." hidden="1">{#N/A,#N/A,FALSE,"Pharm";#N/A,#N/A,FALSE,"WWCM"}</definedName>
    <definedName name="wrn.Print.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1." hidden="1">{"inc1",#N/A,TRUE,"Inc. Statement";"inc2",#N/A,TRUE,"Inc. Statement";"inc3",#N/A,TRUE,"Inc. Statement"}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{"page1",#N/A,FALSE,"PF";"page2",#N/A,FALSE,"PF";"page3",#N/A,FALSE,"PF";"page4",#N/A,FALSE,"Bal_Sht"}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2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3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5." hidden="1">{"printceo5",#N/A,FALSE,"CEO";"prints15",#N/A,FALSE,"S1";"printdepr5",#N/A,FALSE,"DEPR"}</definedName>
    <definedName name="wrn.printall9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backup." hidden="1">{"back1",#N/A,FALSE,"SterlingVinters";"back2",#N/A,FALSE,"SterlingVinters";"back3",#N/A,FALSE,"SterlingVinters";"back4",#N/A,FALSE,"SterlingVinters";"back5",#N/A,FALSE,"SterlingVinters";"back6",#N/A,FALSE,"SterlingVinters";"back7",#N/A,FALSE,"SterlingVinters";"back8",#N/A,FALSE,"SterlingVinters";"back9",#N/A,FALSE,"SterlingVinters";"back10",#N/A,FALSE,"SterlingVinters";"back11",#N/A,FALSE,"SterlingVinters";"back12",#N/A,FALSE,"SterlingVinters";"back13",#N/A,FALSE,"SterlingVinters";"back14",#N/A,FALSE,"SterlingVinters";"back15",#N/A,FALSE,"SterlingVinters";"back16",#N/A,FALSE,"SterlingVinters";"back17",#N/A,FALSE,"SterlingVinters";"back18",#N/A,FALSE,"SterlingVinters";"back19",#N/A,FALSE,"SterlingVinters";"back20",#N/A,FALSE,"SterlingVinters";"back21",#N/A,FALSE,"SterlingVinters";"back22",#N/A,FALSE,"SterlingVinters"}</definedName>
    <definedName name="wrn.printing." hidden="1">{#N/A,#N/A,FALSE,"trans"}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hidden="1">{#N/A,#N/A,FALSE,"Eastern";#N/A,#N/A,FALSE,"Western"}</definedName>
    <definedName name="wrn.Printing._.the._.transactions._.sheets.2" hidden="1">{#N/A,#N/A,FALSE,"Eastern";#N/A,#N/A,FALSE,"Western"}</definedName>
    <definedName name="wrn.printmodel." hidden="1">{"page1",#N/A,FALSE,"Model";"assumption1",#N/A,FALSE,"Model";"assumption2",#N/A,FALSE,"Model";"assumption3",#N/A,FALSE,"Model";"income1",#N/A,FALSE,"Model";"income2",#N/A,FALSE,"Model";"income3",#N/A,FALSE,"Model";"cashflow",#N/A,FALSE,"Model";"balance",#N/A,FALSE,"Model";"irr",#N/A,FALSE,"Model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1" hidden="1">{"page1",#N/A,FALSE,"Casual RLE";"page2",#N/A,FALSE,"Casual RLE"}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g." hidden="1">{#N/A,#N/A,FALSE,"Sheet2"}</definedName>
    <definedName name="wrn.printreg2" hidden="1">{#N/A,#N/A,FALSE,"Sheet2"}</definedName>
    <definedName name="wrn.printreg3" hidden="1">{#N/A,#N/A,FALSE,"Sheet2"}</definedName>
    <definedName name="wrn.printreg4" hidden="1">{#N/A,#N/A,FALSE,"Sheet2"}</definedName>
    <definedName name="wrn.printreg5" hidden="1">{#N/A,#N/A,FALSE,"Sheet2"}</definedName>
    <definedName name="wrn.printreg7" hidden="1">{#N/A,#N/A,FALSE,"Sheet2"}</definedName>
    <definedName name="wrn.PRINTREP." hidden="1">{"PRINTREP",#N/A,FALSE,"Sheet1"}</definedName>
    <definedName name="wrn.printrreg2" hidden="1">{#N/A,#N/A,FALSE,"Sheet2"}</definedName>
    <definedName name="wrn.printsyns." hidden="1">{"dcfsyn",#N/A,FALSE,"DCFSYN";"senssyn",#N/A,FALSE,"DCFSYN"}</definedName>
    <definedName name="wrn.ProdAssump1_2000_2009." hidden="1">{"ProdAssump1_2000_2009",#N/A,FALSE,"ProdAssump"}</definedName>
    <definedName name="wrn.ProdAssump11_2000_2009." hidden="1">{"ProdAssump11_2000_2009",#N/A,FALSE,"ProdAssump"}</definedName>
    <definedName name="wrn.ProdAssump11_2009_2019." hidden="1">{"ProdAssump11_2009_2019",#N/A,FALSE,"ProdAssump"}</definedName>
    <definedName name="wrn.ProdAssump12_2010_2019." hidden="1">{"ProdAssump12_2010_2019",#N/A,FALSE,"ProdAssump"}</definedName>
    <definedName name="wrn.ProdAssump13_2000_2009." hidden="1">{"ProdAssump13_2000_2009",#N/A,FALSE,"ProdAssump"}</definedName>
    <definedName name="wrn.ProdAssump14_2010_2019." hidden="1">{"ProdAssump14_2010_2019",#N/A,FALSE,"ProdAssump"}</definedName>
    <definedName name="wrn.ProdAssump15_2000_2009." hidden="1">{"ProdAssump15_2000_2009",#N/A,FALSE,"ProdAssump"}</definedName>
    <definedName name="wrn.ProdAssump16_2010_2019." hidden="1">{"ProdAssump16_2010_2019",#N/A,FALSE,"ProdAssump"}</definedName>
    <definedName name="wrn.ProdAssump2_2010_2019." hidden="1">{"ProdAssump2_2010_2019",#N/A,FALSE,"ProdAssump"}</definedName>
    <definedName name="wrn.ProdAssump3_2000_2009." hidden="1">{"ProdAssump3_2000_2009",#N/A,FALSE,"ProdAssump"}</definedName>
    <definedName name="wrn.ProdAssump4_2010_2019." hidden="1">{"ProdAssump4_2010_2019",#N/A,FALSE,"ProdAssump"}</definedName>
    <definedName name="wrn.ProdAssump5_2000_2009." hidden="1">{"ProdAssump5_2000_2009",#N/A,FALSE,"ProdAssump"}</definedName>
    <definedName name="wrn.ProdAssump6_2010_2019." hidden="1">{"ProdAssump6_2010_2019",#N/A,FALSE,"ProdAssump"}</definedName>
    <definedName name="wrn.ProdAssump7_2000_2009." hidden="1">{"ProdAssump7_2000_2009",#N/A,FALSE,"ProdAssump"}</definedName>
    <definedName name="wrn.ProdAssump8_2010_2019." hidden="1">{"ProdAssump8_2010_2019",#N/A,FALSE,"ProdAssump"}</definedName>
    <definedName name="wrn.ProdAssump9_2009_2009." hidden="1">{"ProdAssump9_2000_2009",#N/A,FALSE,"ProdAssump"}</definedName>
    <definedName name="wrn.ProdAssumpTotal2000_2009." hidden="1">{"ProdAssumpTotal1",#N/A,FALSE,"ProdAssump"}</definedName>
    <definedName name="wrn.ProdAssumpTotal2010_2019." hidden="1">{"ProdAssumpTotal2",#N/A,FALSE,"ProdAssump"}</definedName>
    <definedName name="wrn.ProdQuantities1_2000_2009." hidden="1">{"ProdQuantities1_2000_2009",#N/A,FALSE,"ProdQuantities"}</definedName>
    <definedName name="wrn.ProdQuantities10_2010_2019." hidden="1">{"ProdQuantities10_2010_2019",#N/A,FALSE,"ProdQuantities"}</definedName>
    <definedName name="wrn.ProdQuantities11_2000_2009." hidden="1">{"ProdQuantities11_2000_2009",#N/A,FALSE,"ProdQuantities"}</definedName>
    <definedName name="wrn.ProdQuantities12_2010_2019." hidden="1">{"ProdQuantities12_2010_2019",#N/A,FALSE,"ProdQuantities"}</definedName>
    <definedName name="wrn.ProdQuantities2_2010_2019." hidden="1">{"ProdQuantities2_2010_2019",#N/A,FALSE,"ProdQuantities"}</definedName>
    <definedName name="wrn.ProdQuantities3_2000_2009." hidden="1">{"ProdQuantities3_2000_2009",#N/A,FALSE,"ProdQuantities"}</definedName>
    <definedName name="wrn.ProdQuantities5_2000_2009." hidden="1">{"ProdQuantities5_2000_2009",#N/A,FALSE,"ProdQuantities"}</definedName>
    <definedName name="wrn.ProdQuantities6_2000_2009." hidden="1">{"ProdQuantities6_2010_2019",#N/A,FALSE,"ProdQuantities"}</definedName>
    <definedName name="wrn.ProdQuantities7_2000_2009." hidden="1">{"ProdQuantities7_2000_2009",#N/A,FALSE,"ProdQuantities"}</definedName>
    <definedName name="wrn.ProdQuantities8_2010_2019." hidden="1">{"ProdQuantities8_2010_2019",#N/A,FALSE,"ProdQuantities"}</definedName>
    <definedName name="wrn.ProdQuantities9_2000_2009." hidden="1">{"ProdQuantities9_2000_2009",#N/A,FALSE,"ProdQuantities"}</definedName>
    <definedName name="wrn.ProdQuantitiesTotal2000_2009." hidden="1">{"ProdQuantitiesTotal2000_2009",#N/A,FALSE,"ProdQuantities"}</definedName>
    <definedName name="wrn.ProdQuantitiesTotal2010_2019." hidden="1">{"ProdQuantitiesTotal2010_2019",#N/A,FALSE,"ProdQuantities"}</definedName>
    <definedName name="wrn.Production." hidden="1">{#N/A,#N/A,FALSE,"Production"}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ktmix." hidden="1">{#N/A,#N/A,FALSE,"Print produktmix"}</definedName>
    <definedName name="wrn.Profile." hidden="1">{"Profile",#N/A,FALSE,"BXS"}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LOSS._.AC." hidden="1">{"PROFIT LOSS AC",#N/A,FALSE,"P&amp;L FY97"}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ramme._.Report." hidden="1">{"Summary",#N/A,FALSE,"Summary";"A&amp;A's",#N/A,FALSE,"Aids &amp; A's";"MajorWorks",#N/A,FALSE,"Major Works";"EstateImps",#N/A,FALSE,"Estate Imps";"CatC",#N/A,FALSE,"Cat C Voids";"CycProg",#N/A,FALSE,"Cyclical Prog inc MR"}</definedName>
    <definedName name="wrn.PROJECT." hidden="1">{#N/A,#N/A,FALSE,"P1";#N/A,#N/A,FALSE,"P2";#N/A,#N/A,FALSE,"P4";#N/A,#N/A,FALSE,"P5";#N/A,#N/A,FALSE,"P6";#N/A,#N/A,FALSE,"P7";#N/A,#N/A,FALSE,"P8";#N/A,#N/A,FALSE,"P9";#N/A,#N/A,FALSE,"P10"}</definedName>
    <definedName name="wrn.Project._.Package." hidden="1">{#N/A,#N/A,FALSE,"PROJPACK"}</definedName>
    <definedName name="wrn.Project._.Summary." hidden="1">{"Summary",#N/A,FALSE,"MICMULT";"Income Statement",#N/A,FALSE,"MICMULT";"Cash Flows",#N/A,FALSE,"MICMULT"}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ng." hidden="1">{"Commits",#N/A,FALSE,"Year"}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ERTY._.AND._.EQUIP.." hidden="1">{#N/A,#N/A,FALSE,"M-1 Property and Equipment";#N/A,#N/A,FALSE,"M-2 Asset Additions";#N/A,#N/A,FALSE,"M-3 Property Disposals"}</definedName>
    <definedName name="wrn.pror" hidden="1">{#N/A,#N/A,FALSE,"Pharm";#N/A,#N/A,FALSE,"WWCM"}</definedName>
    <definedName name="wrn.Proyección._.2007." hidden="1">{#N/A,#N/A,TRUE,"ingtemat"}</definedName>
    <definedName name="wrn.prueba." hidden="1">{#N/A,#N/A,FALSE,"Proyección 1998-2007"}</definedName>
    <definedName name="wrn.PT." hidden="1">{"PT2000",#N/A,FALSE,"BL2000"}</definedName>
    <definedName name="wrn.Publications." hidden="1">{"Page 1",#N/A,FALSE;"Page 2",#N/A,FALSE}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1._.QUARTER._.TO._.DATE." hidden="1">{"Q1QTD",#N/A,FALSE,"Q1"}</definedName>
    <definedName name="wrn.Q1F." hidden="1">{#N/A,#N/A,FALSE,"Q1F";"Q1F",#N/A,FALSE,"Q1F"}</definedName>
    <definedName name="wrn.Q2._.QUARTER._.TO._.DATE." hidden="1">{"QUARTER TO DATE",#N/A,FALSE,"Q2"}</definedName>
    <definedName name="wrn.Q2F." hidden="1">{#N/A,#N/A,FALSE,"Q2F";"Q2F",#N/A,FALSE,"Q2F"}</definedName>
    <definedName name="wrn.Q3._.QUARTER._.TO._.DATE." hidden="1">{"QUARTER TO DATE",#N/A,FALSE,"Q3"}</definedName>
    <definedName name="wrn.Q3F." hidden="1">{"Q3F",#N/A,FALSE,"Q3F"}</definedName>
    <definedName name="wrn.Q4._.QUARTER._.TO._.DATE." hidden="1">{"QUARTER TO DATE",#N/A,FALSE,"Q4"}</definedName>
    <definedName name="wrn.Q4F." hidden="1">{"Q4F",#N/A,FALSE,"Q4F"}</definedName>
    <definedName name="wrn.QFR._.Slides." hidden="1">{#N/A,#N/A,FALSE,"QFR P&amp;L Summary ";#N/A,#N/A,FALSE,"QFR Regional Ord&amp;Rev";#N/A,#N/A,FALSE,"QFR Risks &amp; Opport."}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3yr.2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4yr.2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5yr.2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QQ_Quick_Merge_6yr.2" hidden="1">{"Cover",#N/A,FALSE,"Cover";"trans_sum_print",#N/A,FALSE,"Transaction Summary";"earnings_impact_6yrQQ",#N/A,FALSE,"Earnings Impact";"accr_dil_6yr",#N/A,FALSE,"accretion dilution"}</definedName>
    <definedName name="wrn.Qrtly._.Grp._.Consol." hidden="1">{"QTRLYGrpConsol",#N/A,FALSE,"Grp Consol"}</definedName>
    <definedName name="wrn.Qrtly._.International." hidden="1">{"QTRLYInternational",#N/A,FALSE,"International"}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Corporate." hidden="1">{"QTRLYCorporate",#N/A,FALSE,"Corporate"}</definedName>
    <definedName name="wrn.Qtrly._.Funding." hidden="1">{"QTRLYFunding",#N/A,FALSE,"Funding"}</definedName>
    <definedName name="wrn.Qtrly._.Grp._.Adjustments." hidden="1">{"QTRLYGrpAdj",#N/A,FALSE,"Grp Adj"}</definedName>
    <definedName name="wrn.Qtrly._.HTUK." hidden="1">{"QTRLYHTUK",#N/A,FALSE,"HTUK"}</definedName>
    <definedName name="wrn.Qtrly._.OIDL." hidden="1">{"QTRLYOIDL",#N/A,FALSE,"OIDL"}</definedName>
    <definedName name="wrn.Qtrly._.Reports." hidden="1">{#N/A,#N/A,FALSE,"Current Qtr";#N/A,#N/A,FALSE,"YTD Qtr";#N/A,#N/A,FALSE,"Prior Qtr"}</definedName>
    <definedName name="wrn.Qtrly._.Trust." hidden="1">{"QTRLYTrust",#N/A,FALSE,"Trust"}</definedName>
    <definedName name="wrn.quart" hidden="1">{#N/A,#N/A,FALSE,"Sheet2"}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Summary." hidden="1">{#N/A,#N/A,FALSE,"Quarterly Summary"}</definedName>
    <definedName name="wrn.quarterrep." hidden="1">{#N/A,#N/A,FALSE,"Sheet2"}</definedName>
    <definedName name="wrn.quarterrep2" hidden="1">{#N/A,#N/A,FALSE,"Sheet2"}</definedName>
    <definedName name="wrn.quarterrep3" hidden="1">{#N/A,#N/A,FALSE,"Sheet2"}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nge._.Values." hidden="1">{"page1",#N/A,FALSE,"Range Value - Incl Reclasses";"page2",#N/A,FALSE,"Range Value - Incl Reclasses";"page3",#N/A,FALSE,"Range Value - Incl Reclasses"}</definedName>
    <definedName name="wrn.RAP.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{"ratios",#N/A,FALSE,"Summary Accounts"}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_.Report." hidden="1">{"Recon",#N/A,FALSE,"GL Recons";"Recon Detail",#N/A,FALSE,"GL Recons"}</definedName>
    <definedName name="wrn.Reconciliation." hidden="1">{"Reconciliation",#N/A,FALSE,"Page 2"}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egressions._.corrigees." hidden="1">{"regression corrigées",#N/A,FALSE,"Regressions"}</definedName>
    <definedName name="wrn.régressions._.corrigées." hidden="1">{"regression corrigées",#N/A,FALSE,"Regressions"}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." hidden="1">{"test",#N/A,FALSE,"Y";"test2",#N/A,FALSE,"Y"}</definedName>
    <definedName name="wrn.rep_page." hidden="1">{"Annual_Income",#N/A,FALSE,"Report Page";"Balance_Cash_Flow",#N/A,FALSE,"Report Page";"Quarterly_Income",#N/A,FALSE,"Report Page"}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.2." hidden="1">{#N/A,#N/A,TRUE,"Pivots-Employee";#N/A,"Scenerio2",TRUE,"Assumptions Summary"}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." hidden="1">{#N/A,#N/A,FALSE,"IS";#N/A,#N/A,FALSE,"BS";#N/A,#N/A,FALSE,"CF";#N/A,#N/A,FALSE,"CE";#N/A,#N/A,FALSE,"Depr";#N/A,#N/A,FALSE,"APAL"}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_Mo." hidden="1">{#N/A,#N/A,FALSE,"PERFCTRL Report";#N/A,#N/A,FALSE,"PerfCtrl WideRpt";#N/A,#N/A,FALSE,"Rpts(1A)";#N/A,#N/A,FALSE,"MoRpt Detail";#N/A,#N/A,FALSE,"Analysis"}</definedName>
    <definedName name="wrn.Reports_Qtrs." hidden="1">{#N/A,#N/A,FALSE,"PERFCTRL Report";#N/A,#N/A,FALSE,"PerfCtrl WideRpt";#N/A,#N/A,FALSE,"Rpts(1A)";#N/A,#N/A,FALSE,"Analysis";#N/A,#N/A,FALSE,"MoRpt Detail";#N/A,#N/A,FALSE,"Rpt_1A(QTR)";#N/A,#N/A,FALSE,"Anal_QTR"}</definedName>
    <definedName name="wrn.Restricted._.Rpts." hidden="1">{"RptRY",#N/A,FALSE,"CDGy";"RptRQ",#N/A,FALSE,"CDGq";"RptRM",#N/A,FALSE,"CDGm"}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ts_edition._.client." hidden="1">{"résultats_édition client",#N/A,FALSE,"Résultats"}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._.ANNEXE." hidden="1">{"RESUME ANNEXE",#N/A,FALSE,"résumé annexe"}</definedName>
    <definedName name="wrn.RESUMENES." hidden="1">{"RESUMEN",#N/A,FALSE,"BASE ANEXOS";"ANEXO 1",#N/A,FALSE,"BASE ANEXOS";"ANEXO 2",#N/A,FALSE,"BASE ANEXOS"}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kumuliert." hidden="1">{"TeleREVIkumuliert",#N/A,TRUE,"Tele";"GfREVIkumuliert",#N/A,TRUE,"Gf";"MktREVIkumuliert",#N/A,TRUE,"Mkt";"RTLTextREVIkumuliert",#N/A,TRUE,"RTLText";"ATXITVREVIkumuliert",#N/A,TRUE,"ATXITV";"TechREVIkumuliert",#N/A,TRUE,"Tech";"PufferREVIkumuliert",#N/A,TRUE,"Puffer"}</definedName>
    <definedName name="wrn.REVISED." hidden="1">{"REVISED",#N/A,FALSE,"Sheet1"}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parat." hidden="1">{"TeleREVIseparat",#N/A,TRUE,"Tele";"GfREVIseparat",#N/A,TRUE,"Gf";"MktREVIseparat",#N/A,TRUE,"Mkt";"RTLTextREVIseparat",#N/A,TRUE,"RTLText";"ATXITVREVIseparat",#N/A,TRUE,"ATXITV";"TechREVIseparat",#N/A,TRUE,"Tech";"PufferREVIseparat",#N/A,TRUE,"Puffer"}</definedName>
    <definedName name="wrn.Revs." hidden="1">{"Base_rev",#N/A,FALSE,"Proj_IS_Base";"Projrev",#N/A,FALSE,"Proj_IS_wOTLC";"Delta",#N/A,FALSE,"Delta Rev_PV"}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buster.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ll._.Up._.Fields." hidden="1">{"Total",#N/A,FALSE,"Six Fields";"PDP",#N/A,FALSE,"Six Fields";"PNP",#N/A,FALSE,"Six Fields";"PUD",#N/A,FALSE,"Six Fields";"Prob",#N/A,FALSE,"Six Fields"}</definedName>
    <definedName name="wrn.rprt." hidden="1">{#N/A,#N/A,FALSE,"A";#N/A,#N/A,FALSE,"B-1";#N/A,#N/A,FALSE,"WACC";#N/A,#N/A,FALSE,"C-1";#N/A,#N/A,FALSE,"C-2";#N/A,#N/A,FALSE,"D-1";#N/A,#N/A,FALSE,"D-2";#N/A,#N/A,FALSE,"D-3"}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s_1A." hidden="1">{#N/A,#N/A,FALSE,"Rpts(1A)"}</definedName>
    <definedName name="wrn.Rpts_Monthly." hidden="1">{#N/A,#N/A,FALSE,"Cost(Sales &amp; Prod)";#N/A,#N/A,FALSE,"MonthlyDetail-Year";#N/A,#N/A,FALSE,"Nat'lClass"}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WReport1.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_1" hidden="1">{#N/A,"S 4000 ",TRUE,"Sheet1";#N/A,"S 4001 ",TRUE,"Sheet1";#N/A,"S 4009 ",TRUE,"Sheet1";#N/A,"S 4100 ",TRUE,"Sheet1";#N/A,"S 4200 ",TRUE,"Sheet1";#N/A,"S 4510 ",TRUE,"Sheet1";#N/A,"S 4520 ",TRUE,"Sheet1"}</definedName>
    <definedName name="wrn.SALARY._.CALC._.REPORTS." hidden="1">{"SALDIR",#N/A,FALSE,"WAFER FAB 1 EXPENSE";"SALMGMT",#N/A,FALSE,"WAFER FAB 1 EXPENSE";"SALENGINEERING",#N/A,FALSE,"WAFER FAB 1 EXPENSE";"SALEQUIPSUPPORT",#N/A,FALSE,"WAFER FAB 1 EXPENSE";"SALFABMAT",#N/A,FALSE,"WAFER FAB 1 EXPENSE"}</definedName>
    <definedName name="wrn.SALES." hidden="1">{"SALES",#N/A,FALSE,"B"}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meleingabe." hidden="1">{#N/A,#N/A,FALSE,"Sammeleingabe"}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kumuliert." hidden="1">{"TeleSAPkumuliert",#N/A,TRUE,"Tele";"GfSAPkumuliert",#N/A,TRUE,"Gf";"MktSAPkumuliert",#N/A,TRUE,"Mkt";"RTLTextSAPkumuliert",#N/A,TRUE,"RTLText";"ATXITVSAPkumuliert",#N/A,TRUE,"ATXITV";"TechSAPkumuliert",#N/A,TRUE,"Tech";"PufferSAPkumuliert",#N/A,TRUE,"Puffer"}</definedName>
    <definedName name="wrn.SAPseparat." hidden="1">{"TeleSAPseparat",#N/A,TRUE,"Tele";"GfSAPseparat",#N/A,TRUE,"Gf";"MktSAPseparat",#N/A,TRUE,"Mkt";"RTLTextSAPseparat",#N/A,TRUE,"RTLText";"ATXITVSAPseparat",#N/A,TRUE,"ATXITV";"TechSAPseparat",#N/A,TRUE,"Tech";"PufferSAPseparat",#N/A,TRUE,"Puffer"}</definedName>
    <definedName name="wrn.SAW._.AND._.SUPPORT." hidden="1">{"SAW",#N/A,FALSE,"ASSEMBLY EXPENSE"}</definedName>
    <definedName name="wrn.SB_PRES." hidden="1">{#N/A,#N/A,TRUE,"Sheet16"}</definedName>
    <definedName name="wrn.sbhk." hidden="1">{"sbhko",#N/A,FALSE,"A";"sbhko2",#N/A,FALSE,"A";"sbhko3",#N/A,FALSE,"A"}</definedName>
    <definedName name="wrn.sbkf." hidden="1">{"sbfk2",#N/A,FALSE,"A";"sbkf3",#N/A,FALSE,"A";"sbkf4",#N/A,FALSE,"A";"sbkf1",#N/A,FALSE,"A"}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M_Report_Controlling." hidden="1">{"SCM_Detail",#N/A,FALSE,"SCM";"SCM_Top",#N/A,FALSE,"SCM"}</definedName>
    <definedName name="wrn.Scott." hidden="1">{#N/A,#N/A,FALSE,"Nat'lClass";#N/A,#N/A,FALSE,"NatlClass2";#N/A,#N/A,FALSE,"Cost(Sales &amp; Prod)";#N/A,#N/A,FALSE,"MonthlyDetail-Year"}</definedName>
    <definedName name="wrn.scrap." hidden="1">{"scrap",#N/A,FALSE,"scrap"}</definedName>
    <definedName name="wrn.scrap0" hidden="1">{"scrap",#N/A,FALSE,"scrap"}</definedName>
    <definedName name="wrn.scrap2" hidden="1">{"scrap",#N/A,FALSE,"scrap"}</definedName>
    <definedName name="wrn.scrap3" hidden="1">{"scrap",#N/A,FALSE,"scrap"}</definedName>
    <definedName name="wrn.scrap4" hidden="1">{"scrap",#N/A,FALSE,"scrap"}</definedName>
    <definedName name="wrn.sdi." hidden="1">{#N/A,#N/A,FALSE,"Customer Base";#N/A,#N/A,FALSE,"Workforce";#N/A,#N/A,FALSE,"cur prod";#N/A,#N/A,FALSE,"in-proc";#N/A,#N/A,FALSE,"Trademark"}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Mills";#N/A,#N/A,FALSE,"LRE";#N/A,#N/A,FALSE,"Addon";#N/A,#N/A,FALSE,"FTESUMM";#N/A,#N/A,FALSE,"FTE2";#N/A,#N/A,FALSE,"BaseData";#N/A,#N/A,FALSE,"WFTE2";#N/A,#N/A,FALSE,"Nonvoted"}</definedName>
    <definedName name="wrn.section._.A." hidden="1">{"pg A1",#N/A,FALSE,"Sum P&amp;L";"pg A2",#N/A,FALSE,"Charts1";"pg A3",#N/A,FALSE,"Sum Cash";"pg A4",#N/A,FALSE,"Charts2";"pg A5",#N/A,FALSE,"Sum BS";"pg A6",#N/A,FALSE,"Sum Invest"}</definedName>
    <definedName name="wrn.section._.B." hidden="1">{"pg B1",#N/A,FALSE,"P&amp;L Detail - Month";"pg B2",#N/A,FALSE,"P&amp;L Detail - YTD";"pg B3",#N/A,FALSE,"Cash Detail - Month";"pg B4",#N/A,FALSE,"Cash Detail - YTD";"pg B5",#N/A,FALSE,"BS Detail - CY";"pg B6",#N/A,FALSE,"BS Detail - PY";"pg B7",#N/A,FALSE,"Headcount Detail"}</definedName>
    <definedName name="wrn.section._.C." hidden="1">{"pg C19",#N/A,FALSE,"WTC - Cover pg";"pg C20",#N/A,FALSE,"WTC - Overview";"pg C21",#N/A,FALSE,"WTC - Charts";"pg C22",#N/A,FALSE,"WTC - Stats";"pg C23",#N/A,FALSE,"WTC - Projects";"pg C24",#N/A,FALSE,"Blank pg"}</definedName>
    <definedName name="wrn.section._.E." hidden="1">{"pg E1",#N/A,FALSE,"Ventures Portfolio";"pg E2",#N/A,FALSE,"Venture - Cash";"pg E3",#N/A,FALSE,"Unrealized Gains";"pg E4",#N/A,FALSE,"Realized Gains"}</definedName>
    <definedName name="wrn.section._.F." hidden="1">{"pg F1",#N/A,FALSE,"Fin Smry1";"pg F2",#N/A,FALSE,"Fin Smry2";"pg F3",#N/A,FALSE,"Fin Smry3";"pg F4",#N/A,FALSE,"Fin Smry4"}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SemiCap." hidden="1">{#N/A,#N/A,FALSE,"from high";#N/A,#N/A,FALSE,"from low";#N/A,#N/A,FALSE,"Market Cap";#N/A,#N/A,FALSE,"Alpha"}</definedName>
    <definedName name="wrn.sens." hidden="1">{#N/A,#N/A,FALSE,"Sensitivities";#N/A,#N/A,FALSE,"Sensitivities2"}</definedName>
    <definedName name="wrn.sens.2" hidden="1">{#N/A,#N/A,FALSE,"Sensitivities";#N/A,#N/A,FALSE,"Sensitivities2"}</definedName>
    <definedName name="wrn.sens3." hidden="1">{#N/A,#N/A,TRUE,"DCF";#N/A,#N/A,TRUE,"DCF"}</definedName>
    <definedName name="wrn.sensitivity." hidden="1">{"sensitivity",#N/A,FALSE,"Sensitivity"}</definedName>
    <definedName name="wrn.sensitivity._.analyses." hidden="1">{"general",#N/A,FALSE,"Assumptions"}</definedName>
    <definedName name="wrn.SEP." hidden="1">{"SEP",#N/A,FALSE,"SEP"}</definedName>
    <definedName name="wrn.SEPTEMBER." hidden="1">{"Q1SEP",#N/A,FALSE,"Q1"}</definedName>
    <definedName name="wrn.Set." hidden="1">{#N/A,#N/A,FALSE,"High";#N/A,#N/A,FALSE,"Low";#N/A,#N/A,FALSE,"MarketCap";#N/A,#N/A,FALSE,"Alpha"}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MENT." hidden="1">{"SHIPMENT",#N/A,FALSE,"A"}</definedName>
    <definedName name="wrn.SHORT." hidden="1">{"CREDIT STATISTICS",#N/A,FALSE,"STATS";"CF_AND_IS",#N/A,FALSE,"PLAN";"BALSHEET",#N/A,FALSE,"BALANCE SHEET"}</definedName>
    <definedName name="wrn.Short._.Print." hidden="1">{#N/A,#N/A,FALSE,"Summary";#N/A,#N/A,FALSE,"Returns";#N/A,#N/A,FALSE,"Opening BS";#N/A,#N/A,FALSE,"EMO";#N/A,#N/A,FALSE,"BS";#N/A,#N/A,FALSE,"IS";#N/A,#N/A,FALSE,"Metalworking IS";#N/A,#N/A,FALSE,"CFS";#N/A,#N/A,FALSE,"Ratios"}</definedName>
    <definedName name="wrn.Shut_Down." hidden="1">{#N/A,#N/A,FALSE,"Shut-down"}</definedName>
    <definedName name="wrn.Sierra." hidden="1">{#N/A,#N/A,FALSE,"OXHP"}</definedName>
    <definedName name="wrn.Sitzung._.19.._.September._.1996.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{#N/A,#N/A,FALSE,"Cover";#N/A,#N/A,FALSE,"Process";#N/A,#N/A,FALSE,"Next Steps";#N/A,#N/A,FALSE,"Goals";#N/A,#N/A,FALSE,"Units";#N/A,#N/A,FALSE,"Units By Market";#N/A,#N/A,FALSE,"Sales";#N/A,#N/A,FALSE,"Comparative IS";#N/A,#N/A,FALSE,"Consolidating";#N/A,#N/A,FALSE,"Metrics";#N/A,#N/A,FALSE,"PowerEvolution";#N/A,#N/A,FALSE,"Prod Line Title";#N/A,#N/A,FALSE,"50-60 Highlights";#N/A,#N/A,FALSE,"2 Cyl Reman Highlights";#N/A,#N/A,FALSE,"2-4000 Highlights";#N/A,#N/A,FALSE,"Cento Highlights";#N/A,#N/A,FALSE,"PL Income";#N/A,#N/A,FALSE,"PL Metrics";#N/A,#N/A,FALSE,"Sub Performance";#N/A,#N/A,FALSE,"Sensitivity"}</definedName>
    <definedName name="wrn.Slides.1a" hidden="1">{#N/A,#N/A,FALSE,"Cover";#N/A,#N/A,FALSE,"Process";#N/A,#N/A,FALSE,"Next Steps";#N/A,#N/A,FALSE,"Goals";#N/A,#N/A,FALSE,"Units";#N/A,#N/A,FALSE,"Units By Market";#N/A,#N/A,FALSE,"Sales";#N/A,#N/A,FALSE,"Comparative IS";#N/A,#N/A,FALSE,"Consolidating";#N/A,#N/A,FALSE,"Metrics";#N/A,#N/A,FALSE,"PowerEvolution";#N/A,#N/A,FALSE,"Prod Line Title";#N/A,#N/A,FALSE,"50-60 Highlights";#N/A,#N/A,FALSE,"2 Cyl Reman Highlights";#N/A,#N/A,FALSE,"2-4000 Highlights";#N/A,#N/A,FALSE,"Cento Highlights";#N/A,#N/A,FALSE,"PL Income";#N/A,#N/A,FALSE,"PL Metrics";#N/A,#N/A,FALSE,"Sub Performance";#N/A,#N/A,FALSE,"Sensitivity"}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OE." hidden="1">{"SOE",#N/A,FALSE,"A"}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ho._.1." hidden="1">{#N/A,#N/A,FALSE,"soho 2-25"}</definedName>
    <definedName name="wrn.soho._.2." hidden="1">{#N/A,#N/A,FALSE,"soho personal"}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PEC._.GAS._.CYLS." hidden="1">{"SPEC GAS CYLS",#N/A,FALSE,"SPEC GAS"}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hidden="1">{#N/A,#N/A,TRUE,"Staffnos &amp; cost"}</definedName>
    <definedName name="wrn.Staff._.cost1998.a" hidden="1">{#N/A,#N/A,TRUE,"Staffnos &amp; cost"}</definedName>
    <definedName name="wrn.Staffcost." hidden="1">{#N/A,#N/A,FALSE,"Staffnos &amp; cost"}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1" hidden="1">{#N/A,#N/A,FALSE,"Assessment";#N/A,#N/A,FALSE,"Staffing";#N/A,#N/A,FALSE,"Hires";#N/A,#N/A,FALSE,"Assumptions"}</definedName>
    <definedName name="wrn.STAMPA_BD." hidden="1">{#N/A,#N/A,FALSE,"TOTAL";#N/A,#N/A,FALSE,"FND";#N/A,#N/A,FALSE,"FSD";#N/A,#N/A,FALSE,"OND";#N/A,#N/A,FALSE,"WTD";#N/A,#N/A,FALSE,"MND";#N/A,#N/A,FALSE,"MSD";#N/A,#N/A,FALSE,"MPD";#N/A,#N/A,FALSE,"ISD";#N/A,#N/A,FALSE,"ESD";#N/A,#N/A,FALSE,"OTH";#N/A,#N/A,FALSE,"PSD";#N/A,#N/A,FALSE,"ELIM";#N/A,#N/A,FALSE,"CHART_YTD";#N/A,#N/A,FALSE,"CHART_MONTH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r._.Sheets." hidden="1">{#N/A,#N/A,FALSE,"Ship Date Information Sheet";#N/A,#N/A,FALSE,"System Milestone Schedule";#N/A,#N/A,FALSE,"Reasons for Missed Milestones";#N/A,#N/A,FALSE,"CES's"}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istical._.Summary." hidden="1">{#N/A,#N/A,FALSE,"summary"}</definedName>
    <definedName name="wrn.statistical_sunnary3" hidden="1">{#N/A,#N/A,FALSE,"summary"}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OCKHOLDERS._.EQUITY." hidden="1">{#N/A,#N/A,FALSE,"WW-1 Stockholders' Equity"}</definedName>
    <definedName name="wrn.Strategi." hidden="1">{#N/A,#N/A,FALSE,"PrintS"}</definedName>
    <definedName name="wrn.Structure." hidden="1">{#N/A,#N/A,FALSE,"Structure";#N/A,#N/A,FALSE,"Proj-Cal";#N/A,#N/A,FALSE,"Market"}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." hidden="1">{"Summary",#N/A,FALSE,"Revised"}</definedName>
    <definedName name="wrn.SumIncBalRat." hidden="1">{#N/A,#N/A,FALSE,"Summary";#N/A,#N/A,FALSE,"Income Statement";#N/A,#N/A,FALSE,"Balance Sheet";#N/A,#N/A,FALSE,"Ratios"}</definedName>
    <definedName name="wrn.Summ_Assum_Graphs." hidden="1">{#N/A,#N/A,TRUE,"Initial";#N/A,#N/A,TRUE,"Graphs"}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2." hidden="1">{#N/A,#N/A,TRUE,"Model"}</definedName>
    <definedName name="wrn.SUMMARY._.ASSEM._.EXP." hidden="1">{"TOTALASSEMBLYEXPENSE",#N/A,FALSE,"MANUFACTURING EXPENSE SUMMARY"}</definedName>
    <definedName name="wrn.SUMMARY._.FAB._.I._.EXP." hidden="1">{"TOTALWAFERFABEXPENSE",#N/A,FALSE,"MANUFACTURING EXPENSE SUMMARY"}</definedName>
    <definedName name="wrn.SUMMARY._.FAB._.II._.EXP." hidden="1">{"TOTALWAFERFAB2EXPENSE",#N/A,FALSE,"MANUFACTURING EXPENSE SUMMARY"}</definedName>
    <definedName name="wrn.SUMMARY._.FACIL._.EXP." hidden="1">{"TOTALFACILITIESEXPENSE",#N/A,FALSE,"MANUFACTURING EXPENSE SUMMARY"}</definedName>
    <definedName name="wrn.SUMMARY._.MATLS._.EXP." hidden="1">{"TOTALMATERIALSEXPENSE",#N/A,FALSE,"MANUFACTURING EXPENSE SUMMARY"}</definedName>
    <definedName name="wrn.Summary._.output." hidden="1">{#N/A,#N/A,FALSE,"Assump";#N/A,#N/A,FALSE,"Calculations";#N/A,#N/A,FALSE,"P&amp;L";#N/A,#N/A,FALSE,"BS";#N/A,#N/A,FALSE,"Credit"}</definedName>
    <definedName name="wrn.summary._.print." hidden="1">{#N/A,#N/A,TRUE,"title page";#N/A,#N/A,TRUE,"Profit and loss";#N/A,#N/A,TRUE,"Balance sheet";#N/A,#N/A,TRUE,"Cashflow";#N/A,#N/A,TRUE,"Key Metrics"}</definedName>
    <definedName name="wrn.SUMMARY._.QR._.EXP." hidden="1">{"TOTALQAEXPENSE",#N/A,FALSE,"MANUFACTURING EXPENSE SUMMARY"}</definedName>
    <definedName name="wrn.Summary._.reports." hidden="1">{#N/A,#N/A,FALSE,"Commentary";#N/A,#N/A,FALSE,"Executive P &amp; L Summary";#N/A,#N/A,FALSE,"Executive BS Summary &amp; Key Figs";#N/A,#N/A,FALSE,"Head count";#N/A,#N/A,FALSE,"AFE's"}</definedName>
    <definedName name="wrn.SUMMARY._.SUBCNTRT._.EXP." hidden="1">{"TOTALSUBEXPNESE",#N/A,FALSE,"MANUFACTURING EXPENSE SUMMARY"}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2.print" hidden="1">{#N/A,#N/A,TRUE,"title page";#N/A,#N/A,TRUE,"Profit and loss";#N/A,#N/A,TRUE,"Balance sheet";#N/A,#N/A,TRUE,"Cashflow";#N/A,#N/A,TRUE,"Key Metrics"}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_comsat." hidden="1">{"summary",#N/A,FALSE,"comsat"}</definedName>
    <definedName name="wrn.summary4" hidden="1">{#N/A,#N/A,FALSE,"summary"}</definedName>
    <definedName name="wrn.summary9" hidden="1">{#N/A,#N/A,FALSE,"summary"}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ort." hidden="1">{"Support",#N/A,FALSE,"Sorted by database"}</definedName>
    <definedName name="wrn.SWITCH." hidden="1">{"SWITCH",#N/A,FALSE,"REVENUE AND GM "}</definedName>
    <definedName name="wrn.Table._.of._.Contents." hidden="1">{#N/A,#N/A,FALSE,"Table of Contents"}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vg4a." hidden="1">{"rates",#N/A,FALSE,"tavg4a";"rev",#N/A,FALSE,"tavg4a"}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es." hidden="1">{#N/A,#N/A,FALSE,"Taxes"}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C." hidden="1">{"TEC - DVMD",#N/A,FALSE,"Aout_2000";"TEC - projets en cours",#N/A,FALSE,"Aout_2000";"TEC - projets terminés",#N/A,FALSE,"Aout_2000"}</definedName>
    <definedName name="wrn.Ten._.Year." hidden="1">{#N/A,"Ten Year",FALSE,"Assumptions";#N/A,"Ten Year",FALSE,"Annual Summary";#N/A,"Ten Year",FALSE,"Quarterly Summary";#N/A,#N/A,FALSE,"IRR"}</definedName>
    <definedName name="wrn.test." hidden="1">{#N/A,#N/A,FALSE,"Fluktuation TSI"}</definedName>
    <definedName name="wrn.test1." hidden="1">{"atest",#N/A,FALSE,"Tabelle1";#N/A,#N/A,FALSE,"Tabelle2"}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heWholeEnchilada.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MCALL." hidden="1">{"tmccash",#N/A,FALSE,"INCX";"tmcinc",#N/A,FALSE,"INCX";"tmcpretx",#N/A,FALSE,"INCX";"tmcadrev",#N/A,FALSE,"INCX";"tmcbooks",#N/A,FALSE,"INCX"}</definedName>
    <definedName name="wrn.TMRO._.Defence._.Pack." hidden="1">{#N/A,#N/A,FALSE,"Front Page";#N/A,#N/A,FALSE,"Contents";#N/A,#N/A,FALSE,"Deals in month";#N/A,#N/A,FALSE,"Order Tracking";#N/A,#N/A,FALSE,"Orders Committed";#N/A,#N/A,FALSE,"Orders P1-3";#N/A,#N/A,FALSE,"Major Sales Top 20";#N/A,#N/A,FALSE,"HPS Major Sales";#N/A,#N/A,FALSE,"OS Major Sales";#N/A,#N/A,FALSE,"MJ OS Calculation sheet";#N/A,#N/A,FALSE,"MJ HPS Calculation sheet";#N/A,#N/A,FALSE,"OS Rev Track";#N/A,#N/A,FALSE,"OS Committed";#N/A,#N/A,FALSE,"OS P1-3";#N/A,#N/A,FALSE,"HPS Rev Track";#N/A,#N/A,FALSE,"HPS Committed";#N/A,#N/A,FALSE,"HPS P1-3";#N/A,#N/A,FALSE,"Lost Bids";#N/A,#N/A,FALSE,"OSD Offering Bar Chart";#N/A,#N/A,FALSE,"HPS Offering Bar Chart";#N/A,#N/A,FALSE,"Defence Offering Bar Chart";#N/A,#N/A,FALSE,"Ongoing HPS VME Revenue";#N/A,#N/A,FALSE,"Issues "}</definedName>
    <definedName name="wrn.TMRO._.Horizontal._.Pack." hidden="1">{#N/A,#N/A,TRUE,"Front Page";#N/A,#N/A,TRUE,"Contents";#N/A,#N/A,TRUE,"Deals in month";#N/A,#N/A,TRUE,"Order Tracking";#N/A,#N/A,TRUE,"Orders Committed";#N/A,#N/A,TRUE,"Orders P1-3";#N/A,#N/A,TRUE,"Major Sales Top 20";#N/A,#N/A,TRUE,"HPS Major Sales";#N/A,#N/A,TRUE,"OS 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Industry Bar Chart";#N/A,#N/A,TRUE,"HPS Industry Bar Chart";#N/A,#N/A,TRUE,"Ongoing HPS VME Revenue";#N/A,#N/A,TRUE,"Issues "}</definedName>
    <definedName name="wrn.TMRO._.Pack." hidden="1">{#N/A,#N/A,TRUE,"Front Page";#N/A,#N/A,TRUE,"Contents";#N/A,#N/A,TRUE,"Deals in month";#N/A,#N/A,TRUE,"Order Tracking";#N/A,#N/A,TRUE,"Orders Committed";#N/A,#N/A,TRUE,"Orders P1-3";#N/A,#N/A,TRUE,"Major Sales Top 20";#N/A,#N/A,TRUE,"Major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Offering Bar Chart";#N/A,#N/A,TRUE,"HPS Offering Bar Chart";#N/A,#N/A,TRUE,"Ongoing HPS VME Revenue";#N/A,#N/A,TRUE,"Issues"}</definedName>
    <definedName name="wrn.TMRO._.Vertical._.Pack." hidden="1">{#N/A,#N/A,TRUE,"Front Page";#N/A,#N/A,TRUE,"Contents";#N/A,#N/A,TRUE,"Deals in month";#N/A,#N/A,TRUE,"Order Tracking";#N/A,#N/A,TRUE,"Orders Committed";#N/A,#N/A,TRUE,"Orders P1-3";#N/A,#N/A,TRUE,"Major Sales Top 20";#N/A,#N/A,TRUE,"HPS Major Sales";#N/A,#N/A,TRUE,"OS 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Offering Bar Chart";#N/A,#N/A,TRUE,"HPS Offering Bar Chart";#N/A,#N/A,TRUE,"Ongoing HPS VME Revenue";#N/A,#N/A,TRUE,"Issues 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employees." hidden="1">{"Marketing",#N/A,FALSE,"O_personnel";"Sales",#N/A,FALSE,"O_personnel";"Finance",#N/A,FALSE,"O_personnel";"Hr",#N/A,FALSE,"O_personnel";"Act",#N/A,FALSE,"O_personnel";"IT",#N/A,FALSE,"O_personnel";"CSR",#N/A,FALSE,"O_personnel";"Logistic",#N/A,FALSE,"O_personnel";"Engineering",#N/A,FALSE,"O_personnel";"New business",#N/A,FALSE,"O_personnel";"wage_cost",#N/A,FALSE,"O_sallery"}</definedName>
    <definedName name="wrn.TOTAL._.FAB._.2._.EXPENSE." hidden="1">{"TOTALFAB",#N/A,FALSE,"WAFER FAB 2 EXPENSE"}</definedName>
    <definedName name="wrn.Total._.Market._.Report.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lant." hidden="1">{#N/A,#N/A,FALSE,"Total Plant"}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comp.1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pepsum4a." hidden="1">{"pep204a",#N/A,FALSE,"tpepsum4a";"pep205a",#N/A,FALSE,"tpepsum4a";"wpep204a",#N/A,FALSE,"tpepsum4a";"wpep205a",#N/A,FALSE,"tpepsum4a"}</definedName>
    <definedName name="wrn.Track." hidden="1">{#N/A,#N/A,FALSE,"Inc Stmt";#N/A,#N/A,FALSE,"Indirect Costs";#N/A,#N/A,FALSE,"Capital"}</definedName>
    <definedName name="wrn.Trading._.Summary." hidden="1">{#N/A,#N/A,FALSE,"Trading Summary"}</definedName>
    <definedName name="wrn.trans." hidden="1">{#N/A,#N/A,FALSE,"TRANSNEW"}</definedName>
    <definedName name="wrn.trans._.sum." hidden="1">{"trans assumptions",#N/A,FALSE,"Merger";"trans accretion",#N/A,FALSE,"Merger"}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Management._.Full._.Print." hidden="1">{"Summary only",#N/A,FALSE,"Loan Summary";"Detail",#N/A,FALSE,"Loan Summary"}</definedName>
    <definedName name="wrn.Trend._.Reports." hidden="1">{#N/A,#N/A,FALSE,"IncStmt_Trend_SmallFormat";#N/A,#N/A,FALSE,"Retail";#N/A,#N/A,FALSE,"AdminExcRest"}</definedName>
    <definedName name="wrn.Trucking." hidden="1">{#N/A,#N/A,FALSE,"Trucking"}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._.GAAP._.BS." hidden="1">{"UKGAAP balance sheet",#N/A,FALSE,"Balance Sheet"}</definedName>
    <definedName name="wrn.Umsatz." hidden="1">{#N/A,#N/A,FALSE,"Umsatz";#N/A,#N/A,FALSE,"Base V.02";#N/A,#N/A,FALSE,"Charts"}</definedName>
    <definedName name="wrn.United._.Scaffolding." hidden="1">{#N/A,#N/A,FALSE,"Balance";#N/A,#N/A,FALSE,"Income";#N/A,#N/A,FALSE,"Equity";#N/A,#N/A,FALSE,"Cash"}</definedName>
    <definedName name="wrn.up." hidden="1">{"up stand alones",#N/A,FALSE,"Acquiror"}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pstairs1." hidden="1">{"histincome",#N/A,FALSE,"hyfins";"closing balance",#N/A,FALSE,"hyfins"}</definedName>
    <definedName name="wrn.upstairs2." hidden="1">{"histincome",#N/A,FALSE,"hyfins";"closing balance",#N/A,FALSE,"hyfins"}</definedName>
    <definedName name="wrn.upstairs3." hidden="1">{"histincome",#N/A,FALSE,"hyfins";"closing balance",#N/A,FALSE,"hyfins"}</definedName>
    <definedName name="wrn.USD._.COST." hidden="1">{"USDCOST",#N/A,FALSE,"FC-3 "}</definedName>
    <definedName name="wrn.USD._.FC3." hidden="1">{"USDFC3",#N/A,FALSE,"FC-3 "}</definedName>
    <definedName name="wrn.USW." hidden="1">{"IS",#N/A,FALSE,"IS";"RPTIS",#N/A,FALSE,"RPTIS";"STATS",#N/A,FALSE,"STATS";"BS",#N/A,FALSE,"BS"}</definedName>
    <definedName name="wrn.UTL._.Position." hidden="1">{"UTL effect",#N/A,FALSE,"Sensitivity"}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alderrama." hidden="1">{"valderrama1",#N/A,FALSE,"Pro Forma";"valderrama",#N/A,FALSE,"Pro Forma"}</definedName>
    <definedName name="wrn.valor." hidden="1">{#N/A,#N/A,FALSE,"CA_DR";#N/A,#N/A,FALSE,"CA_Balanço";#N/A,#N/A,FALSE,"CA_Mapa FM";#N/A,#N/A,FALSE,"CA_Valor"}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riance." hidden="1">{"Act_vs_Budget",#N/A,FALSE,"QTRDPVAR";"Act_vs_Prior_Year",#N/A,FALSE,"QTRDPVAR"}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cc." hidden="1">{"Area1",#N/A,FALSE,"OREWACC";"Area2",#N/A,FALSE,"OREWACC"}</definedName>
    <definedName name="wrn.Water." hidden="1">{#N/A,#N/A,FALSE,"Water";#N/A,#N/A,FALSE,"Ballygowan";#N/A,#N/A,FALSE,"Volvic"}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OMM III";#N/A,#N/A,FALSE,"WC 1995 PLAN";#N/A,#N/A,FALSE,"WC 1995 ADJUSTED"}</definedName>
    <definedName name="wrn.Week._.1." hidden="1">{"Week one Period 4",#N/A,FALSE,"Period 4"}</definedName>
    <definedName name="wrn.Week._.2." hidden="1">{"Week two Period 4",#N/A,FALSE,"Period 4"}</definedName>
    <definedName name="wrn.Week._.3." hidden="1">{"Week three Period 4",#N/A,FALSE,"Period 4"}</definedName>
    <definedName name="wrn.Week._.4." hidden="1">{"Week four Period 4",#N/A,FALSE,"Period 4"}</definedName>
    <definedName name="wrn.weekly." hidden="1">{#N/A,#N/A,FALSE,"Syst Summary";#N/A,#N/A,FALSE,"SO Ontime";#N/A,#N/A,FALSE,"Jobs Past Due";#N/A,#N/A,FALSE,"Jobs OT Comp Sched";#N/A,#N/A,FALSE,"Jobs OT Rlse";#N/A,#N/A,FALSE,"Repair BL";#N/A,#N/A,FALSE,"MRB"}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K." hidden="1">{#N/A,#N/A,FALSE,"PA";#N/A,#N/A,FALSE,"PA (2)";#N/A,#N/A,FALSE,"PA (3)"}</definedName>
    <definedName name="wrn.wkst." hidden="1">{"prt_wksht",#N/A,FALSE,"Sheet1"}</definedName>
    <definedName name="wrn.Wochenbericht." hidden="1">{#N/A,#N/A,FALSE,"WOBE_DE.XLS";#N/A,#N/A,FALSE,"WOB_1.XLS";#N/A,#N/A,FALSE,"WOB_2.XLS";#N/A,#N/A,FALSE,"WOB_3.XLS";#N/A,#N/A,FALSE,"WOB_4.XLS";#N/A,#N/A,FALSE,"WOB_5.XLS"}</definedName>
    <definedName name="wrn.Wochenbericht._.o.._.Deckblatt." hidden="1">{#N/A,#N/A,FALSE,"WOB_1.XLS";#N/A,#N/A,FALSE,"WOB_2.XLS";#N/A,#N/A,FALSE,"WOB_3.XLS";#N/A,#N/A,FALSE,"WOB_4.XLS";#N/A,#N/A,FALSE,"WOB_5.XLS"}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ingCapGermanGAAP2000_2009." hidden="1">{"WCGGAAP1",#N/A,FALSE,"P&amp;L G GAAP"}</definedName>
    <definedName name="wrn.WorkingCapGermanGAAP2010_2019." hidden="1">{"WCGGAAP2",#N/A,FALSE,"P&amp;L G GAAP"}</definedName>
    <definedName name="wrn.WorkingCapUSGAAP2000_2009." hidden="1">{"WCUSGAAP1",#N/A,FALSE,"P&amp;L US GAAP"}</definedName>
    <definedName name="wrn.WorkingCapUSGAAP2010_2019." hidden="1">{"WCUSGAAP2",#N/A,FALSE,"P&amp;L US GAAP"}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._.PROFIT._.AND._.LOSS." hidden="1">{#N/A,#N/A,FALSE,"notes";#N/A,#N/A,FALSE,"Perform";#N/A,#N/A,FALSE,"Graphs";#N/A,#N/A,FALSE,"FAMILIES GRAPHS";#N/A,#N/A,FALSE,"WWP&amp;Lsum";#N/A,#N/A,FALSE,"WWP&amp;Lfam";#N/A,#N/A,FALSE,"SALCOMP"}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._.End." hidden="1">{#N/A,#N/A,FALSE,"Year End"}</definedName>
    <definedName name="wrn.YEAR._.TO._.DATE." hidden="1">{"YEAR TO DATE",#N/A,FALSE,"YTD"}</definedName>
    <definedName name="wrn.Year_Detail." hidden="1">{#N/A,#N/A,FALSE,"MoRpt Detail"}</definedName>
    <definedName name="wrn.YRF." hidden="1">{"YRF",#N/A,FALSE,"YRF"}</definedName>
    <definedName name="wrn.YTD." hidden="1">{"YTD",#N/A,FALSE,"SUM"}</definedName>
    <definedName name="wrn.YTD._.PACKAGE." hidden="1">{"YD PACKAGE",#N/A,FALSE,"YTD"}</definedName>
    <definedName name="wrn.YTD._.PRS." hidden="1">{"YD PRS",#N/A,FALSE,"YTD"}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Y차._.종합." hidden="1">{#N/A,#N/A,TRUE,"Y생산";#N/A,#N/A,TRUE,"Y판매";#N/A,#N/A,TRUE,"Y총물량";#N/A,#N/A,TRUE,"Y능력";#N/A,#N/A,TRUE,"YKD"}</definedName>
    <definedName name="wrn.zweiseitige." hidden="1">{"frefbe1",#N/A,FALSE,"B";"frefbe2",#N/A,FALSE,"B";"frefbe3",#N/A,FALSE,"B";"bkhv1",#N/A,FALSE,"B";"sbkhv1",#N/A,FALSE,"B";"kd1",#N/A,FALSE,"B";"kd2",#N/A,FALSE,"B";"ao",#N/A,FALSE,"B";"nbl1",#N/A,FALSE,"B"}</definedName>
    <definedName name="wrn.ку." hidden="1">{#N/A,#N/A,TRUE,"Лист2"}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현대정공구매현황." hidden="1">{#N/A,#N/A,FALSE,"정공"}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1.1.1" hidden="1">{#N/A,#N/A,FALSE,"Calc";#N/A,#N/A,FALSE,"Sensitivity";#N/A,#N/A,FALSE,"LT Earn.Dil.";#N/A,#N/A,FALSE,"Dil. AVP"}</definedName>
    <definedName name="wrn1.Bewegungsbilanz" hidden="1">{#N/A,#N/A,FALSE,"Mittelherkunft";#N/A,#N/A,FALSE,"Mittelverwendung"}</definedName>
    <definedName name="wrn1.clearing" hidden="1">{"CLEARING",#N/A,FALSE,"clearing"}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history" hidden="1">{#N/A,#N/A,FALSE,"model"}</definedName>
    <definedName name="wrn1.PRINT." hidden="1">{"DOWNLOAD",#N/A,FALSE,"GLDownload";"UPLOAD",#N/A,FALSE,"GLUpload"}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2.Analysis." hidden="1">{"ratios",#N/A,FALSE,"Analyse";"multiples",#N/A,FALSE,"Analyse";"places",#N/A,FALSE,"Analyse"}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rn2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2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2.Input." hidden="1">{"données",#N/A,FALSE,"Input"}</definedName>
    <definedName name="wrn2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2.regression_client." hidden="1">{"reg_edition client",#N/A,FALSE,"Regressions"}</definedName>
    <definedName name="wrn2.regression_travail." hidden="1">{"reg_travail",#N/A,FALSE,"Regressions"}</definedName>
    <definedName name="wrn2.resultats_travail." hidden="1">{"res_travail",#N/A,FALSE,"Résultats"}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." hidden="1">{"SYNTHESE",#N/A,FALSE,"Synthese"}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3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a.dave" hidden="1">{"salaried",#N/A,FALSE,"VLD View (2)"}</definedName>
    <definedName name="wrna.prod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.print" hidden="1">{#N/A,#N/A,FALSE,"Model";#N/A,#N/A,FALSE,"Division"}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fy97" hidden="1">{#N/A,#N/A,FALSE,"FY97";#N/A,#N/A,FALSE,"FY98";#N/A,#N/A,FALSE,"FY99";#N/A,#N/A,FALSE,"FY00";#N/A,#N/A,FALSE,"FY01"}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x01" hidden="1">{#N/A,#N/A,TRUE,"ergebnis"}</definedName>
    <definedName name="WRR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wer" hidden="1">{#N/A,#N/A,FALSE,"Umsatz 99";#N/A,#N/A,FALSE,"ER 99 "}</definedName>
    <definedName name="wrwrwrwr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" hidden="1">{#N/A,#N/A,FALSE,"Aging Summary";#N/A,#N/A,FALSE,"Ratio Analysis";#N/A,#N/A,FALSE,"Test 120 Day Accts";#N/A,#N/A,FALSE,"Tickmarks"}</definedName>
    <definedName name="wsgf" hidden="1">{"Burden (burden)",#N/A,FALSE,"burden"}</definedName>
    <definedName name="wss" hidden="1">{"summary1",#N/A,TRUE,"Comps";"summary2",#N/A,TRUE,"Comps";"summary3",#N/A,TRUE,"Comps"}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e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tvr" hidden="1">{#N/A,#N/A,TRUE,"Hist &amp; Proj BS 98-02";#N/A,#N/A,TRUE,"Hist &amp; Proj IS 98-02";#N/A,#N/A,TRUE,"Hist &amp; Proj Oper Exp 98-02";#N/A,#N/A,TRUE,"Hist &amp; Proj CF 99-02";#N/A,#N/A,TRUE,"Mnthly Cash 99";#N/A,#N/A,TRUE,"Mnthly Cash 00";#N/A,#N/A,TRUE,"Mnthly Cash 01";#N/A,#N/A,TRUE,"Mnthly Cash 02";#N/A,#N/A,TRUE,"Mnthly IS 99";#N/A,#N/A,TRUE,"Mnthly IS 00";#N/A,#N/A,TRUE,"Mnthly IS 01";#N/A,#N/A,TRUE,"Mnthly IS 02"}</definedName>
    <definedName name="wv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nalysis1H95." hidden="1">{TRUE,TRUE,-1.25,-15.5,484.5,276.75,FALSE,TRUE,TRUE,TRUE,0,112,#N/A,156,#N/A,14.21875,18.2941176470588,1,FALSE,FALSE,3,TRUE,1,FALSE,100,"Swvu.Analysis1H95.","ACwvu.Analysis1H95.",#N/A,FALSE,FALSE,0.5,0,0,0,2,"","",TRUE,TRUE,FALSE,FALSE,1,#N/A,1,1,"=R130C94:R170C123",FALSE,"Rwvu.Analysis1H95.",#N/A,FALSE,FALSE,FALSE,1,65532,65532,FALSE,FALSE,TRUE,TRUE,TRUE}</definedName>
    <definedName name="wvu.Analysis1Q95." hidden="1">{TRUE,TRUE,-1.25,-15.5,484.5,276.75,FALSE,TRUE,TRUE,TRUE,0,111,#N/A,58,#N/A,14.21875,18.8888888888889,1,FALSE,FALSE,3,TRUE,1,FALSE,100,"Swvu.Analysis1Q95.","ACwvu.Analysis1Q95.",#N/A,FALSE,FALSE,0.5,0,0,0,2,"","",TRUE,TRUE,FALSE,FALSE,1,#N/A,1,1,"=R130C94:R170C123",FALSE,"Rwvu.Analysis1Q95.",#N/A,FALSE,FALSE,FALSE,1,65532,65532,FALSE,FALSE,TRUE,TRUE,TRUE}</definedName>
    <definedName name="wvu.Analysis2Q95." hidden="1">{TRUE,TRUE,-1.25,-15.5,484.5,276.75,FALSE,TRUE,TRUE,TRUE,0,111,#N/A,120,#N/A,14.21875,17.9411764705882,1,FALSE,FALSE,3,TRUE,1,FALSE,100,"Swvu.Analysis2Q95.","ACwvu.Analysis2Q95.",#N/A,FALSE,FALSE,0.5,0,0,0,2,"","",TRUE,TRUE,FALSE,FALSE,1,#N/A,1,1,"=R130C94:R170C123",FALSE,"Rwvu.Analysis2Q95.",#N/A,FALSE,FALSE,FALSE,1,65532,65532,FALSE,FALSE,TRUE,TRUE,TRUE}</definedName>
    <definedName name="wvu.BS.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redit._.Active.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ctive1.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dditions.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Credit._.Additions1.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argin._.Summary." hidden="1">{TRUE,TRUE,-1.25,-15.5,484.5,276.75,FALSE,TRUE,TRUE,TRUE,0,91,#N/A,33,#N/A,11.575,18.8823529411765,1,FALSE,FALSE,3,TRUE,1,FALSE,100,"Swvu.Margin._.Summary.","ACwvu.Margin._.Summary.",#N/A,FALSE,FALSE,0.5,0,0,0,2,"","",TRUE,TRUE,FALSE,FALSE,1,#N/A,1,1,"=R130C94:R170C123",FALSE,"Rwvu.Margin._.Summary.",#N/A,FALSE,FALSE,FALSE,1,65532,65532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{"assumption 50 50",#N/A,TRUE,"Merger";"has gets cash",#N/A,TRUE,"Merger";"accretion dilution",#N/A,TRUE,"Merger";"comparison credit stats",#N/A,TRUE,"Merger";"pf credit stats",#N/A,TRUE,"Merger";"pf sheets",#N/A,TRUE,"Merger"}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fwefwf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ww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ww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w" hidden="1">Main.SAPF4Help()</definedName>
    <definedName name="wwwww" hidden="1">Main.SAPF4Help()</definedName>
    <definedName name="wwwwww" hidden="1">Main.SAPF4Help()</definedName>
    <definedName name="wwwwwwwwwwwww" hidden="1">#REF!</definedName>
    <definedName name="wwwwwwwwwwwwww" hidden="1">{"detail",#N/A,FALSE,"mfg";"summary",#N/A,FALSE,"mfg"}</definedName>
    <definedName name="wx" hidden="1">{#N/A,#N/A,FALSE,"Pharm";#N/A,#N/A,FALSE,"WWCM"}</definedName>
    <definedName name="wxyz" hidden="1">{#N/A,#N/A,FALSE,"Staffnos &amp; cost"}</definedName>
    <definedName name="WYU" hidden="1">{#N/A,#N/A,FALSE,"단축1";#N/A,#N/A,FALSE,"단축2";#N/A,#N/A,FALSE,"단축3";#N/A,#N/A,FALSE,"장축";#N/A,#N/A,FALSE,"4WD"}</definedName>
    <definedName name="x">#REF!</definedName>
    <definedName name="x.1a" hidden="1">#REF!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df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xc" hidden="1">Main.SAPF4Help()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cvbcbvcb" hidden="1">{"comps2",#N/A,FALSE,"AERO";"footnotes",#N/A,FALSE,"AERO"}</definedName>
    <definedName name="xchart1" hidden="1">#REF!</definedName>
    <definedName name="xchart2" hidden="1">#REF!</definedName>
    <definedName name="xchart3" hidden="1">#REF!</definedName>
    <definedName name="xchart4" hidden="1">#REF!</definedName>
    <definedName name="xchart5" hidden="1">#REF!</definedName>
    <definedName name="xcv" hidden="1">{#N/A,#N/A,FALSE,"Pharm";#N/A,#N/A,FALSE,"WWCM"}</definedName>
    <definedName name="xcvb" hidden="1">{#N/A,#N/A,FALSE,"Layout Aktiva";#N/A,#N/A,FALSE,"Layout Passiva"}</definedName>
    <definedName name="xcvbbbbbbbbbbbbbb" hidden="1">Main.SAPF4Help()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de" hidden="1">{"FY97Total",#N/A,FALSE,"FY97 - Total";"FY98Total",#N/A,FALSE,"FY98 - Total"}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ge45ztg" hidden="1">{#N/A,#N/A,FALSE,"Finanzbedarfsrechnung"}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LDW_UID" hidden="1">"us318357"</definedName>
    <definedName name="XLDW_VER" hidden="1">"Office 2000 2.0 with Query Builder"</definedName>
    <definedName name="XLSIMSIM" hidden="1">{"Sim",1,"Output 1","'Incremental Baxter'!$C$47","1","2","100","0"}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" hidden="1">1</definedName>
    <definedName name="XREF_COLUMN_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8" hidden="1">#REF!</definedName>
    <definedName name="XREF_COLUMN_2" hidden="1">#REF!</definedName>
    <definedName name="XREF_COLUMN_3" hidden="1">#REF!</definedName>
    <definedName name="XREF_COLUMN_4" hidden="1">#REF!</definedName>
    <definedName name="XREF_COLUMN_6" hidden="1">#REF!</definedName>
    <definedName name="XREF_COLUMN_7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1Row" hidden="1">#REF!</definedName>
    <definedName name="XRefCopy16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Row" hidden="1">#REF!</definedName>
    <definedName name="XRefCopy21" hidden="1">#REF!</definedName>
    <definedName name="XRefCopy25" hidden="1">#REF!</definedName>
    <definedName name="XRefCopy26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2</definedName>
    <definedName name="XRefPaste1" hidden="1">#REF!</definedName>
    <definedName name="XRefPaste16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1" hidden="1">#REF!</definedName>
    <definedName name="XRefPaste21Row" hidden="1">#REF!</definedName>
    <definedName name="XRefPaste22Row" hidden="1">#REF!</definedName>
    <definedName name="XRefPaste23" hidden="1">#REF!</definedName>
    <definedName name="XRefPaste23Row" hidden="1">#REF!</definedName>
    <definedName name="XRefPaste27Row" hidden="1">#REF!</definedName>
    <definedName name="XRefPaste2Row" hidden="1">#REF!</definedName>
    <definedName name="XRefPaste3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RangeCount" hidden="1">2</definedName>
    <definedName name="xrm" hidden="1">{"vue1",#N/A,FALSE,"synthese";"vue2",#N/A,FALSE,"synthese"}</definedName>
    <definedName name="xrm2" hidden="1">{"vue1",#N/A,FALSE,"synthese";"vue2",#N/A,FALSE,"synthese"}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s" hidden="1">{"TAG1AGMS",#N/A,FALSE,"TAG 1A"}</definedName>
    <definedName name="xsd" hidden="1">{"detail",#N/A,FALSE,"mfg";"summary",#N/A,FALSE,"mfg"}</definedName>
    <definedName name="xssq" hidden="1">{"FY97Q1 nvs",#N/A,FALSE,"FY97 - Q1";"FY97Q2 nvs",#N/A,FALSE,"FY97 - Q2";"FY97Q3 nvs",#N/A,FALSE,"FY97 - Q3";"FY97Q4 nvs",#N/A,FALSE,"FY97 - Q4"}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v" hidden="1">{"Commentary",#N/A,FALSE,"May"}</definedName>
    <definedName name="xx" hidden="1">#REF!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E1" hidden="1">#REF!</definedName>
    <definedName name="XXE1_" hidden="1">#REF!</definedName>
    <definedName name="XXE1K" hidden="1">#REF!</definedName>
    <definedName name="XXE1M" hidden="1">#REF!</definedName>
    <definedName name="XXE1N" hidden="1">#REF!</definedName>
    <definedName name="XXE44" hidden="1">#REF!</definedName>
    <definedName name="XXE44_" hidden="1">#REF!</definedName>
    <definedName name="XXE44K" hidden="1">#REF!</definedName>
    <definedName name="XXE44M" hidden="1">#REF!</definedName>
    <definedName name="XXE44N" hidden="1">#REF!</definedName>
    <definedName name="XXE47" hidden="1">#REF!</definedName>
    <definedName name="XXE47_" hidden="1">#REF!</definedName>
    <definedName name="XXE47K" hidden="1">#REF!</definedName>
    <definedName name="XXE47M" hidden="1">#REF!</definedName>
    <definedName name="XXE47N" hidden="1">#REF!</definedName>
    <definedName name="XXK1" hidden="1">#REF!</definedName>
    <definedName name="XXK1_" hidden="1">#REF!</definedName>
    <definedName name="XXK101" hidden="1">#REF!</definedName>
    <definedName name="XXK101_" hidden="1">#REF!</definedName>
    <definedName name="XXK101K" hidden="1">#REF!</definedName>
    <definedName name="XXK101M" hidden="1">#REF!</definedName>
    <definedName name="XXK101N" hidden="1">#REF!</definedName>
    <definedName name="XXK127" hidden="1">#REF!</definedName>
    <definedName name="XXK127_" hidden="1">#REF!</definedName>
    <definedName name="XXK127K" hidden="1">#REF!</definedName>
    <definedName name="XXK127M" hidden="1">#REF!</definedName>
    <definedName name="XXK127N" hidden="1">#REF!</definedName>
    <definedName name="XXK1K" hidden="1">#REF!</definedName>
    <definedName name="XXK1M" hidden="1">#REF!</definedName>
    <definedName name="XXK1N" hidden="1">#REF!</definedName>
    <definedName name="XXK27" hidden="1">#REF!</definedName>
    <definedName name="XXK27_" hidden="1">#REF!</definedName>
    <definedName name="XXK27K" hidden="1">#REF!</definedName>
    <definedName name="XXK27M" hidden="1">#REF!</definedName>
    <definedName name="XXK27N" hidden="1">#REF!</definedName>
    <definedName name="XXK37" hidden="1">#REF!</definedName>
    <definedName name="XXK37_" hidden="1">#REF!</definedName>
    <definedName name="XXK37K" hidden="1">#REF!</definedName>
    <definedName name="XXK37M" hidden="1">#REF!</definedName>
    <definedName name="XXK37N" hidden="1">#REF!</definedName>
    <definedName name="XXK45" hidden="1">#REF!</definedName>
    <definedName name="XXK45_" hidden="1">#REF!</definedName>
    <definedName name="XXK45K" hidden="1">#REF!</definedName>
    <definedName name="XXK45M" hidden="1">#REF!</definedName>
    <definedName name="XXK45N" hidden="1">#REF!</definedName>
    <definedName name="XXK53" hidden="1">#REF!</definedName>
    <definedName name="XXK53_" hidden="1">#REF!</definedName>
    <definedName name="XXK53K" hidden="1">#REF!</definedName>
    <definedName name="XXK53M" hidden="1">#REF!</definedName>
    <definedName name="XXK53N" hidden="1">#REF!</definedName>
    <definedName name="XXK61" hidden="1">#REF!</definedName>
    <definedName name="XXK61_" hidden="1">#REF!</definedName>
    <definedName name="XXK61K" hidden="1">#REF!</definedName>
    <definedName name="XXK61M" hidden="1">#REF!</definedName>
    <definedName name="XXK61N" hidden="1">#REF!</definedName>
    <definedName name="XXK69" hidden="1">#REF!</definedName>
    <definedName name="XXK69_" hidden="1">#REF!</definedName>
    <definedName name="XXK69K" hidden="1">#REF!</definedName>
    <definedName name="XXK69M" hidden="1">#REF!</definedName>
    <definedName name="XXK69N" hidden="1">#REF!</definedName>
    <definedName name="XXK77" hidden="1">#REF!</definedName>
    <definedName name="XXK77_" hidden="1">#REF!</definedName>
    <definedName name="XXK77K" hidden="1">#REF!</definedName>
    <definedName name="XXK77M" hidden="1">#REF!</definedName>
    <definedName name="XXK77N" hidden="1">#REF!</definedName>
    <definedName name="XXK85" hidden="1">#REF!</definedName>
    <definedName name="XXK85_" hidden="1">#REF!</definedName>
    <definedName name="XXK85K" hidden="1">#REF!</definedName>
    <definedName name="XXK85M" hidden="1">#REF!</definedName>
    <definedName name="XXK85N" hidden="1">#REF!</definedName>
    <definedName name="XXK93" hidden="1">#REF!</definedName>
    <definedName name="XXK93_" hidden="1">#REF!</definedName>
    <definedName name="XXK93K" hidden="1">#REF!</definedName>
    <definedName name="XXK93M" hidden="1">#REF!</definedName>
    <definedName name="XXK93N" hidden="1">#REF!</definedName>
    <definedName name="XXM1" hidden="1">#REF!</definedName>
    <definedName name="XXM1_" hidden="1">#REF!</definedName>
    <definedName name="XXM1K" hidden="1">#REF!</definedName>
    <definedName name="XXM1M" hidden="1">#REF!</definedName>
    <definedName name="XXM1N" hidden="1">#REF!</definedName>
    <definedName name="xxx" hidden="1">#REF!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2" hidden="1">{"oct_res_comm",#N/A,FALSE,"VarToBud"}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xx" hidden="1">{#N/A,#N/A,FALSE,"Balance Sheet"}</definedName>
    <definedName name="xxxxxxx" hidden="1">{#N/A,#N/A,FALSE,"Coating"}</definedName>
    <definedName name="xxxxxxxx" hidden="1">{"var_page",#N/A,FALSE,"template"}</definedName>
    <definedName name="xxxxxxxxx" hidden="1">{#N/A,#N/A,FALSE,"Distribution"}</definedName>
    <definedName name="xxxxxxxxxx" hidden="1">{#N/A,#N/A,FALSE,"Income"}</definedName>
    <definedName name="xxxxxxxxxxx" hidden="1">{#N/A,#N/A,FALSE,"Main"}</definedName>
    <definedName name="xxxxxxxxxxxx" hidden="1">{#N/A,#N/A,FALSE,"Misc"}</definedName>
    <definedName name="xxxxxxxxxxxxx" hidden="1">{#N/A,#N/A,FALSE,"Natural"}</definedName>
    <definedName name="xxxxxxxxxxxxxx" hidden="1">{#N/A,#N/A,FALSE,"Production"}</definedName>
    <definedName name="xxxxxxxxxxxxxxx" hidden="1">{#N/A,#N/A,FALSE,"Taxes"}</definedName>
    <definedName name="xxxxxxxxxxxxxxxxx" hidden="1">{#N/A,#N/A,FALSE,"Total Plant"}</definedName>
    <definedName name="xxxxxxxxxxxxxxxxxx" hidden="1">{#N/A,#N/A,FALSE,"Trucking"}</definedName>
    <definedName name="XXXXXXXXXXXXXXXXXXXXXXXXXXXX" hidden="1">{"AR",#N/A,FALSE,"ASMGTSUM";"INV",#N/A,FALSE,"ASMGTSUM";"HCCOMP",#N/A,FALSE,"ASMGTSUM";"cap.depr",#N/A,FALSE,"ASMGTSUM"}</definedName>
    <definedName name="xxxxxxxxxxxxxxxxxxxxxxxxxxxxxxxxxxxxxxxxxxxxxxxxxx" hidden="1">{#N/A,#N/A,TRUE,"Deckblatt PMS";#N/A,#N/A,TRUE,"Ergebnis und Cash-flow PMS";#N/A,#N/A,TRUE,"Kennzahlen PMS"}</definedName>
    <definedName name="xy" hidden="1">#REF!</definedName>
    <definedName name="xys" hidden="1">{#N/A,#N/A,TRUE,"Staffnos &amp; cost"}</definedName>
    <definedName name="xyz" hidden="1">#REF!</definedName>
    <definedName name="xyzzz" hidden="1">#REF!</definedName>
    <definedName name="xzbdfghfdgfdx" hidden="1">{#N/A,#N/A,TRUE,"Historicals";#N/A,#N/A,TRUE,"Charts";#N/A,#N/A,TRUE,"Forecasts"}</definedName>
    <definedName name="xzxz" hidden="1">{#N/A,"PURCHM",FALSE,"Business Analysis";#N/A,"SPADD",FALSE,"Business Analysis"}</definedName>
    <definedName name="xzxzx" hidden="1">{#N/A,#N/A,FALSE,"Performance Flash Report"}</definedName>
    <definedName name="xzzx" hidden="1">{#N/A,#N/A,FALSE,"Performance Flash Report"}</definedName>
    <definedName name="xzzzdvdvd" hidden="1">{#N/A,#N/A,FALSE,"Performance Flash Report"}</definedName>
    <definedName name="y" hidden="1">{#N/A,#N/A,FALSE,"Sheet1"}</definedName>
    <definedName name="y0" hidden="1">{"'Demand Units'!$Z$2:$AF$53"}</definedName>
    <definedName name="ya" hidden="1">{#N/A,#N/A,FALSE,"1. PTI Ziele";#N/A,#N/A,FALSE,"2. Zielkatalog ";#N/A,#N/A,FALSE,"3. Masterterminplan"}</definedName>
    <definedName name="Yarim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ybd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ycssd" hidden="1">{"GuVGmbH",#N/A,FALSE,"ratios";"BilanzGmbH",#N/A,FALSE,"ratios";"BilanzKG",#N/A,FALSE,"ratios";"GuVKG",#N/A,FALSE,"ratios"}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HIGH" hidden="1">"YEARHIGH"</definedName>
    <definedName name="YEARLOW" hidden="1">"YEARLOW"</definedName>
    <definedName name="yfsjk" hidden="1">{#N/A,#N/A,FALSE,"단축1";#N/A,#N/A,FALSE,"단축2";#N/A,#N/A,FALSE,"단축3";#N/A,#N/A,FALSE,"장축";#N/A,#N/A,FALSE,"4WD"}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n" hidden="1">{#N/A,#N/A,FALSE,"Model";#N/A,#N/A,FALSE,"Division"}</definedName>
    <definedName name="yiopy" hidden="1">{"EVA",#N/A,FALSE,"EVA";"WACC",#N/A,FALSE,"WACC"}</definedName>
    <definedName name="YJYTIUK" hidden="1">{"'Demand Units'!$X$11:$AD$45"}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i" hidden="1">{"sales",#N/A,FALSE,"Sales";"sales existing",#N/A,FALSE,"Sales";"sales rd1",#N/A,FALSE,"Sales";"sales rd2",#N/A,FALSE,"Sales"}</definedName>
    <definedName name="yop" hidden="1">{"vi1",#N/A,FALSE,"Financial Statements";"vi2",#N/A,FALSE,"Financial Statements";#N/A,#N/A,FALSE,"DCF"}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e" hidden="1">{"FY97Q1 nvs",#N/A,FALSE,"FY97 - Q1";"FY97Q2 nvs",#N/A,FALSE,"FY97 - Q2";"FY97Q3 nvs",#N/A,FALSE,"FY97 - Q3";"FY97Q4 nvs",#N/A,FALSE,"FY97 - Q4"}</definedName>
    <definedName name="yry" hidden="1">{"consolidated",#N/A,FALSE,"Sheet1";"cms",#N/A,FALSE,"Sheet1";"fse",#N/A,FALSE,"Sheet1"}</definedName>
    <definedName name="y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yteytey" hidden="1">{#N/A,#N/A,TRUE,"Historicals";#N/A,#N/A,TRUE,"Charts";#N/A,#N/A,TRUE,"Forecasts"}</definedName>
    <definedName name="YTGFDF" hidden="1">{"'Demand Units'!$X$11:$AD$45"}</definedName>
    <definedName name="ythfd" hidden="1">{#N/A,#N/A,TRUE,"Historicals";#N/A,#N/A,TRUE,"Charts";#N/A,#N/A,TRUE,"Forecasts"}</definedName>
    <definedName name="ytre" hidden="1">{#N/A,#N/A,TRUE,"Historicals";#N/A,#N/A,TRUE,"Charts";#N/A,#N/A,TRUE,"Forecasts"}</definedName>
    <definedName name="ytrh" hidden="1">{#N/A,#N/A,TRUE,"Historicals";#N/A,#N/A,TRUE,"Charts";#N/A,#N/A,TRUE,"Forecasts"}</definedName>
    <definedName name="ytus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yty" hidden="1">{#N/A,#N/A,FALSE,"Sheet2"}</definedName>
    <definedName name="ytytyt" hidden="1">{"mgmt forecast",#N/A,FALSE,"Mgmt Forecast";"dcf table",#N/A,FALSE,"Mgmt Forecast";"sensitivity",#N/A,FALSE,"Mgmt Forecast";"table inputs",#N/A,FALSE,"Mgmt Forecast";"calculations",#N/A,FALSE,"Mgmt Forecast"}</definedName>
    <definedName name="y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yue" hidden="1">{"targetdcf",#N/A,FALSE,"Merger consequences";"TARGETASSU",#N/A,FALSE,"Merger consequences";"TERMINAL VALUE",#N/A,FALSE,"Merger consequences"}</definedName>
    <definedName name="yui" hidden="1">{"Total",#N/A,FALSE,"Six Fields";"PDP",#N/A,FALSE,"Six Fields";"PNP",#N/A,FALSE,"Six Fields";"PUD",#N/A,FALSE,"Six Fields";"Prob",#N/A,FALSE,"Six Fields"}</definedName>
    <definedName name="yuio" hidden="1">{"oct_res_comm",#N/A,FALSE,"VarToBud"}</definedName>
    <definedName name="yuop" hidden="1">{"OTHER",#N/A,FALSE,"CM"}</definedName>
    <definedName name="yus" hidden="1">{"qchm_dcf",#N/A,FALSE,"QCHMDCF2";"qchm_terminal",#N/A,FALSE,"QCHMDCF2"}</definedName>
    <definedName name="yuuiyiu" hidden="1">{"scrap",#N/A,FALSE,"scrap"}</definedName>
    <definedName name="yuuuuuuu" hidden="1">{"ratios",#N/A,FALSE,"Summary Accounts"}</definedName>
    <definedName name="yuy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vyf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yw" hidden="1">{#VALUE!,#N/A,FALSE,0}</definedName>
    <definedName name="yws" hidden="1">{#N/A,#N/A,FALSE,"Cover Page";#N/A,#N/A,FALSE,"Facing Page";#N/A,#N/A,FALSE,"Main Page";#N/A,#N/A,FALSE,"Risk-Adjusted";#N/A,#N/A,FALSE,"Profit Improvement"}</definedName>
    <definedName name="yx" hidden="1">{#N/A,#N/A,FALSE,"Profit Status";#N/A,#N/A,FALSE,"Invest";#N/A,#N/A,FALSE,"Revenue";#N/A,#N/A,FALSE,"Variable Cost";#N/A,#N/A,FALSE,"Options &amp; Series"}</definedName>
    <definedName name="yxcxycxy" hidden="1">{#N/A,#N/A,FALSE,"Umsatz 99";#N/A,#N/A,FALSE,"ER 99 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kcylkxc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yy" hidden="1">#REF!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HY" hidden="1">{#N/A,#N/A,FALSE,"단축1";#N/A,#N/A,FALSE,"단축2";#N/A,#N/A,FALSE,"단축3";#N/A,#N/A,FALSE,"장축";#N/A,#N/A,FALSE,"4WD"}</definedName>
    <definedName name="yyy" hidden="1">{#N/A,#N/A,FALSE,"Other";#N/A,#N/A,FALSE,"Ace";#N/A,#N/A,FALSE,"Derm"}</definedName>
    <definedName name="yyyy" hidden="1">{#N/A,#N/A,FALSE,"Fluktuation TSI"}</definedName>
    <definedName name="YYYYY" hidden="1">{#N/A,#N/A,FALSE,"단축1";#N/A,#N/A,FALSE,"단축2";#N/A,#N/A,FALSE,"단축3";#N/A,#N/A,FALSE,"장축";#N/A,#N/A,FALSE,"4WD"}</definedName>
    <definedName name="yyyyyuyuy" hidden="1">{"'Other IPS'!$A$5","'Other IPS'!$A$4:$K$38"}</definedName>
    <definedName name="yyyyyy" hidden="1">{"p_l",#N/A,FALSE,"Summary Accounts"}</definedName>
    <definedName name="yyyyyyyyyyyyyyyy" hidden="1">{"Summary",#N/A,FALSE,"Summary";"A&amp;A's",#N/A,FALSE,"Aids &amp; A's";"MajorWorks",#N/A,FALSE,"Major Works";"EstateImps",#N/A,FALSE,"Estate Imps";"CatC",#N/A,FALSE,"Cat C Voids";"CycProg",#N/A,FALSE,"Cyclical Prog inc MR"}</definedName>
    <definedName name="z.l" hidden="1">{#N/A,#N/A,FALSE,"KA CH  (2)"}</definedName>
    <definedName name="Z_030BCFA9_A76B_11D1_B759_08000E21FF8D_.wvu.Cols" hidden="1">#N/A</definedName>
    <definedName name="Z_030BCFA9_A76B_11D1_B759_08000E21FF8D_.wvu.FilterData" hidden="1">#N/A</definedName>
    <definedName name="Z_030BCFA9_A76B_11D1_B759_08000E21FF8D_.wvu.PrintArea" hidden="1">#N/A</definedName>
    <definedName name="Z_030BCFA9_A76B_11D1_B759_08000E21FF8D_.wvu.PrintTitles" hidden="1">#N/A</definedName>
    <definedName name="Z_06AC9F35_FA76_11D3_94DD_00C04FA0B046_.wvu.PrintArea" hidden="1">#REF!</definedName>
    <definedName name="Z_06AF62AE_3F63_11D3_8C95_000000000000_.wvu.PrintArea" hidden="1">#REF!</definedName>
    <definedName name="Z_09C6908F_308D_4EE5_97E9_68B17D542BEF_.wvu.FilterData" hidden="1">#REF!</definedName>
    <definedName name="Z_09C6908F_308D_4EE5_97E9_68B17D542BEF_.wvu.PrintArea" hidden="1">#REF!</definedName>
    <definedName name="Z_09C6908F_308D_4EE5_97E9_68B17D542BEF_.wvu.Rows" hidden="1">#REF!</definedName>
    <definedName name="Z_0B432A8C_F278_11D2_9169_0060B01A6EB2_.wvu.PrintArea" hidden="1">#REF!</definedName>
    <definedName name="Z_0B432DE3_F278_11D2_9169_0060B01A6EB2_.wvu.PrintArea" hidden="1">#REF!</definedName>
    <definedName name="Z_0B432F66_F278_11D2_9169_0060B01A6EB2_.wvu.PrintArea" hidden="1">#REF!</definedName>
    <definedName name="Z_0BDE109E_8E44_11D6_8F2A_0010B588A0E3_.wvu.PrintArea" hidden="1">#REF!</definedName>
    <definedName name="Z_0BDE109E_8E44_11D6_8F2A_0010B588A0E3_.wvu.PrintTitles" hidden="1">#REF!</definedName>
    <definedName name="Z_0BDE109E_8E44_11D6_8F2A_0010B588A0E3_.wvu.Rows" hidden="1">#REF!</definedName>
    <definedName name="Z_0CCEA51C_6B5A_492A_905D_2F185A7C043A_.wvu.PrintArea" hidden="1">#REF!</definedName>
    <definedName name="Z_0CDA9083_E5EE_41FB_B6BD_E03FFF683C40_.wvu.FilterData" hidden="1">#REF!</definedName>
    <definedName name="Z_0E86059D_B79D_11D3_94E0_00C04F602AEF_.wvu.PrintArea" hidden="1">#REF!</definedName>
    <definedName name="Z_0EF37FB7_DAF6_11D3_94D7_00C04FA0B046_.wvu.PrintArea" hidden="1">#REF!</definedName>
    <definedName name="Z_108943D4_F1C1_11D2_806D_00105A0ACAB3_.wvu.Cols" hidden="1">#REF!,#REF!</definedName>
    <definedName name="Z_108943D4_F1C1_11D2_806D_00105A0ACAB3_.wvu.Rows" hidden="1">#REF!,#REF!,#REF!,#REF!,#REF!,#REF!,#REF!,#REF!,#REF!,#REF!</definedName>
    <definedName name="Z_11E42F02_8116_47C6_A60D_8C2FB4F4AE5D_.wvu.Cols" hidden="1">#REF!,#REF!,#REF!</definedName>
    <definedName name="Z_128D8F34_9864_4F93_98E2_12587B58B6EC_.wvu.Cols" hidden="1">#REF!,#REF!,#REF!,#REF!,#REF!</definedName>
    <definedName name="Z_128D8F34_9864_4F93_98E2_12587B58B6EC_.wvu.Rows" hidden="1">#REF!,#REF!,#REF!,#REF!,#REF!,#REF!,#REF!,#REF!,#REF!,#REF!,#REF!,#REF!,#REF!,#REF!,#REF!,#REF!,#REF!,#REF!,#REF!,#REF!,#REF!,#REF!,#REF!,#REF!,#REF!</definedName>
    <definedName name="Z_138E77AE_F8DF_11D3_94E9_00C04F612D61_.wvu.PrintArea" hidden="1">#REF!</definedName>
    <definedName name="Z_138E77CA_F8DF_11D3_94E9_00C04F612D61_.wvu.PrintArea" hidden="1">#REF!</definedName>
    <definedName name="Z_138E7870_F8DF_11D3_94E9_00C04F612D61_.wvu.PrintArea" hidden="1">#REF!</definedName>
    <definedName name="Z_138E7890_F8DF_11D3_94E9_00C04F612D61_.wvu.PrintArea" hidden="1">#REF!</definedName>
    <definedName name="Z_14CF0AE7_82DD_11D2_8012_0060B01A6EB2_.wvu.PrintArea" hidden="1">#REF!</definedName>
    <definedName name="Z_1ACDB192_F033_11D3_94F1_00C04F602AEF_.wvu.PrintArea" hidden="1">#REF!</definedName>
    <definedName name="Z_1CCDDD74_3AAE_11D3_8C8A_000000000000_.wvu.PrintArea" hidden="1">#REF!</definedName>
    <definedName name="Z_2E7403B0_7396_11D2_8061_00105A03258D_.wvu.Cols" hidden="1">#REF!,#REF!</definedName>
    <definedName name="Z_336250C7_C772_11D3_94E8_00C04F602AEF_.wvu.PrintArea" hidden="1">#REF!</definedName>
    <definedName name="Z_3374E370_4024_11D3_8C96_000000000000_.wvu.PrintArea" hidden="1">#REF!</definedName>
    <definedName name="Z_36C1D6DA_94EC_11D2_801D_0060B01A6EB2_.wvu.PrintArea" hidden="1">#REF!</definedName>
    <definedName name="Z_38F40303_FE58_11D3_94DE_00C04FA0B046_.wvu.PrintArea" hidden="1">#REF!</definedName>
    <definedName name="Z_390E4561_86E6_11D3_94D7_00C04F612D61_.wvu.PrintArea" hidden="1">#REF!</definedName>
    <definedName name="Z_39BC5E81_0594_11D1_8C74_006097B34275_.wvu.FilterData" hidden="1">#REF!</definedName>
    <definedName name="Z_39BC5E82_0594_11D1_8C74_006097B34275_.wvu.FilterData" hidden="1">#REF!</definedName>
    <definedName name="Z_3B46133C_A773_4E04_B6B4_47050AB13554_.wvu.Cols" hidden="1">#REF!,#REF!,#REF!</definedName>
    <definedName name="Z_3B46133C_A773_4E04_B6B4_47050AB13554_.wvu.Rows" hidden="1">#REF!</definedName>
    <definedName name="Z_3EE9B1F1_964A_11D3_94D2_00C04F602AEF_.wvu.PrintArea" hidden="1">#REF!</definedName>
    <definedName name="Z_3EE9B283_964A_11D3_94D2_00C04F602AEF_.wvu.PrintArea" hidden="1">#REF!</definedName>
    <definedName name="Z_3EE9B315_964A_11D3_94D2_00C04F602AEF_.wvu.PrintArea" hidden="1">#REF!</definedName>
    <definedName name="Z_3FA1C490_192D_11D3_802B_0060B01A6EB2_.wvu.PrintArea" hidden="1">#REF!</definedName>
    <definedName name="Z_3FA1C663_192D_11D3_802B_0060B01A6EB2_.wvu.PrintArea" hidden="1">#REF!</definedName>
    <definedName name="Z_45C4ADC6_6DE9_11D3_8CD4_006097940621_.wvu.PrintArea" hidden="1">#REF!</definedName>
    <definedName name="Z_47939A2C_A55D_46B4_84FB_3CD5372CD5C0_.wvu.Cols" hidden="1">#REF!,#REF!,#REF!</definedName>
    <definedName name="Z_47939A2C_A55D_46B4_84FB_3CD5372CD5C0_.wvu.Rows" hidden="1">#REF!,#REF!,#REF!,#REF!,#REF!,#REF!,#REF!,#REF!,#REF!,#REF!,#REF!,#REF!,#REF!,#REF!,#REF!,#REF!,#REF!,#REF!,#REF!,#REF!,#REF!,#REF!,#REF!,#REF!,#REF!</definedName>
    <definedName name="Z_4980F475_BD39_11D3_8C84_000000000000_.wvu.PrintArea" hidden="1">#REF!</definedName>
    <definedName name="Z_4B4009D6_E3A8_11D3_94EE_00C04F602AEF_.wvu.PrintAre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6401EE_68F1_11D2_800E_0060B01A6EB2_.wvu.PrintArea" hidden="1">#REF!</definedName>
    <definedName name="Z_4C854AA2_3991_11D1_8C74_006097B34275_.wvu.FilterData" hidden="1">#REF!</definedName>
    <definedName name="Z_4E9FC601_CB8F_11D0_8C74_006097B34275_.wvu.FilterData" hidden="1">#REF!</definedName>
    <definedName name="Z_4ECFD528_4B7B_451F_A1A4_7B24AB7E23C9_.wvu.FilterData" hidden="1">#REF!</definedName>
    <definedName name="Z_526D3161_71B2_11D3_94D5_00C04F612D61_.wvu.PrintArea" hidden="1">#REF!</definedName>
    <definedName name="Z_55752DE4_DAF1_11D2_8029_0060B01A6EB2_.wvu.PrintArea" hidden="1">#REF!</definedName>
    <definedName name="Z_55752FF6_DAF1_11D2_8029_0060B01A6EB2_.wvu.PrintArea" hidden="1">#REF!</definedName>
    <definedName name="Z_557F7523_1502_11D2_8B95_00A0C9B6775A_.wvu.Cols" hidden="1">#REF!</definedName>
    <definedName name="Z_557F7524_1502_11D2_8B95_00A0C9B6775A_.wvu.Cols" hidden="1">#REF!</definedName>
    <definedName name="Z_59DC2A9C_3DF3_11D3_8C92_000000000000_.wvu.PrintArea" hidden="1">#REF!</definedName>
    <definedName name="Z_5C525311_F45E_11D3_A510_64E98A000000_.wvu.Cols" hidden="1">#REF!</definedName>
    <definedName name="Z_5C525311_F45E_11D3_A510_64E98A000000_.wvu.Rows" hidden="1">#REF!</definedName>
    <definedName name="Z_5C712547_8854_11D2_8012_0060B01A6EB2_.wvu.PrintArea" hidden="1">#REF!</definedName>
    <definedName name="Z_5F5BFFB3_BAF2_456B_BC73_9B3894AE395A_.wvu.Rows" hidden="1">#REF!,#REF!,#REF!,#REF!,#REF!,#REF!,#REF!,#REF!</definedName>
    <definedName name="Z_60FA13F0_C7AB_11D5_82BE_0060B0F04987_.wvu.Rows" hidden="1">#REF!</definedName>
    <definedName name="Z_610866E5_E713_11D6_8FBD_0010B588A0E3_.wvu.FilterData" hidden="1">#REF!</definedName>
    <definedName name="Z_61BCD568_73D2_11D6_9A49_00105AE12B1C_.wvu.Rows" hidden="1">#REF!</definedName>
    <definedName name="Z_630A7C8D_C852_11D3_94E8_00C04F602AEF_.wvu.PrintArea" hidden="1">#REF!</definedName>
    <definedName name="Z_658CB600_AA26_498D_A80D_487116058C40_.wvu.Rows" hidden="1">#REF!</definedName>
    <definedName name="Z_6A7F2E18_D622_11D2_96AB_00A024DF258F_.wvu.Rows" hidden="1">#REF!,#REF!,#REF!</definedName>
    <definedName name="Z_6C937EB6_FE55_4850_B615_E11663DDF43A_.wvu.PrintArea" hidden="1">#REF!</definedName>
    <definedName name="Z_6C937EB6_FE55_4850_B615_E11663DDF43A_.wvu.PrintTitles" hidden="1">#REF!,#REF!</definedName>
    <definedName name="Z_6C937EB6_FE55_4850_B615_E11663DDF43A_.wvu.Rows" hidden="1">#REF!,#REF!</definedName>
    <definedName name="Z_6D9C2270_ADC3_11D6_B914_00105AFBA2A2_.wvu.FilterData" hidden="1">#REF!</definedName>
    <definedName name="Z_6D9C2270_ADC3_11D6_B914_00105AFBA2A2_.wvu.PrintTitles" hidden="1">#REF!</definedName>
    <definedName name="Z_6E0ADC42_F22D_11D0_8C74_006097B34275_.wvu.FilterData" hidden="1">#REF!</definedName>
    <definedName name="Z_6F2D40DB_9E62_11D2_801D_0060B01A6EB2_.wvu.PrintArea" hidden="1">#REF!</definedName>
    <definedName name="Z_70D354D2_2FAA_11D3_8C7E_000000000000_.wvu.PrintArea" hidden="1">#REF!</definedName>
    <definedName name="Z_722C8872_BC62_11D3_94DF_00C04F612D61_.wvu.PrintArea" hidden="1">#REF!</definedName>
    <definedName name="Z_722C8A68_BC62_11D3_94DF_00C04F612D61_.wvu.PrintArea" hidden="1">#REF!</definedName>
    <definedName name="Z_722C8C5E_BC62_11D3_94DF_00C04F612D61_.wvu.PrintArea" hidden="1">#REF!</definedName>
    <definedName name="Z_722C8CF0_BC62_11D3_94DF_00C04F612D61_.wvu.PrintArea" hidden="1">#REF!</definedName>
    <definedName name="Z_722C8D93_BC62_11D3_94DF_00C04F612D61_.wvu.PrintArea" hidden="1">#REF!</definedName>
    <definedName name="Z_722C8E2B_BC62_11D3_94DF_00C04F612D61_.wvu.PrintArea" hidden="1">#REF!</definedName>
    <definedName name="Z_722C92F7_BC62_11D3_94DF_00C04F612D61_.wvu.PrintArea" hidden="1">#REF!</definedName>
    <definedName name="Z_76C6FCFC_0459_11D3_8245_00A0C99A3F6C_.wvu.Rows" hidden="1">#REF!</definedName>
    <definedName name="Z_781D38AD_00AD_11D3_916C_0060B01A6EB2_.wvu.PrintArea" hidden="1">#REF!</definedName>
    <definedName name="Z_781D3F23_00AD_11D3_916C_0060B01A6EB2_.wvu.PrintArea" hidden="1">#REF!</definedName>
    <definedName name="Z_795B27E2_B3C0_11D2_801F_0060B01A6EB2_.wvu.PrintArea" hidden="1">#REF!</definedName>
    <definedName name="Z_795B28D1_B3C0_11D2_801F_0060B01A6EB2_.wvu.PrintArea" hidden="1">#REF!</definedName>
    <definedName name="Z_795B2974_B3C0_11D2_801F_0060B01A6EB2_.wvu.PrintArea" hidden="1">#REF!</definedName>
    <definedName name="Z_795B2A17_B3C0_11D2_801F_0060B01A6EB2_.wvu.PrintArea" hidden="1">#REF!</definedName>
    <definedName name="Z_79F71445_F256_11D1_B7A1_006097337DE3_.wvu.Cols" hidden="1">#REF!,#REF!,#REF!,#REF!,#REF!,#REF!,#REF!,#REF!,#REF!,#REF!,#REF!,#REF!</definedName>
    <definedName name="Z_7B1B3191_D02E_4275_8DEC_AC1813D2E4C7_.wvu.Rows" hidden="1">#REF!</definedName>
    <definedName name="Z_7C4D4874_67AD_11D4_B818_0050DA5BC25B_.wvu.Cols" hidden="1">#REF!</definedName>
    <definedName name="Z_7C4D4874_67AD_11D4_B818_0050DA5BC25B_.wvu.Rows" hidden="1">#REF!,#REF!,#REF!,#REF!,#REF!,#REF!,#REF!,#REF!,#REF!,#REF!,#REF!,#REF!</definedName>
    <definedName name="Z_7E0A45E1_0993_11D1_8C74_006097B34275_.wvu.FilterData" hidden="1">#REF!</definedName>
    <definedName name="Z_82212322_246D_11D1_8C74_006097B34275_.wvu.FilterData" hidden="1">#REF!</definedName>
    <definedName name="Z_875F1EBE_BC71_11D3_8C83_000000000000_.wvu.PrintArea" hidden="1">#REF!</definedName>
    <definedName name="Z_87755D72_2DD6_4DE4_B85E_16D559F8F984_.wvu.Cols" hidden="1">#REF!,#REF!,#REF!</definedName>
    <definedName name="Z_87755D72_2DD6_4DE4_B85E_16D559F8F984_.wvu.Rows" hidden="1">#REF!</definedName>
    <definedName name="Z_88CF5AE2_9425_11D2_801C_0060B01A6EB2_.wvu.PrintArea" hidden="1">#REF!</definedName>
    <definedName name="Z_89196099_EBAD_11D3_94DA_00C04FA0B046_.wvu.PrintArea" hidden="1">#REF!</definedName>
    <definedName name="Z_89481651_D00D_11D3_94E3_00C04F612D61_.wvu.PrintArea" hidden="1">#REF!</definedName>
    <definedName name="Z_89A6267D_7FD1_11D2_8012_0060B01A6EB2_.wvu.PrintArea" hidden="1">#REF!</definedName>
    <definedName name="Z_8A9C8C59_0D13_11D3_8026_0060B01A6EB2_.wvu.PrintArea" hidden="1">#REF!</definedName>
    <definedName name="Z_8A9C8F32_0D13_11D3_8026_0060B01A6EB2_.wvu.PrintArea" hidden="1">#REF!</definedName>
    <definedName name="Z_8CF2B6A4_F3B2_11D1_B7A1_006097337DE3_.wvu.Cols" hidden="1">#REF!,#REF!,#REF!,#REF!,#REF!,#REF!,#REF!,#REF!,#REF!,#REF!,#REF!,#REF!</definedName>
    <definedName name="Z_8CF2B6A5_F3B2_11D1_B7A1_006097337DE3_.wvu.Cols" hidden="1">#REF!,#REF!,#REF!,#REF!,#REF!,#REF!,#REF!,#REF!,#REF!,#REF!,#REF!,#REF!</definedName>
    <definedName name="Z_8CF2B6A6_F3B2_11D1_B7A1_006097337DE3_.wvu.Cols" hidden="1">#REF!,#REF!,#REF!,#REF!,#REF!,#REF!,#REF!,#REF!,#REF!,#REF!,#REF!,#REF!</definedName>
    <definedName name="Z_8CF2B6A7_F3B2_11D1_B7A1_006097337DE3_.wvu.Cols" hidden="1">#REF!,#REF!,#REF!,#REF!,#REF!,#REF!,#REF!,#REF!,#REF!,#REF!,#REF!,#REF!</definedName>
    <definedName name="Z_8DE117E5_DE02_11D2_8029_0060B01A6EB2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B953AD_3105_11D2_8B95_00A0C9B6775A_.wvu.Cols" hidden="1">#REF!</definedName>
    <definedName name="Z_9AB953AD_3105_11D2_8B95_00A0C9B6775A_.wvu.PrintArea" hidden="1">#REF!</definedName>
    <definedName name="Z_9AB953AD_3105_11D2_8B95_00A0C9B6775A_.wvu.PrintTitles" hidden="1">#REF!</definedName>
    <definedName name="Z_9AB953AE_3105_11D2_8B95_00A0C9B6775A_.wvu.Cols" hidden="1">#REF!</definedName>
    <definedName name="Z_9AB953AE_3105_11D2_8B95_00A0C9B6775A_.wvu.PrintArea" hidden="1">#REF!</definedName>
    <definedName name="Z_9AB953AE_3105_11D2_8B95_00A0C9B6775A_.wvu.PrintTitles" hidden="1">#REF!</definedName>
    <definedName name="Z_9AB953AE_3105_11D2_8B95_00A0C9B6775A_.wvu.Rows" hidden="1">#REF!,#REF!,#REF!,#REF!,#REF!,#REF!,#REF!,#REF!,#REF!,#REF!,#REF!,#REF!,#REF!,#REF!,#REF!,#REF!,#REF!,#REF!,#REF!,#REF!,#REF!,#REF!,#REF!,#REF!,#REF!,#REF!,#REF!,#REF!,#REF!,#REF!,#REF!</definedName>
    <definedName name="Z_9AB953AF_3105_11D2_8B95_00A0C9B6775A_.wvu.Cols" hidden="1">#REF!</definedName>
    <definedName name="Z_9AB953AF_3105_11D2_8B95_00A0C9B6775A_.wvu.PrintArea" hidden="1">#REF!</definedName>
    <definedName name="Z_9AB953AF_3105_11D2_8B95_00A0C9B6775A_.wvu.PrintTitles" hidden="1">#REF!</definedName>
    <definedName name="Z_9AB953AF_3105_11D2_8B95_00A0C9B6775A_.wvu.Rows" hidden="1">#REF!,#REF!,#REF!,#REF!,#REF!,#REF!,#REF!,#REF!,#REF!,#REF!,#REF!,#REF!,#REF!,#REF!,#REF!,#REF!,#REF!,#REF!,#REF!,#REF!,#REF!,#REF!,#REF!,#REF!,#REF!,#REF!,#REF!,#REF!,#REF!,#REF!,#REF!</definedName>
    <definedName name="Z_9B6F4435_ABB4_11D2_801F_0060B01A6EB2_.wvu.PrintArea" hidden="1">#REF!</definedName>
    <definedName name="Z_9BE98507_F126_11D3_94E7_00C04F612D61_.wvu.PrintArea" hidden="1">#REF!</definedName>
    <definedName name="Z_A06D4791_FE5D_11D3_94EA_00C04F612D61_.wvu.PrintArea" hidden="1">#REF!</definedName>
    <definedName name="Z_A06D480D_FE5D_11D3_94EA_00C04F612D61_.wvu.PrintArea" hidden="1">#REF!</definedName>
    <definedName name="Z_A06D49B4_FE5D_11D3_94EA_00C04F612D61_.wvu.PrintArea" hidden="1">#REF!</definedName>
    <definedName name="Z_A06D49D0_FE5D_11D3_94EA_00C04F612D61_.wvu.PrintArea" hidden="1">#REF!</definedName>
    <definedName name="Z_A18F811F_B263_11D3_94DE_00C04F602AEF_.wvu.PrintArea" hidden="1">#REF!</definedName>
    <definedName name="Z_A18F8547_B263_11D3_94DE_00C04F602AEF_.wvu.PrintArea" hidden="1">#REF!</definedName>
    <definedName name="Z_A1CC2EEB_9D38_11D3_94D4_00C04F602AEF_.wvu.PrintArea" hidden="1">#REF!</definedName>
    <definedName name="Z_A2860F0F_949B_11D3_94D2_00C04F602AEF_.wvu.PrintArea" hidden="1">#REF!</definedName>
    <definedName name="Z_A2860FA1_949B_11D3_94D2_00C04F602AEF_.wvu.PrintArea" hidden="1">#REF!</definedName>
    <definedName name="Z_A516D8F4_7068_404F_9C19_A1B991EB319C_.wvu.Cols" hidden="1">#REF!,#REF!,#REF!,#REF!,#REF!</definedName>
    <definedName name="Z_AB004A4F_858A_4AC9_ADF0_FD624C01378E_.wvu.PrintArea" hidden="1">#REF!</definedName>
    <definedName name="Z_AB004A4F_858A_4AC9_ADF0_FD624C01378E_.wvu.Rows" hidden="1">#REF!,#REF!,#REF!</definedName>
    <definedName name="Z_ABB84380_5919_11D2_BBB7_00104B2ACF13_.wvu.Rows" hidden="1">#REF!,#REF!,#REF!,#REF!</definedName>
    <definedName name="Z_AEFAD2E8_D55C_11D2_8027_0060B01A6EB2_.wvu.PrintArea" hidden="1">#REF!</definedName>
    <definedName name="Z_AEFAD4A3_D55C_11D2_8027_0060B01A6EB2_.wvu.PrintArea" hidden="1">#REF!</definedName>
    <definedName name="Z_B4680705_EDD3_11D3_94DB_00C04FA0B046_.wvu.PrintArea" hidden="1">#REF!</definedName>
    <definedName name="Z_B468079E_EDD3_11D3_94DB_00C04FA0B046_.wvu.PrintArea" hidden="1">#REF!</definedName>
    <definedName name="Z_B49E3C17_C2B6_11D3_94E0_00C04F612D61_.wvu.PrintArea" hidden="1">#REF!</definedName>
    <definedName name="Z_B8175DE2_E97C_11D0_8C74_006097B34275_.wvu.FilterData" hidden="1">#REF!</definedName>
    <definedName name="Z_B8DFAC8E_92C4_11D3_94D1_00C04F602AEF_.wvu.PrintArea" hidden="1">#REF!</definedName>
    <definedName name="Z_BB3B8A5D_F8E8_11D3_94DC_00C04FA0B046_.wvu.PrintArea" hidden="1">#REF!</definedName>
    <definedName name="Z_BBDA1A24_3814_11D2_8B95_00A0C9B6775A_.wvu.Cols" hidden="1">#REF!</definedName>
    <definedName name="Z_C2023587_E7DF_11D6_8FC0_0010B588A0E3_.wvu.FilterData" hidden="1">#REF!</definedName>
    <definedName name="Z_C20235A6_E7DF_11D6_8FC0_0010B588A0E3_.wvu.FilterData" hidden="1">#REF!</definedName>
    <definedName name="Z_C20235AA_E7DF_11D6_8FC0_0010B588A0E3_.wvu.FilterData" hidden="1">#REF!</definedName>
    <definedName name="Z_C20235B1_E7DF_11D6_8FC0_0010B588A0E3_.wvu.FilterData" hidden="1">#REF!</definedName>
    <definedName name="Z_C20235D8_E7DF_11D6_8FC0_0010B588A0E3_.wvu.FilterData" hidden="1">#REF!</definedName>
    <definedName name="Z_C4E24F0A_F692_11D3_94DB_00C04FA0B046_.wvu.PrintArea" hidden="1">#REF!</definedName>
    <definedName name="Z_CA9BF89C_7273_11D3_94D6_00C04F612D61_.wvu.PrintArea" hidden="1">#REF!</definedName>
    <definedName name="Z_CAFB083F_9067_11D3_94D0_00C04F602AEF_.wvu.PrintArea" hidden="1">#REF!</definedName>
    <definedName name="Z_CAFB08CF_9067_11D3_94D0_00C04F602AEF_.wvu.PrintArea" hidden="1">#REF!</definedName>
    <definedName name="Z_CAFB0A43_9067_11D3_94D0_00C04F602AEF_.wvu.PrintArea" hidden="1">#REF!</definedName>
    <definedName name="Z_D638BD64_F476_11D3_9808_00902750E8D4_.wvu.Rows" hidden="1">#REF!,#REF!,#REF!,#REF!,#REF!,#REF!,#REF!,#REF!,#REF!,#REF!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4C6D72_E604_11D3_94E6_00C04F612D61_.wvu.PrintArea" hidden="1">#REF!</definedName>
    <definedName name="Z_D74C6F25_E604_11D3_94E6_00C04F612D61_.wvu.PrintArea" hidden="1">#REF!</definedName>
    <definedName name="Z_D74C736A_E604_11D3_94E6_00C04F612D61_.wvu.PrintArea" hidden="1">#REF!</definedName>
    <definedName name="Z_D74C7645_E604_11D3_94E6_00C04F612D61_.wvu.PrintArea" hidden="1">#REF!</definedName>
    <definedName name="Z_D74C777D_E604_11D3_94E6_00C04F612D61_.wvu.PrintArea" hidden="1">#REF!</definedName>
    <definedName name="Z_D74C787B_E604_11D3_94E6_00C04F612D61_.wvu.PrintArea" hidden="1">#REF!</definedName>
    <definedName name="Z_D74C790F_E604_11D3_94E6_00C04F612D61_.wvu.PrintArea" hidden="1">#REF!</definedName>
    <definedName name="Z_D74C7ACD_E604_11D3_94E6_00C04F612D61_.wvu.PrintArea" hidden="1">#REF!</definedName>
    <definedName name="Z_DB425CD1_773A_11D3_94D6_00C04F612D61_.wvu.PrintArea" hidden="1">#REF!</definedName>
    <definedName name="Z_DC9D1C40_07A5_43AB_A11B_52757B1D7BD1_.wvu.Cols" hidden="1">#REF!,#REF!,#REF!</definedName>
    <definedName name="Z_DCA8D884_2605_11D1_A510_006097B38048_.wvu.FilterData" hidden="1">#REF!</definedName>
    <definedName name="Z_DD27408C_6785_11D2_800D_0060B01A6EB2_.wvu.PrintArea" hidden="1">#REF!</definedName>
    <definedName name="Z_E10DD71A_42CC_11D3_8C99_000000000000_.wvu.PrintArea" hidden="1">#REF!</definedName>
    <definedName name="Z_E2699901_D040_11D0_A510_006097B38048_.wvu.FilterData" hidden="1">#REF!</definedName>
    <definedName name="Z_E3359E54_F4E5_11D3_94DB_00C04FA0B046_.wvu.PrintArea" hidden="1">#REF!</definedName>
    <definedName name="Z_E499C1FA_EA01_11D3_94D9_00C04FA0B046_.wvu.PrintArea" hidden="1">#REF!</definedName>
    <definedName name="Z_E8179140_DD91_11D3_94ED_00C04F602AEF_.wvu.PrintArea" hidden="1">#REF!</definedName>
    <definedName name="Z_EEDCBCAC_8399_11D2_8016_0060B01AC4B2_.wvu.PrintArea" hidden="1">#REF!</definedName>
    <definedName name="Z_F2884976_0A0D_11D3_916D_0060B01A6EB2_.wvu.PrintArea" hidden="1">#REF!</definedName>
    <definedName name="Z_FB37AAA2_E08C_11D2_8029_0060B01A6EB2_.wvu.PrintArea" hidden="1">#REF!</definedName>
    <definedName name="Z_FB37B214_E08C_11D2_8029_0060B01A6EB2_.wvu.PrintArea" hidden="1">#REF!</definedName>
    <definedName name="Z_FC0AB258_AC5F_11D3_94DB_00C04F602AEF_.wvu.PrintArea" hidden="1">#REF!</definedName>
    <definedName name="Z_FC0AB2EA_AC5F_11D3_94DB_00C04F602AEF_.wvu.PrintArea" hidden="1">#REF!</definedName>
    <definedName name="Z_FFD9B7F5_04F7_11D6_992D_00104BD16E42_.wvu.Rows" hidden="1">#REF!</definedName>
    <definedName name="za" hidden="1">{#N/A,#N/A,FALSE,"Model";#N/A,#N/A,FALSE,"Division"}</definedName>
    <definedName name="zaCQW" hidden="1">{"turnover",#N/A,FALSE;"profits",#N/A,FALSE;"cash",#N/A,FALSE}</definedName>
    <definedName name="zahlungswVeraenderungen" hidden="1">#REF!</definedName>
    <definedName name="zahlungswVeraenderungen_" hidden="1">#REF!</definedName>
    <definedName name="zahlungswVeraenderungenN" hidden="1">#REF!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er" hidden="1">{#N/A,#N/A,FALSE,"Calc";#N/A,#N/A,FALSE,"Sensitivity";#N/A,#N/A,FALSE,"LT Earn.Dil.";#N/A,#N/A,FALSE,"Dil. AVP"}</definedName>
    <definedName name="zezrzrzerz" hidden="1">{"equity comps",#N/A,FALSE,"CS Comps";"equity comps",#N/A,FALSE,"PS Comps";"equity comps",#N/A,FALSE,"GIC_Comps";"equity comps",#N/A,FALSE,"GIC2_Comps"}</definedName>
    <definedName name="zfill" hidden="1">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hguz" hidden="1">{"DCF","UPSIDE CASE",FALSE,"Sheet1";"DCF","BASE CASE",FALSE,"Sheet1";"DCF","DOWNSIDE CASE",FALSE,"Sheet1"}</definedName>
    <definedName name="zhj" hidden="1">1/EUReXToPTE</definedName>
    <definedName name="zhu" hidden="1">{#N/A,#N/A,FALSE,"REPORT"}</definedName>
    <definedName name="zhutr" hidden="1">{#N/A,#N/A,FALSE,"REPORT"}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nsaufwand" hidden="1">#REF!</definedName>
    <definedName name="Zinsaufwand_" hidden="1">#REF!</definedName>
    <definedName name="ZinsaufwandK" hidden="1">#REF!</definedName>
    <definedName name="ZinsaufwandM" hidden="1">#REF!</definedName>
    <definedName name="ZinsaufwandN" hidden="1">#REF!</definedName>
    <definedName name="ZinsertraegeUndAe" hidden="1">#REF!</definedName>
    <definedName name="ZinsertraegeUndAe_" hidden="1">#REF!</definedName>
    <definedName name="ZinsertraegeUndAeK" hidden="1">#REF!</definedName>
    <definedName name="ZinsertraegeUndAeM" hidden="1">#REF!</definedName>
    <definedName name="ZinsertraegeUndAeN" hidden="1">#REF!</definedName>
    <definedName name="ZIO" hidden="1">{"FY98Q1 var",#N/A,FALSE,"FY98 - Q1";"FY98Q2 var",#N/A,FALSE,"FY98 - Q2";"FY98Q3 var",#N/A,FALSE,"FY98 - Q3";"FY98Q4 var",#N/A,FALSE,"FY98 - Q4"}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m" hidden="1">{"page1",#N/A,FALSE,"GIRLBO";"page2",#N/A,FALSE,"GIRLBO";"page3",#N/A,FALSE,"GIRLBO";"page4",#N/A,FALSE,"GIRLBO";"page5",#N/A,FALSE,"GIRLBO"}</definedName>
    <definedName name="zoiz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rr" hidden="1">{"FY97Q1 var",#N/A,FALSE,"FY97 - Q1";"FY97Q2 var",#N/A,FALSE,"FY97 - Q2";"FY97Q3 var",#N/A,FALSE,"FY97 - Q3";"FY97Q4 var",#N/A,FALSE,"FY97 - Q4"}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" hidden="1">{"weichwaren",#N/A,FALSE,"Liste 1";"hartwaren",#N/A,FALSE,"Liste 1";"food",#N/A,FALSE,"Liste 1";"fleisch",#N/A,FALSE,"Liste 1"}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u" hidden="1">{"GuVGmbH",#N/A,FALSE,"ratios";"BilanzGmbH",#N/A,FALSE,"ratios";"BilanzKG",#N/A,FALSE,"ratios";"GuVKG",#N/A,FALSE,"ratios"}</definedName>
    <definedName name="zu" hidden="1">{"zweis 1",#N/A,FALSE,"B";"zweis2",#N/A,FALSE,"B";"zweis3",#N/A,FALSE,"B";"zweis4",#N/A,FALSE,"B";"zweis5",#N/A,FALSE,"B";"zweis6",#N/A,FALSE,"B";"zweis7",#N/A,FALSE,"B";"zweis8",#N/A,FALSE,"B";"zweis9",#N/A,FALSE,"B"}</definedName>
    <definedName name="zuioitzzu" hidden="1">{#N/A,#N/A,FALSE,"Layout Cash Flow"}</definedName>
    <definedName name="zuizu" hidden="1">{#N/A,#N/A,FALSE,"Layout Cash Flow"}</definedName>
    <definedName name="zuizui" hidden="1">{#N/A,#N/A,FALSE,"Mittelherkunft";#N/A,#N/A,FALSE,"Mittelverwendung"}</definedName>
    <definedName name="zuizuizu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zulizlizi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zulzul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ut" hidden="1">{#N/A,#N/A,FALSE,"Mittelherkunft";#N/A,#N/A,FALSE,"Mittelverwendung"}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{"MATERIAL",#N/A,FALSE,"material"}</definedName>
    <definedName name="zxcvb" hidden="1">{#N/A,#N/A,TRUE,"Historicals";#N/A,#N/A,TRUE,"Charts";#N/A,#N/A,TRUE,"Forecasts"}</definedName>
    <definedName name="zxzx" hidden="1">{"oct_res_comm",#N/A,FALSE,"VarToBud"}</definedName>
    <definedName name="ZZ_EVCOMOPTS" hidden="1">10</definedName>
    <definedName name="zza4pg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ioö" hidden="1">{#N/A,#N/A,FALSE,"Layout Cash Flow"}</definedName>
    <definedName name="zzz" hidden="1">{"'Form'!$A$2:$J$81"}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hidden="1">Main.SAPF4Help()</definedName>
    <definedName name="zzzzz" hidden="1">{"TAG1AGMS",#N/A,FALSE,"TAG 1A"}</definedName>
    <definedName name="zzzzzz" hidden="1">{"var_page",#N/A,FALSE,"template"}</definedName>
    <definedName name="ZZZZZZDELETEME22" hidden="1">{0,0,0,0;0,0,0,0;0,0,0,0;0,0,0,0;0,0,0,0;0,0,0,0;0,0,0,0;0,0,0,0;0,0,0,0;0,0,0,0;0,0,0,0;0,0,0,0;0,0,0,0;0,0,0,0;0,0,0,0;0,0,0,0;0,0,0,0;0,0,TRUE,0}</definedName>
    <definedName name="ZZZZZZDELETEME26" hidden="1">{0,0,0,0;0,0,0,0;0,0,0,0;0,0,0,0;0,0,0,0;0,0,0,0;0,0,0,0;0,0,0,0;0,0,0,0;0,0,0,0;0,0,0,0;0,0,0,0;0,0,0,0;0,0,0,0;0,0,0,0;0,0,0,0;0,0,0,0;0,0,TRUE,0}</definedName>
    <definedName name="zzzzzzz" hidden="1">Main.SAPF4Help()</definedName>
    <definedName name="あああああ" hidden="1">#REF!</definedName>
    <definedName name="カク9" hidden="1">{"RES-2001",#N/A,FALSE,"BL2000";"A1-2001",#N/A,FALSE,"BL2000";"A2-2001",#N/A,FALSE,"BL2000"}</definedName>
    <definedName name="っＫ" hidden="1">#REF!</definedName>
    <definedName name="ﾘﾌﾀ" hidden="1">#REF!</definedName>
    <definedName name="ﾘﾌﾀｰ" hidden="1">#REF!</definedName>
    <definedName name="わあわ" hidden="1">{"CTO ACUMULADO",#N/A,FALSE,"BASE ANEXOS";"VAR ACUMULADAS",#N/A,FALSE,"BASE ANEXOS"}</definedName>
    <definedName name="אאא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שקעה" hidden="1">{"REP1",#N/A,FALSE,"ריכוז";"REP2",#N/A,FALSE,"מפורט1";"REP3",#N/A,FALSE,"מפורט1";"REP4",#N/A,FALSE,"מפורט2";"REP5",#N/A,FALSE,"מפורט2";"REP6",#N/A,FALSE,"מפורט2"}</definedName>
    <definedName name="חח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מ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קרן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ㄱ" hidden="1">{#N/A,#N/A,FALSE,"단축1";#N/A,#N/A,FALSE,"단축2";#N/A,#N/A,FALSE,"단축3";#N/A,#N/A,FALSE,"장축";#N/A,#N/A,FALSE,"4WD"}</definedName>
    <definedName name="ㄱㄱ" hidden="1">{#N/A,#N/A,FALSE,"초도품";#N/A,#N/A,FALSE,"초도품 (2)";#N/A,#N/A,FALSE,"초도품 (3)";#N/A,#N/A,FALSE,"초도품 (4)";#N/A,#N/A,FALSE,"초도품 (5)";#N/A,#N/A,FALSE,"초도품 (6)"}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비" hidden="1">#N/A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각방안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#N/A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갤로" hidden="1">{#N/A,#N/A,FALSE,"정공"}</definedName>
    <definedName name="거" hidden="1">{#N/A,#N/A,FALSE,"단축1";#N/A,#N/A,FALSE,"단축2";#N/A,#N/A,FALSE,"단축3";#N/A,#N/A,FALSE,"장축";#N/A,#N/A,FALSE,"4WD"}</definedName>
    <definedName name="거아러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계획2" hidden="1">{#N/A,#N/A,FALSE,"정공"}</definedName>
    <definedName name="고" hidden="1">{#N/A,#N/A,FALSE,"REPORT"}</definedName>
    <definedName name="공33" hidden="1">{#N/A,#N/A,FALSE,"단축1";#N/A,#N/A,FALSE,"단축2";#N/A,#N/A,FALSE,"단축3";#N/A,#N/A,FALSE,"장축";#N/A,#N/A,FALSE,"4WD"}</definedName>
    <definedName name="공수투입" hidden="1">{#N/A,#N/A,FALSE,"정공"}</definedName>
    <definedName name="구매품목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" hidden="1">{#N/A,#N/A,FALSE,"을지 (4)";#N/A,#N/A,FALSE,"을지 (5)";#N/A,#N/A,FALSE,"을지 (6)"}</definedName>
    <definedName name="ㄴㄴ" hidden="1">{#N/A,#N/A,FALSE,"을지 (4)";#N/A,#N/A,FALSE,"을지 (5)";#N/A,#N/A,FALSE,"을지 (6)"}</definedName>
    <definedName name="ㄴㄴㅁ" hidden="1">#N/A</definedName>
    <definedName name="ㄴㄹ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먀ㅓ랑나ㅣㅎㅇㄴㅁ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나아아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ㄶㅇ노ㅗㄶ호" hidden="1">{#N/A,#N/A,FALSE,"REPORT"}</definedName>
    <definedName name="ㄷㄷ" hidden="1">{#N/A,#N/A,FALSE,"을지 (4)";#N/A,#N/A,FALSE,"을지 (5)";#N/A,#N/A,FALSE,"을지 (6)"}</definedName>
    <definedName name="ㄷㅇ" hidden="1">{#N/A,#N/A,TRUE,"Y생산";#N/A,#N/A,TRUE,"Y판매";#N/A,#N/A,TRUE,"Y총물량";#N/A,#N/A,TRUE,"Y능력";#N/A,#N/A,TRUE,"YKD"}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원" hidden="1">#N/A</definedName>
    <definedName name="대원3" hidden="1">#N/A</definedName>
    <definedName name="대원4" hidden="1">#N/A</definedName>
    <definedName name="대책서" hidden="1">{#N/A,#N/A,FALSE,"단축1";#N/A,#N/A,FALSE,"단축2";#N/A,#N/A,FALSE,"단축3";#N/A,#N/A,FALSE,"장축";#N/A,#N/A,FALSE,"4WD"}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ㄹ" hidden="1">{#N/A,#N/A,FALSE,"을지 (4)";#N/A,#N/A,FALSE,"을지 (5)";#N/A,#N/A,FALSE,"을지 (6)"}</definedName>
    <definedName name="ㄹㅇㅀ" hidden="1">{#N/A,#N/A,FALSE,"단축1";#N/A,#N/A,FALSE,"단축2";#N/A,#N/A,FALSE,"단축3";#N/A,#N/A,FALSE,"장축";#N/A,#N/A,FALSE,"4WD"}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코커버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ㅀㄹ" hidden="1">{#N/A,#N/A,FALSE,"단축1";#N/A,#N/A,FALSE,"단축2";#N/A,#N/A,FALSE,"단축3";#N/A,#N/A,FALSE,"장축";#N/A,#N/A,FALSE,"4WD"}</definedName>
    <definedName name="ㅀ령러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ㅁㅁㅁㅁㅁㅁ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#N/A</definedName>
    <definedName name="마마니" hidden="1">{#N/A,#N/A,FALSE,"단축1";#N/A,#N/A,FALSE,"단축2";#N/A,#N/A,FALSE,"단축3";#N/A,#N/A,FALSE,"장축";#N/A,#N/A,FALSE,"4WD"}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목차" hidden="1">{#N/A,#N/A,FALSE,"단축1";#N/A,#N/A,FALSE,"단축2";#N/A,#N/A,FALSE,"단축3";#N/A,#N/A,FALSE,"장축";#N/A,#N/A,FALSE,"4WD"}</definedName>
    <definedName name="목차도" hidden="1">{#N/A,#N/A,FALSE,"정공"}</definedName>
    <definedName name="몰라" hidden="1">{#N/A,#N/A,FALSE,"정공"}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미미아" hidden="1">{#N/A,#N/A,FALSE,"정공"}</definedName>
    <definedName name="미석" hidden="1">{#N/A,#N/A,FALSE,"정공"}</definedName>
    <definedName name="미애" hidden="1">{#N/A,#N/A,FALSE,"REPORT"}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ㅁ" hidden="1">{#N/A,"PURCHM",FALSE,"Business Analysis";#N/A,"SPADD",FALSE,"Business Analysis"}</definedName>
    <definedName name="ㅂ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조" hidden="1">{#N/A,#N/A,FALSE,"단축1";#N/A,#N/A,FALSE,"단축2";#N/A,#N/A,FALSE,"단축3";#N/A,#N/A,FALSE,"장축";#N/A,#N/A,FALSE,"4WD"}</definedName>
    <definedName name="바보상자" hidden="1">{#N/A,#N/A,FALSE,"정공"}</definedName>
    <definedName name="발표양식2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비교손익당초" hidden="1">{#N/A,#N/A,FALSE,"정공"}</definedName>
    <definedName name="ㅅㅅ" hidden="1">{#N/A,#N/A,FALSE,"단축1";#N/A,#N/A,FALSE,"단축2";#N/A,#N/A,FALSE,"단축3";#N/A,#N/A,FALSE,"장축";#N/A,#N/A,FALSE,"4WD"}</definedName>
    <definedName name="사다함이" hidden="1">{#N/A,#N/A,FALSE,"정공"}</definedName>
    <definedName name="사무용품" hidden="1">{#N/A,#N/A,FALSE,"초도품";#N/A,#N/A,FALSE,"초도품 (2)";#N/A,#N/A,FALSE,"초도품 (3)";#N/A,#N/A,FALSE,"초도품 (4)";#N/A,#N/A,FALSE,"초도품 (5)";#N/A,#N/A,FALSE,"초도품 (6)"}</definedName>
    <definedName name="사업비교표" hidden="1">{#N/A,#N/A,FALSE,"정공"}</definedName>
    <definedName name="사업추진" hidden="1">{#N/A,#N/A,FALSE,"정공"}</definedName>
    <definedName name="삼성" hidden="1">{#N/A,#N/A,FALSE,"정공"}</definedName>
    <definedName name="삼성2" hidden="1">{#N/A,#N/A,FALSE,"정공"}</definedName>
    <definedName name="상랑니" hidden="1">{#N/A,#N/A,FALSE,"을지 (4)";#N/A,#N/A,FALSE,"을지 (5)";#N/A,#N/A,FALSE,"을지 (6)"}</definedName>
    <definedName name="상로허호" hidden="1">{#N/A,#N/A,FALSE,"정공"}</definedName>
    <definedName name="상품성1" hidden="1">{#N/A,#N/A,FALSE,"단축1";#N/A,#N/A,FALSE,"단축2";#N/A,#N/A,FALSE,"단축3";#N/A,#N/A,FALSE,"장축";#N/A,#N/A,FALSE,"4WD"}</definedName>
    <definedName name="상품성보고" hidden="1">#N/A</definedName>
    <definedName name="새로운" hidden="1">{#N/A,#N/A,FALSE,"단축1";#N/A,#N/A,FALSE,"단축2";#N/A,#N/A,FALSE,"단축3";#N/A,#N/A,FALSE,"장축";#N/A,#N/A,FALSE,"4WD"}</definedName>
    <definedName name="새벽0118" hidden="1">{#N/A,#N/A,FALSE,"단축1";#N/A,#N/A,FALSE,"단축2";#N/A,#N/A,FALSE,"단축3";#N/A,#N/A,FALSE,"장축";#N/A,#N/A,FALSE,"4WD"}</definedName>
    <definedName name="새벽시장발표" hidden="1">{#N/A,#N/A,FALSE,"단축1";#N/A,#N/A,FALSE,"단축2";#N/A,#N/A,FALSE,"단축3";#N/A,#N/A,FALSE,"장축";#N/A,#N/A,FALSE,"4WD"}</definedName>
    <definedName name="새벽시장발표11" hidden="1">{#N/A,#N/A,FALSE,"단축1";#N/A,#N/A,FALSE,"단축2";#N/A,#N/A,FALSE,"단축3";#N/A,#N/A,FALSE,"장축";#N/A,#N/A,FALSE,"4WD"}</definedName>
    <definedName name="새벽시장발표111" hidden="1">{#N/A,#N/A,FALSE,"단축1";#N/A,#N/A,FALSE,"단축2";#N/A,#N/A,FALSE,"단축3";#N/A,#N/A,FALSE,"장축";#N/A,#N/A,FALSE,"4WD"}</definedName>
    <definedName name="새벽시장발표양식" hidden="1">{#N/A,#N/A,FALSE,"단축1";#N/A,#N/A,FALSE,"단축2";#N/A,#N/A,FALSE,"단축3";#N/A,#N/A,FALSE,"장축";#N/A,#N/A,FALSE,"4WD"}</definedName>
    <definedName name="새벽시장발표양식.1" hidden="1">{#N/A,#N/A,FALSE,"단축1";#N/A,#N/A,FALSE,"단축2";#N/A,#N/A,FALSE,"단축3";#N/A,#N/A,FALSE,"장축";#N/A,#N/A,FALSE,"4WD"}</definedName>
    <definedName name="새파일편집" hidden="1">{#N/A,#N/A,FALSE,"정공"}</definedName>
    <definedName name="생산능력" hidden="1">{#N/A,#N/A,FALSE,"정공"}</definedName>
    <definedName name="생산손익" hidden="1">{#N/A,#N/A,FALSE,"정공"}</definedName>
    <definedName name="생산품목" hidden="1">{#N/A,#N/A,FALSE,"정공"}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#N/A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바3" hidden="1">{#N/A,#N/A,FALSE,"단축1";#N/A,#N/A,FALSE,"단축2";#N/A,#N/A,FALSE,"단축3";#N/A,#N/A,FALSE,"장축";#N/A,#N/A,FALSE,"4WD"}</definedName>
    <definedName name="수량추정" hidden="1">{#N/A,#N/A,FALSE,"정공"}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hidden="1">{#N/A,#N/A,FALSE,"초도품";#N/A,#N/A,FALSE,"초도품 (2)";#N/A,#N/A,FALSE,"초도품 (3)";#N/A,#N/A,FALSE,"초도품 (4)";#N/A,#N/A,FALSE,"초도품 (5)";#N/A,#N/A,FALSE,"초도품 (6)"}</definedName>
    <definedName name="ㅇADKFJDA" hidden="1">{#N/A,#N/A,FALSE,"을지 (4)";#N/A,#N/A,FALSE,"을지 (5)";#N/A,#N/A,FALSE,"을지 (6)"}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ㄴㅇ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hidden="1">{#N/A,#N/A,FALSE,"신규dep";#N/A,#N/A,FALSE,"신규dep-금형상각후";#N/A,#N/A,FALSE,"신규dep-연구비상각후";#N/A,#N/A,FALSE,"신규dep-기계,공구상각후"}</definedName>
    <definedName name="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아니면말고" hidden="1">{#N/A,#N/A,FALSE,"정공"}</definedName>
    <definedName name="아니오" hidden="1">{#N/A,#N/A,FALSE,"정공"}</definedName>
    <definedName name="안현모" hidden="1">{#N/A,#N/A,FALSE,"단축1";#N/A,#N/A,FALSE,"단축2";#N/A,#N/A,FALSE,"단축3";#N/A,#N/A,FALSE,"장축";#N/A,#N/A,FALSE,"4WD"}</definedName>
    <definedName name="앗서" hidden="1">{#N/A,#N/A,FALSE,"정공"}</definedName>
    <definedName name="액슬" hidden="1">{#N/A,#N/A,FALSE,"단축1";#N/A,#N/A,FALSE,"단축2";#N/A,#N/A,FALSE,"단축3";#N/A,#N/A,FALSE,"장축";#N/A,#N/A,FALSE,"4WD"}</definedName>
    <definedName name="약식손익" hidden="1">{#N/A,#N/A,FALSE,"정공"}</definedName>
    <definedName name="약정잉자" hidden="1">{#N/A,#N/A,FALSE,"정공"}</definedName>
    <definedName name="양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무보고용" hidden="1">{#N/A,#N/A,FALSE,"정공"}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연료펌프" hidden="1">#REF!</definedName>
    <definedName name="연주얀" hidden="1">{#N/A,#N/A,FALSE,"정공"}</definedName>
    <definedName name="예산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어나" hidden="1">{#N/A,#N/A,FALSE,"단축1";#N/A,#N/A,FALSE,"단축2";#N/A,#N/A,FALSE,"단축3";#N/A,#N/A,FALSE,"장축";#N/A,#N/A,FALSE,"4WD"}</definedName>
    <definedName name="요약" hidden="1">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용도차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욷" hidden="1">{#N/A,#N/A,FALSE,"단축1";#N/A,#N/A,FALSE,"단축2";#N/A,#N/A,FALSE,"단축3";#N/A,#N/A,FALSE,"장축";#N/A,#N/A,FALSE,"4WD"}</definedName>
    <definedName name="원가관리라" hidden="1">{#N/A,#N/A,FALSE,"정공"}</definedName>
    <definedName name="원가적용" hidden="1">{#N/A,#N/A,FALSE,"정공"}</definedName>
    <definedName name="원단운영안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월별원가절감상세" hidden="1">{#N/A,#N/A,FALSE,"정공"}</definedName>
    <definedName name="유럽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란" hidden="1">{#N/A,#N/A,FALSE,"단축1";#N/A,#N/A,FALSE,"단축2";#N/A,#N/A,FALSE,"단축3";#N/A,#N/A,FALSE,"장축";#N/A,#N/A,FALSE,"4WD"}</definedName>
    <definedName name="이이" hidden="1">{#N/A,#N/A,FALSE,"을지 (4)";#N/A,#N/A,FALSE,"을지 (5)";#N/A,#N/A,FALSE,"을지 (6)"}</definedName>
    <definedName name="이이잉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임동원" hidden="1">{#N/A,#N/A,FALSE,"정공"}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{#N/A,#N/A,FALSE,"을지 (4)";#N/A,#N/A,FALSE,"을지 (5)";#N/A,#N/A,FALSE,"을지 (6)"}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자본금" hidden="1">{#N/A,#N/A,FALSE,"정공"}</definedName>
    <definedName name="자잦" hidden="1">{#N/A,#N/A,FALSE,"단축1";#N/A,#N/A,FALSE,"단축2";#N/A,#N/A,FALSE,"단축3";#N/A,#N/A,FALSE,"장축";#N/A,#N/A,FALSE,"4WD"}</definedName>
    <definedName name="잔다르크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자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절감내역상세" hidden="1">{#N/A,#N/A,FALSE,"정공"}</definedName>
    <definedName name="절감반기계획對실적" hidden="1">{#N/A,#N/A,FALSE,"정공"}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젖" hidden="1">{#N/A,#N/A,FALSE,"단축1";#N/A,#N/A,FALSE,"단축2";#N/A,#N/A,FALSE,"단축3";#N/A,#N/A,FALSE,"장축";#N/A,#N/A,FALSE,"4WD"}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원종합" hidden="1">#N/A</definedName>
    <definedName name="제작현황" hidden="1">{#N/A,#N/A,FALSE,"단축1";#N/A,#N/A,FALSE,"단축2";#N/A,#N/A,FALSE,"단축3";#N/A,#N/A,FALSE,"장축";#N/A,#N/A,FALSE,"4WD"}</definedName>
    <definedName name="조립치구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직도" hidden="1">{#N/A,#N/A,FALSE,"을지 (4)";#N/A,#N/A,FALSE,"을지 (5)";#N/A,#N/A,FALSE,"을지 (6)"}</definedName>
    <definedName name="종합미래2" hidden="1">{#N/A,#N/A,FALSE,"정공"}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차례" hidden="1">{#N/A,#N/A,FALSE,"단축1";#N/A,#N/A,FALSE,"단축2";#N/A,#N/A,FALSE,"단축3";#N/A,#N/A,FALSE,"장축";#N/A,#N/A,FALSE,"4WD"}</definedName>
    <definedName name="차트" hidden="1">{#N/A,#N/A,FALSE,"정공"}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총괄_신세대" hidden="1">{#N/A,#N/A,FALSE,"정공"}</definedName>
    <definedName name="총무3" hidden="1">{#N/A,#N/A,FALSE,"단축1";#N/A,#N/A,FALSE,"단축2";#N/A,#N/A,FALSE,"단축3";#N/A,#N/A,FALSE,"장축";#N/A,#N/A,FALSE,"4WD"}</definedName>
    <definedName name="최영" hidden="1">{#N/A,#N/A,FALSE,"정공"}</definedName>
    <definedName name="추진전략" hidden="1">{#N/A,#N/A,FALSE,"정공"}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" hidden="1">{#N/A,#N/A,TRUE,"매출진척-1";#N/A,#N/A,TRUE,"매출진척-2";#N/A,#N/A,TRUE,"제품실적";#N/A,#N/A,TRUE,"RAC";#N/A,#N/A,TRUE,"PAC ";#N/A,#N/A,TRUE,"재고현황";#N/A,#N/A,TRUE,"공지사항"}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팩키지2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#N/A</definedName>
    <definedName name="품" hidden="1">{#N/A,#N/A,FALSE,"단축1";#N/A,#N/A,FALSE,"단축2";#N/A,#N/A,FALSE,"단축3";#N/A,#N/A,FALSE,"장축";#N/A,#N/A,FALSE,"4WD"}</definedName>
    <definedName name="품질시스템인증수수료" hidden="1">{#N/A,#N/A,FALSE,"초도품";#N/A,#N/A,FALSE,"초도품 (2)";#N/A,#N/A,FALSE,"초도품 (3)";#N/A,#N/A,FALSE,"초도품 (4)";#N/A,#N/A,FALSE,"초도품 (5)";#N/A,#N/A,FALSE,"초도품 (6)"}</definedName>
    <definedName name="품확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프로젝트" hidden="1">#REF!</definedName>
    <definedName name="ㅎ" hidden="1">{#N/A,#N/A,FALSE,"을지 (4)";#N/A,#N/A,FALSE,"을지 (5)";#N/A,#N/A,FALSE,"을지 (6)"}</definedName>
    <definedName name="ㅎㄹㅇ" hidden="1">{#N/A,#N/A,FALSE,"단축1";#N/A,#N/A,FALSE,"단축2";#N/A,#N/A,FALSE,"단축3";#N/A,#N/A,FALSE,"장축";#N/A,#N/A,FALSE,"4WD"}</definedName>
    <definedName name="ㅎㅎ" hidden="1">{#N/A,#N/A,FALSE,"을지 (4)";#N/A,#N/A,FALSE,"을지 (5)";#N/A,#N/A,FALSE,"을지 (6)"}</definedName>
    <definedName name="ㅎ호ㅓㅓㅗ" hidden="1">{#N/A,#N/A,FALSE,"단축1";#N/A,#N/A,FALSE,"단축2";#N/A,#N/A,FALSE,"단축3";#N/A,#N/A,FALSE,"장축";#N/A,#N/A,FALSE,"4WD"}</definedName>
    <definedName name="하라라" hidden="1">{#N/A,#N/A,FALSE,"단축1";#N/A,#N/A,FALSE,"단축2";#N/A,#N/A,FALSE,"단축3";#N/A,#N/A,FALSE,"장축";#N/A,#N/A,FALSE,"4WD"}</definedName>
    <definedName name="하하" hidden="1">{#N/A,#N/A,FALSE,"초도품";#N/A,#N/A,FALSE,"초도품 (2)";#N/A,#N/A,FALSE,"초도품 (3)";#N/A,#N/A,FALSE,"초도품 (4)";#N/A,#N/A,FALSE,"초도품 (5)";#N/A,#N/A,FALSE,"초도품 (6)"}</definedName>
    <definedName name="하하핳하하하" hidden="1">{#N/A,#N/A,FALSE,"단축1";#N/A,#N/A,FALSE,"단축2";#N/A,#N/A,FALSE,"단축3";#N/A,#N/A,FALSE,"장축";#N/A,#N/A,FALSE,"4WD"}</definedName>
    <definedName name="하하호호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협의" hidden="1">{#N/A,#N/A,FALSE,"단축1";#N/A,#N/A,FALSE,"단축2";#N/A,#N/A,FALSE,"단축3";#N/A,#N/A,FALSE,"장축";#N/A,#N/A,FALSE,"4WD"}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후훟" hidden="1">{#N/A,#N/A,FALSE,"초도품";#N/A,#N/A,FALSE,"초도품 (2)";#N/A,#N/A,FALSE,"초도품 (3)";#N/A,#N/A,FALSE,"초도품 (4)";#N/A,#N/A,FALSE,"초도품 (5)";#N/A,#N/A,FALSE,"초도품 (6)"}</definedName>
    <definedName name="ㅏ" hidden="1">{#N/A,#N/A,FALSE,"을지 (4)";#N/A,#N/A,FALSE,"을지 (5)";#N/A,#N/A,FALSE,"을지 (6)"}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{#N/A,#N/A,FALSE,"을지 (4)";#N/A,#N/A,FALSE,"을지 (5)";#N/A,#N/A,FALSE,"을지 (6)"}</definedName>
    <definedName name="ㅑ" hidden="1">{#N/A,#N/A,FALSE,"단축1";#N/A,#N/A,FALSE,"단축2";#N/A,#N/A,FALSE,"단축3";#N/A,#N/A,FALSE,"장축";#N/A,#N/A,FALSE,"4WD"}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{#N/A,#N/A,FALSE,"초도품";#N/A,#N/A,FALSE,"초도품 (2)";#N/A,#N/A,FALSE,"초도품 (3)";#N/A,#N/A,FALSE,"초도품 (4)";#N/A,#N/A,FALSE,"초도품 (5)";#N/A,#N/A,FALSE,"초도품 (6)"}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#N/A</definedName>
    <definedName name="ㅔㅔㅔㅔ" hidden="1">{#N/A,#N/A,FALSE,"을지 (4)";#N/A,#N/A,FALSE,"을지 (5)";#N/A,#N/A,FALSE,"을지 (6)"}</definedName>
    <definedName name="ㅕ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ㅕㅕㅕ" hidden="1">{#N/A,#N/A,FALSE,"을지 (4)";#N/A,#N/A,FALSE,"을지 (5)";#N/A,#N/A,FALSE,"을지 (6)"}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ㅐㅓㅐ" hidden="1">#N/A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ㅡㅡ" hidden="1">#N/A</definedName>
    <definedName name="ㅣ" hidden="1">#N/A</definedName>
    <definedName name="ㅣㅏㅡ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 hidden="1">{#N/A,#N/A,FALSE,"단축1";#N/A,#N/A,FALSE,"단축2";#N/A,#N/A,FALSE,"단축3";#N/A,#N/A,FALSE,"장축";#N/A,#N/A,FALSE,"4WD"}</definedName>
    <definedName name="倉田" hidden="1">{#N/A,"VA",FALSE,"output";#N/A,"VB",FALSE,"output";#N/A,"VS",FALSE,"output";#N/A,"VC",FALSE,"output";#N/A,"VG",FALSE,"output";#N/A,"J1",FALSE,"output";#N/A,"J2",FALSE,"output";#N/A,"PT",FALSE,"output"}</definedName>
    <definedName name="内製日程" hidden="1">#REF!</definedName>
    <definedName name="変更" hidden="1">{#VALUE!,#N/A,FALSE,0;#N/A,#N/A,FALSE,0;#N/A,#N/A,FALSE,0;#N/A,#N/A,FALSE,0}</definedName>
    <definedName name="損益・資金推移" hidden="1">#REF!</definedName>
    <definedName name="改" hidden="1">{#VALUE!,#N/A,FALSE,0;#N/A,#N/A,FALSE,0;#N/A,#N/A,FALSE,0;#N/A,#N/A,FALSE,0}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程２" hidden="1">#REF!</definedName>
    <definedName name="比例費" hidden="1">255</definedName>
    <definedName name="波形" hidden="1">#REF!</definedName>
    <definedName name="田中" hidden="1">{#N/A,"VA",FALSE,"output";#N/A,"VB",FALSE,"output";#N/A,"VS",FALSE,"output";#N/A,"VC",FALSE,"output";#N/A,"VG",FALSE,"output";#N/A,"J1",FALSE,"output";#N/A,"J2",FALSE,"output";#N/A,"PT",FALSE,"output"}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直接固定費" hidden="1">{"COMNUS2000",#N/A,FALSE,"BL2000"}</definedName>
    <definedName name="英語" hidden="1">{#VALUE!,#N/A,FALSE,0;#N/A,#N/A,FALSE,0;#N/A,#N/A,FALSE,0;#N/A,#N/A,FALSE,0}</definedName>
    <definedName name="長野" hidden="1">{#N/A,#N/A,TRUE,"RIDE";#N/A,#N/A,TRUE,"STEERING";#N/A,#N/A,TRUE,"HANDLING";#N/A,#N/A,TRUE,"BRAKING"}</definedName>
    <definedName name="開発日程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7" i="2" l="1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1" i="2"/>
  <c r="A341" i="2"/>
  <c r="B340" i="2"/>
  <c r="A340" i="2"/>
  <c r="B339" i="2"/>
  <c r="A339" i="2"/>
  <c r="B338" i="2"/>
  <c r="A338" i="2"/>
  <c r="B337" i="2"/>
  <c r="A337" i="2"/>
  <c r="I328" i="2"/>
  <c r="H328" i="2"/>
  <c r="G328" i="2"/>
  <c r="F328" i="2"/>
  <c r="B321" i="2"/>
  <c r="AZ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BB318" i="2"/>
  <c r="BA318" i="2"/>
  <c r="AZ318" i="2"/>
  <c r="AY318" i="2"/>
  <c r="AX318" i="2"/>
  <c r="AW318" i="2"/>
  <c r="AV318" i="2"/>
  <c r="K318" i="2"/>
  <c r="I318" i="2"/>
  <c r="J318" i="2" s="1"/>
  <c r="H318" i="2"/>
  <c r="G318" i="2"/>
  <c r="F318" i="2"/>
  <c r="BB317" i="2"/>
  <c r="I317" i="2" s="1"/>
  <c r="J317" i="2" s="1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K317" i="2" s="1"/>
  <c r="AO317" i="2"/>
  <c r="AN317" i="2"/>
  <c r="AM317" i="2"/>
  <c r="AL317" i="2"/>
  <c r="AK317" i="2"/>
  <c r="AJ317" i="2"/>
  <c r="H317" i="2"/>
  <c r="G317" i="2"/>
  <c r="F317" i="2"/>
  <c r="BB316" i="2"/>
  <c r="I316" i="2" s="1"/>
  <c r="BA316" i="2"/>
  <c r="AZ316" i="2"/>
  <c r="AY316" i="2"/>
  <c r="AX316" i="2"/>
  <c r="AW316" i="2"/>
  <c r="AV316" i="2"/>
  <c r="AU316" i="2"/>
  <c r="H316" i="2" s="1"/>
  <c r="AT316" i="2"/>
  <c r="AS316" i="2"/>
  <c r="AR316" i="2"/>
  <c r="AQ316" i="2"/>
  <c r="AP316" i="2"/>
  <c r="AO316" i="2"/>
  <c r="AN316" i="2"/>
  <c r="AM316" i="2"/>
  <c r="AL316" i="2"/>
  <c r="AK316" i="2"/>
  <c r="AJ316" i="2"/>
  <c r="K316" i="2"/>
  <c r="G316" i="2"/>
  <c r="F316" i="2"/>
  <c r="BB315" i="2"/>
  <c r="I315" i="2" s="1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K315" i="2" s="1"/>
  <c r="AO315" i="2"/>
  <c r="AN315" i="2"/>
  <c r="AM315" i="2"/>
  <c r="AL315" i="2"/>
  <c r="AK315" i="2"/>
  <c r="AJ315" i="2"/>
  <c r="H315" i="2"/>
  <c r="G315" i="2"/>
  <c r="F315" i="2"/>
  <c r="BB314" i="2"/>
  <c r="I314" i="2" s="1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K314" i="2" s="1"/>
  <c r="AO314" i="2"/>
  <c r="AN314" i="2"/>
  <c r="AM314" i="2"/>
  <c r="AL314" i="2"/>
  <c r="AK314" i="2"/>
  <c r="AJ314" i="2"/>
  <c r="H314" i="2"/>
  <c r="J314" i="2" s="1"/>
  <c r="G314" i="2"/>
  <c r="F314" i="2"/>
  <c r="BB313" i="2"/>
  <c r="I313" i="2" s="1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K313" i="2" s="1"/>
  <c r="AO313" i="2"/>
  <c r="AN313" i="2"/>
  <c r="AM313" i="2"/>
  <c r="AL313" i="2"/>
  <c r="AK313" i="2"/>
  <c r="AJ313" i="2"/>
  <c r="H313" i="2"/>
  <c r="J313" i="2" s="1"/>
  <c r="G313" i="2"/>
  <c r="F313" i="2"/>
  <c r="BB312" i="2"/>
  <c r="I312" i="2" s="1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K312" i="2" s="1"/>
  <c r="AO312" i="2"/>
  <c r="AN312" i="2"/>
  <c r="AM312" i="2"/>
  <c r="AL312" i="2"/>
  <c r="AK312" i="2"/>
  <c r="AJ312" i="2"/>
  <c r="H312" i="2"/>
  <c r="J312" i="2" s="1"/>
  <c r="G312" i="2"/>
  <c r="G353" i="2" s="1"/>
  <c r="F312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K311" i="2" s="1"/>
  <c r="AO311" i="2"/>
  <c r="AN311" i="2"/>
  <c r="AM311" i="2"/>
  <c r="AL311" i="2"/>
  <c r="AK311" i="2"/>
  <c r="AJ311" i="2"/>
  <c r="I311" i="2"/>
  <c r="H311" i="2"/>
  <c r="J311" i="2" s="1"/>
  <c r="G311" i="2"/>
  <c r="G352" i="2" s="1"/>
  <c r="F311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K310" i="2" s="1"/>
  <c r="AO310" i="2"/>
  <c r="AN310" i="2"/>
  <c r="AM310" i="2"/>
  <c r="AL310" i="2"/>
  <c r="AK310" i="2"/>
  <c r="AJ310" i="2"/>
  <c r="I310" i="2"/>
  <c r="H310" i="2"/>
  <c r="J310" i="2" s="1"/>
  <c r="G310" i="2"/>
  <c r="G351" i="2" s="1"/>
  <c r="F310" i="2"/>
  <c r="BB309" i="2"/>
  <c r="I309" i="2" s="1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K309" i="2" s="1"/>
  <c r="AO309" i="2"/>
  <c r="AN309" i="2"/>
  <c r="AM309" i="2"/>
  <c r="AL309" i="2"/>
  <c r="AK309" i="2"/>
  <c r="AJ309" i="2"/>
  <c r="H309" i="2"/>
  <c r="G309" i="2"/>
  <c r="G350" i="2" s="1"/>
  <c r="F309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K308" i="2" s="1"/>
  <c r="AO308" i="2"/>
  <c r="AN308" i="2"/>
  <c r="AM308" i="2"/>
  <c r="AL308" i="2"/>
  <c r="AK308" i="2"/>
  <c r="AK433" i="2" s="1"/>
  <c r="AJ308" i="2"/>
  <c r="I308" i="2"/>
  <c r="H308" i="2"/>
  <c r="J308" i="2" s="1"/>
  <c r="G308" i="2"/>
  <c r="G349" i="2" s="1"/>
  <c r="F308" i="2"/>
  <c r="BB307" i="2"/>
  <c r="BA307" i="2"/>
  <c r="AZ307" i="2"/>
  <c r="AY307" i="2"/>
  <c r="AX307" i="2"/>
  <c r="AW307" i="2"/>
  <c r="AV307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K307" i="2"/>
  <c r="I307" i="2"/>
  <c r="H307" i="2"/>
  <c r="J307" i="2" s="1"/>
  <c r="G307" i="2"/>
  <c r="G348" i="2" s="1"/>
  <c r="F307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K306" i="2" s="1"/>
  <c r="AO306" i="2"/>
  <c r="AN306" i="2"/>
  <c r="AM306" i="2"/>
  <c r="AL306" i="2"/>
  <c r="AK306" i="2"/>
  <c r="AJ306" i="2"/>
  <c r="I306" i="2"/>
  <c r="J306" i="2" s="1"/>
  <c r="H306" i="2"/>
  <c r="G306" i="2"/>
  <c r="G347" i="2" s="1"/>
  <c r="F306" i="2"/>
  <c r="BB305" i="2"/>
  <c r="BA305" i="2"/>
  <c r="AZ305" i="2"/>
  <c r="AY305" i="2"/>
  <c r="AX305" i="2"/>
  <c r="AW305" i="2"/>
  <c r="AV305" i="2"/>
  <c r="AU305" i="2"/>
  <c r="H305" i="2" s="1"/>
  <c r="J305" i="2" s="1"/>
  <c r="AT305" i="2"/>
  <c r="AS305" i="2"/>
  <c r="AR305" i="2"/>
  <c r="AQ305" i="2"/>
  <c r="AP305" i="2"/>
  <c r="K305" i="2" s="1"/>
  <c r="AO305" i="2"/>
  <c r="AN305" i="2"/>
  <c r="AM305" i="2"/>
  <c r="AL305" i="2"/>
  <c r="AK305" i="2"/>
  <c r="AJ305" i="2"/>
  <c r="I305" i="2"/>
  <c r="G305" i="2"/>
  <c r="G346" i="2" s="1"/>
  <c r="F305" i="2"/>
  <c r="BB304" i="2"/>
  <c r="I304" i="2" s="1"/>
  <c r="BA304" i="2"/>
  <c r="AZ304" i="2"/>
  <c r="AY304" i="2"/>
  <c r="AX304" i="2"/>
  <c r="AW304" i="2"/>
  <c r="AV304" i="2"/>
  <c r="AU304" i="2"/>
  <c r="H304" i="2" s="1"/>
  <c r="J304" i="2" s="1"/>
  <c r="AT304" i="2"/>
  <c r="AS304" i="2"/>
  <c r="AR304" i="2"/>
  <c r="AQ304" i="2"/>
  <c r="AP304" i="2"/>
  <c r="AO304" i="2"/>
  <c r="AN304" i="2"/>
  <c r="AM304" i="2"/>
  <c r="AL304" i="2"/>
  <c r="AK304" i="2"/>
  <c r="AJ304" i="2"/>
  <c r="K304" i="2"/>
  <c r="G304" i="2"/>
  <c r="G345" i="2" s="1"/>
  <c r="F304" i="2"/>
  <c r="BB303" i="2"/>
  <c r="I303" i="2" s="1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K303" i="2" s="1"/>
  <c r="AO303" i="2"/>
  <c r="AN303" i="2"/>
  <c r="AM303" i="2"/>
  <c r="AL303" i="2"/>
  <c r="AK303" i="2"/>
  <c r="AJ303" i="2"/>
  <c r="H303" i="2"/>
  <c r="J303" i="2" s="1"/>
  <c r="G303" i="2"/>
  <c r="F303" i="2"/>
  <c r="BB302" i="2"/>
  <c r="I302" i="2" s="1"/>
  <c r="BA302" i="2"/>
  <c r="AZ302" i="2"/>
  <c r="AY302" i="2"/>
  <c r="AX302" i="2"/>
  <c r="AW302" i="2"/>
  <c r="AV302" i="2"/>
  <c r="AU302" i="2"/>
  <c r="AT302" i="2"/>
  <c r="AS302" i="2"/>
  <c r="AR302" i="2"/>
  <c r="AQ302" i="2"/>
  <c r="AP302" i="2"/>
  <c r="K302" i="2" s="1"/>
  <c r="AO302" i="2"/>
  <c r="AN302" i="2"/>
  <c r="AM302" i="2"/>
  <c r="AL302" i="2"/>
  <c r="AK302" i="2"/>
  <c r="AJ302" i="2"/>
  <c r="H302" i="2"/>
  <c r="G302" i="2"/>
  <c r="F302" i="2"/>
  <c r="E302" i="2"/>
  <c r="BB301" i="2"/>
  <c r="I301" i="2" s="1"/>
  <c r="BA301" i="2"/>
  <c r="AZ301" i="2"/>
  <c r="AY301" i="2"/>
  <c r="AX301" i="2"/>
  <c r="AW301" i="2"/>
  <c r="AV301" i="2"/>
  <c r="AU301" i="2"/>
  <c r="AT301" i="2"/>
  <c r="AS301" i="2"/>
  <c r="AR301" i="2"/>
  <c r="AQ301" i="2"/>
  <c r="AP301" i="2"/>
  <c r="K301" i="2" s="1"/>
  <c r="AO301" i="2"/>
  <c r="AN301" i="2"/>
  <c r="AM301" i="2"/>
  <c r="AL301" i="2"/>
  <c r="AK301" i="2"/>
  <c r="AJ301" i="2"/>
  <c r="H301" i="2"/>
  <c r="G301" i="2"/>
  <c r="F301" i="2"/>
  <c r="E301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K300" i="2" s="1"/>
  <c r="AO300" i="2"/>
  <c r="AN300" i="2"/>
  <c r="AM300" i="2"/>
  <c r="AL300" i="2"/>
  <c r="AK300" i="2"/>
  <c r="AJ300" i="2"/>
  <c r="J300" i="2"/>
  <c r="I300" i="2"/>
  <c r="H300" i="2"/>
  <c r="G300" i="2"/>
  <c r="F300" i="2"/>
  <c r="BB299" i="2"/>
  <c r="I299" i="2" s="1"/>
  <c r="BA299" i="2"/>
  <c r="AZ299" i="2"/>
  <c r="AY299" i="2"/>
  <c r="AX299" i="2"/>
  <c r="AW299" i="2"/>
  <c r="AV299" i="2"/>
  <c r="AU299" i="2"/>
  <c r="H299" i="2" s="1"/>
  <c r="AT299" i="2"/>
  <c r="AS299" i="2"/>
  <c r="AR299" i="2"/>
  <c r="AQ299" i="2"/>
  <c r="AP299" i="2"/>
  <c r="K299" i="2" s="1"/>
  <c r="AO299" i="2"/>
  <c r="AN299" i="2"/>
  <c r="AM299" i="2"/>
  <c r="AL299" i="2"/>
  <c r="AK299" i="2"/>
  <c r="AJ299" i="2"/>
  <c r="G299" i="2"/>
  <c r="F299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K298" i="2"/>
  <c r="J298" i="2"/>
  <c r="I298" i="2"/>
  <c r="H298" i="2"/>
  <c r="G298" i="2"/>
  <c r="F298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K297" i="2"/>
  <c r="I297" i="2"/>
  <c r="H297" i="2"/>
  <c r="J297" i="2" s="1"/>
  <c r="G297" i="2"/>
  <c r="F297" i="2"/>
  <c r="BB296" i="2"/>
  <c r="BA296" i="2"/>
  <c r="AZ296" i="2"/>
  <c r="AY296" i="2"/>
  <c r="AX296" i="2"/>
  <c r="AW296" i="2"/>
  <c r="AV296" i="2"/>
  <c r="AU296" i="2"/>
  <c r="H296" i="2" s="1"/>
  <c r="J296" i="2" s="1"/>
  <c r="AT296" i="2"/>
  <c r="AS296" i="2"/>
  <c r="AR296" i="2"/>
  <c r="AQ296" i="2"/>
  <c r="AP296" i="2"/>
  <c r="AO296" i="2"/>
  <c r="AN296" i="2"/>
  <c r="AM296" i="2"/>
  <c r="AL296" i="2"/>
  <c r="AK296" i="2"/>
  <c r="AJ296" i="2"/>
  <c r="K296" i="2"/>
  <c r="I296" i="2"/>
  <c r="G296" i="2"/>
  <c r="F296" i="2"/>
  <c r="E296" i="2"/>
  <c r="BB295" i="2"/>
  <c r="I295" i="2" s="1"/>
  <c r="BA295" i="2"/>
  <c r="AZ295" i="2"/>
  <c r="AY295" i="2"/>
  <c r="AX295" i="2"/>
  <c r="AW295" i="2"/>
  <c r="AV295" i="2"/>
  <c r="AU295" i="2"/>
  <c r="H295" i="2" s="1"/>
  <c r="AT295" i="2"/>
  <c r="AS295" i="2"/>
  <c r="AR295" i="2"/>
  <c r="AQ295" i="2"/>
  <c r="AP295" i="2"/>
  <c r="K295" i="2" s="1"/>
  <c r="AO295" i="2"/>
  <c r="AN295" i="2"/>
  <c r="AM295" i="2"/>
  <c r="AL295" i="2"/>
  <c r="AK295" i="2"/>
  <c r="AJ295" i="2"/>
  <c r="G295" i="2"/>
  <c r="F295" i="2"/>
  <c r="E295" i="2"/>
  <c r="BB294" i="2"/>
  <c r="I294" i="2" s="1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K294" i="2" s="1"/>
  <c r="AO294" i="2"/>
  <c r="AN294" i="2"/>
  <c r="AM294" i="2"/>
  <c r="AL294" i="2"/>
  <c r="AK294" i="2"/>
  <c r="AJ294" i="2"/>
  <c r="H294" i="2"/>
  <c r="J294" i="2" s="1"/>
  <c r="G294" i="2"/>
  <c r="F294" i="2"/>
  <c r="E294" i="2"/>
  <c r="BB293" i="2"/>
  <c r="I293" i="2" s="1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K293" i="2" s="1"/>
  <c r="AO293" i="2"/>
  <c r="AN293" i="2"/>
  <c r="AM293" i="2"/>
  <c r="AL293" i="2"/>
  <c r="AK293" i="2"/>
  <c r="AJ293" i="2"/>
  <c r="H293" i="2"/>
  <c r="J293" i="2" s="1"/>
  <c r="G293" i="2"/>
  <c r="F293" i="2"/>
  <c r="E293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K292" i="2" s="1"/>
  <c r="AO292" i="2"/>
  <c r="AN292" i="2"/>
  <c r="AM292" i="2"/>
  <c r="AL292" i="2"/>
  <c r="AK292" i="2"/>
  <c r="AJ292" i="2"/>
  <c r="J292" i="2"/>
  <c r="I292" i="2"/>
  <c r="H292" i="2"/>
  <c r="G292" i="2"/>
  <c r="F292" i="2"/>
  <c r="E292" i="2"/>
  <c r="BB291" i="2"/>
  <c r="I291" i="2" s="1"/>
  <c r="BA291" i="2"/>
  <c r="AZ291" i="2"/>
  <c r="AY291" i="2"/>
  <c r="AX291" i="2"/>
  <c r="AW291" i="2"/>
  <c r="AV291" i="2"/>
  <c r="AU291" i="2"/>
  <c r="H291" i="2" s="1"/>
  <c r="J291" i="2" s="1"/>
  <c r="AT291" i="2"/>
  <c r="AS291" i="2"/>
  <c r="AR291" i="2"/>
  <c r="AQ291" i="2"/>
  <c r="AP291" i="2"/>
  <c r="K291" i="2" s="1"/>
  <c r="AO291" i="2"/>
  <c r="AN291" i="2"/>
  <c r="AM291" i="2"/>
  <c r="AL291" i="2"/>
  <c r="AK291" i="2"/>
  <c r="AJ291" i="2"/>
  <c r="G291" i="2"/>
  <c r="F291" i="2"/>
  <c r="E291" i="2"/>
  <c r="BB290" i="2"/>
  <c r="I290" i="2" s="1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K290" i="2" s="1"/>
  <c r="AO290" i="2"/>
  <c r="AN290" i="2"/>
  <c r="AM290" i="2"/>
  <c r="AL290" i="2"/>
  <c r="AK290" i="2"/>
  <c r="AJ290" i="2"/>
  <c r="H290" i="2"/>
  <c r="J290" i="2" s="1"/>
  <c r="G290" i="2"/>
  <c r="F290" i="2"/>
  <c r="E290" i="2"/>
  <c r="BB289" i="2"/>
  <c r="I289" i="2" s="1"/>
  <c r="J289" i="2" s="1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K289" i="2" s="1"/>
  <c r="AO289" i="2"/>
  <c r="AN289" i="2"/>
  <c r="AM289" i="2"/>
  <c r="AL289" i="2"/>
  <c r="AK289" i="2"/>
  <c r="AJ289" i="2"/>
  <c r="H289" i="2"/>
  <c r="G289" i="2"/>
  <c r="F289" i="2"/>
  <c r="E289" i="2"/>
  <c r="BB288" i="2"/>
  <c r="I288" i="2" s="1"/>
  <c r="J288" i="2" s="1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K288" i="2" s="1"/>
  <c r="AO288" i="2"/>
  <c r="AN288" i="2"/>
  <c r="AM288" i="2"/>
  <c r="AL288" i="2"/>
  <c r="AK288" i="2"/>
  <c r="AJ288" i="2"/>
  <c r="H288" i="2"/>
  <c r="G288" i="2"/>
  <c r="F288" i="2"/>
  <c r="E288" i="2"/>
  <c r="BB287" i="2"/>
  <c r="I287" i="2" s="1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K287" i="2" s="1"/>
  <c r="AO287" i="2"/>
  <c r="AN287" i="2"/>
  <c r="AM287" i="2"/>
  <c r="AL287" i="2"/>
  <c r="AK287" i="2"/>
  <c r="AJ287" i="2"/>
  <c r="H287" i="2"/>
  <c r="G287" i="2"/>
  <c r="F287" i="2"/>
  <c r="E287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K286" i="2" s="1"/>
  <c r="AO286" i="2"/>
  <c r="AN286" i="2"/>
  <c r="AM286" i="2"/>
  <c r="AL286" i="2"/>
  <c r="AK286" i="2"/>
  <c r="AJ286" i="2"/>
  <c r="J286" i="2"/>
  <c r="I286" i="2"/>
  <c r="H286" i="2"/>
  <c r="G286" i="2"/>
  <c r="F286" i="2"/>
  <c r="E286" i="2"/>
  <c r="BB285" i="2"/>
  <c r="I285" i="2" s="1"/>
  <c r="BA285" i="2"/>
  <c r="AZ285" i="2"/>
  <c r="AY285" i="2"/>
  <c r="AX285" i="2"/>
  <c r="AW285" i="2"/>
  <c r="AV285" i="2"/>
  <c r="AU285" i="2"/>
  <c r="H285" i="2" s="1"/>
  <c r="AT285" i="2"/>
  <c r="AS285" i="2"/>
  <c r="AR285" i="2"/>
  <c r="AQ285" i="2"/>
  <c r="AP285" i="2"/>
  <c r="K285" i="2" s="1"/>
  <c r="AO285" i="2"/>
  <c r="AN285" i="2"/>
  <c r="AM285" i="2"/>
  <c r="AL285" i="2"/>
  <c r="AK285" i="2"/>
  <c r="AJ285" i="2"/>
  <c r="G285" i="2"/>
  <c r="F285" i="2"/>
  <c r="E285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K284" i="2"/>
  <c r="I284" i="2"/>
  <c r="H284" i="2"/>
  <c r="J284" i="2" s="1"/>
  <c r="G284" i="2"/>
  <c r="F284" i="2"/>
  <c r="E284" i="2"/>
  <c r="BB283" i="2"/>
  <c r="BA283" i="2"/>
  <c r="AZ283" i="2"/>
  <c r="AY283" i="2"/>
  <c r="AX283" i="2"/>
  <c r="AW283" i="2"/>
  <c r="AV283" i="2"/>
  <c r="AU283" i="2"/>
  <c r="H283" i="2" s="1"/>
  <c r="J283" i="2" s="1"/>
  <c r="AT283" i="2"/>
  <c r="AS283" i="2"/>
  <c r="AR283" i="2"/>
  <c r="AQ283" i="2"/>
  <c r="AP283" i="2"/>
  <c r="AO283" i="2"/>
  <c r="AN283" i="2"/>
  <c r="AM283" i="2"/>
  <c r="AL283" i="2"/>
  <c r="AK283" i="2"/>
  <c r="AJ283" i="2"/>
  <c r="K283" i="2"/>
  <c r="I283" i="2"/>
  <c r="G283" i="2"/>
  <c r="F283" i="2"/>
  <c r="E283" i="2"/>
  <c r="BB282" i="2"/>
  <c r="I282" i="2" s="1"/>
  <c r="BA282" i="2"/>
  <c r="AZ282" i="2"/>
  <c r="AY282" i="2"/>
  <c r="AX282" i="2"/>
  <c r="AW282" i="2"/>
  <c r="AV282" i="2"/>
  <c r="AU282" i="2"/>
  <c r="H282" i="2" s="1"/>
  <c r="AT282" i="2"/>
  <c r="AS282" i="2"/>
  <c r="AR282" i="2"/>
  <c r="AQ282" i="2"/>
  <c r="AP282" i="2"/>
  <c r="K282" i="2" s="1"/>
  <c r="AO282" i="2"/>
  <c r="AN282" i="2"/>
  <c r="AM282" i="2"/>
  <c r="AL282" i="2"/>
  <c r="AK282" i="2"/>
  <c r="AJ282" i="2"/>
  <c r="G282" i="2"/>
  <c r="F282" i="2"/>
  <c r="E282" i="2"/>
  <c r="BB281" i="2"/>
  <c r="I281" i="2" s="1"/>
  <c r="BA281" i="2"/>
  <c r="AZ281" i="2"/>
  <c r="AY281" i="2"/>
  <c r="AX281" i="2"/>
  <c r="AW281" i="2"/>
  <c r="AV281" i="2"/>
  <c r="AU281" i="2"/>
  <c r="AT281" i="2"/>
  <c r="AS281" i="2"/>
  <c r="AR281" i="2"/>
  <c r="AQ281" i="2"/>
  <c r="AP281" i="2"/>
  <c r="K281" i="2" s="1"/>
  <c r="AO281" i="2"/>
  <c r="AN281" i="2"/>
  <c r="AM281" i="2"/>
  <c r="AL281" i="2"/>
  <c r="AK281" i="2"/>
  <c r="AJ281" i="2"/>
  <c r="H281" i="2"/>
  <c r="J281" i="2" s="1"/>
  <c r="G281" i="2"/>
  <c r="F281" i="2"/>
  <c r="E281" i="2"/>
  <c r="BB280" i="2"/>
  <c r="BA280" i="2"/>
  <c r="AZ280" i="2"/>
  <c r="AY280" i="2"/>
  <c r="AX280" i="2"/>
  <c r="AW280" i="2"/>
  <c r="AV280" i="2"/>
  <c r="AU280" i="2"/>
  <c r="AT280" i="2"/>
  <c r="AS280" i="2"/>
  <c r="AR280" i="2"/>
  <c r="AQ280" i="2"/>
  <c r="AP280" i="2"/>
  <c r="K280" i="2" s="1"/>
  <c r="AO280" i="2"/>
  <c r="AN280" i="2"/>
  <c r="AM280" i="2"/>
  <c r="AL280" i="2"/>
  <c r="AK280" i="2"/>
  <c r="AJ280" i="2"/>
  <c r="J280" i="2"/>
  <c r="I280" i="2"/>
  <c r="H280" i="2"/>
  <c r="G280" i="2"/>
  <c r="F280" i="2"/>
  <c r="E280" i="2"/>
  <c r="BB279" i="2"/>
  <c r="I279" i="2" s="1"/>
  <c r="BA279" i="2"/>
  <c r="AZ279" i="2"/>
  <c r="AY279" i="2"/>
  <c r="AX279" i="2"/>
  <c r="AW279" i="2"/>
  <c r="AV279" i="2"/>
  <c r="AU279" i="2"/>
  <c r="H279" i="2" s="1"/>
  <c r="J279" i="2" s="1"/>
  <c r="AT279" i="2"/>
  <c r="AS279" i="2"/>
  <c r="AR279" i="2"/>
  <c r="AQ279" i="2"/>
  <c r="AP279" i="2"/>
  <c r="K279" i="2" s="1"/>
  <c r="AO279" i="2"/>
  <c r="AN279" i="2"/>
  <c r="AM279" i="2"/>
  <c r="AL279" i="2"/>
  <c r="AK279" i="2"/>
  <c r="AJ279" i="2"/>
  <c r="G279" i="2"/>
  <c r="F279" i="2"/>
  <c r="E279" i="2"/>
  <c r="BB278" i="2"/>
  <c r="BA278" i="2"/>
  <c r="AZ278" i="2"/>
  <c r="AY278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K278" i="2"/>
  <c r="I278" i="2"/>
  <c r="H278" i="2"/>
  <c r="J278" i="2" s="1"/>
  <c r="G278" i="2"/>
  <c r="F278" i="2"/>
  <c r="E278" i="2"/>
  <c r="BB277" i="2"/>
  <c r="BA277" i="2"/>
  <c r="AZ277" i="2"/>
  <c r="AY277" i="2"/>
  <c r="AX277" i="2"/>
  <c r="AW277" i="2"/>
  <c r="AV277" i="2"/>
  <c r="AU277" i="2"/>
  <c r="H277" i="2" s="1"/>
  <c r="J277" i="2" s="1"/>
  <c r="AT277" i="2"/>
  <c r="AS277" i="2"/>
  <c r="AR277" i="2"/>
  <c r="AQ277" i="2"/>
  <c r="AP277" i="2"/>
  <c r="AO277" i="2"/>
  <c r="AN277" i="2"/>
  <c r="AM277" i="2"/>
  <c r="AL277" i="2"/>
  <c r="AK277" i="2"/>
  <c r="AJ277" i="2"/>
  <c r="K277" i="2"/>
  <c r="I277" i="2"/>
  <c r="G277" i="2"/>
  <c r="F277" i="2"/>
  <c r="E277" i="2"/>
  <c r="BB276" i="2"/>
  <c r="I276" i="2" s="1"/>
  <c r="BA276" i="2"/>
  <c r="AZ276" i="2"/>
  <c r="AY276" i="2"/>
  <c r="AX276" i="2"/>
  <c r="AW276" i="2"/>
  <c r="AV276" i="2"/>
  <c r="AU276" i="2"/>
  <c r="H276" i="2" s="1"/>
  <c r="J276" i="2" s="1"/>
  <c r="AT276" i="2"/>
  <c r="AS276" i="2"/>
  <c r="AR276" i="2"/>
  <c r="AQ276" i="2"/>
  <c r="AP276" i="2"/>
  <c r="K276" i="2" s="1"/>
  <c r="AO276" i="2"/>
  <c r="AN276" i="2"/>
  <c r="AM276" i="2"/>
  <c r="AL276" i="2"/>
  <c r="AK276" i="2"/>
  <c r="AJ276" i="2"/>
  <c r="G276" i="2"/>
  <c r="F276" i="2"/>
  <c r="E276" i="2"/>
  <c r="BB275" i="2"/>
  <c r="I275" i="2" s="1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K275" i="2" s="1"/>
  <c r="AO275" i="2"/>
  <c r="AN275" i="2"/>
  <c r="AM275" i="2"/>
  <c r="AL275" i="2"/>
  <c r="AK275" i="2"/>
  <c r="AJ275" i="2"/>
  <c r="H275" i="2"/>
  <c r="J275" i="2" s="1"/>
  <c r="G275" i="2"/>
  <c r="F275" i="2"/>
  <c r="E275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K274" i="2" s="1"/>
  <c r="AO274" i="2"/>
  <c r="AN274" i="2"/>
  <c r="AM274" i="2"/>
  <c r="AL274" i="2"/>
  <c r="AK274" i="2"/>
  <c r="AJ274" i="2"/>
  <c r="J274" i="2"/>
  <c r="I274" i="2"/>
  <c r="H274" i="2"/>
  <c r="G274" i="2"/>
  <c r="F274" i="2"/>
  <c r="E274" i="2"/>
  <c r="BB273" i="2"/>
  <c r="I273" i="2" s="1"/>
  <c r="BA273" i="2"/>
  <c r="AZ273" i="2"/>
  <c r="AY273" i="2"/>
  <c r="AX273" i="2"/>
  <c r="AW273" i="2"/>
  <c r="AV273" i="2"/>
  <c r="AU273" i="2"/>
  <c r="H273" i="2" s="1"/>
  <c r="J273" i="2" s="1"/>
  <c r="AT273" i="2"/>
  <c r="AS273" i="2"/>
  <c r="AR273" i="2"/>
  <c r="AQ273" i="2"/>
  <c r="AP273" i="2"/>
  <c r="K273" i="2" s="1"/>
  <c r="AO273" i="2"/>
  <c r="AN273" i="2"/>
  <c r="AM273" i="2"/>
  <c r="AL273" i="2"/>
  <c r="AK273" i="2"/>
  <c r="AJ273" i="2"/>
  <c r="G273" i="2"/>
  <c r="F273" i="2"/>
  <c r="E273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K272" i="2"/>
  <c r="I272" i="2"/>
  <c r="H272" i="2"/>
  <c r="J272" i="2" s="1"/>
  <c r="G272" i="2"/>
  <c r="F272" i="2"/>
  <c r="E272" i="2"/>
  <c r="BB271" i="2"/>
  <c r="BA271" i="2"/>
  <c r="AZ271" i="2"/>
  <c r="AY271" i="2"/>
  <c r="AX271" i="2"/>
  <c r="AW271" i="2"/>
  <c r="AV271" i="2"/>
  <c r="AU271" i="2"/>
  <c r="H271" i="2" s="1"/>
  <c r="J271" i="2" s="1"/>
  <c r="AT271" i="2"/>
  <c r="AS271" i="2"/>
  <c r="AR271" i="2"/>
  <c r="AQ271" i="2"/>
  <c r="AP271" i="2"/>
  <c r="AO271" i="2"/>
  <c r="AN271" i="2"/>
  <c r="AM271" i="2"/>
  <c r="AL271" i="2"/>
  <c r="AK271" i="2"/>
  <c r="AJ271" i="2"/>
  <c r="K271" i="2"/>
  <c r="I271" i="2"/>
  <c r="G271" i="2"/>
  <c r="F271" i="2"/>
  <c r="E271" i="2"/>
  <c r="BB270" i="2"/>
  <c r="BA270" i="2"/>
  <c r="AZ270" i="2"/>
  <c r="AY270" i="2"/>
  <c r="AX270" i="2"/>
  <c r="AW270" i="2"/>
  <c r="AV270" i="2"/>
  <c r="AU270" i="2"/>
  <c r="H270" i="2" s="1"/>
  <c r="J270" i="2" s="1"/>
  <c r="AT270" i="2"/>
  <c r="AS270" i="2"/>
  <c r="AR270" i="2"/>
  <c r="AQ270" i="2"/>
  <c r="AP270" i="2"/>
  <c r="AO270" i="2"/>
  <c r="AN270" i="2"/>
  <c r="AM270" i="2"/>
  <c r="AL270" i="2"/>
  <c r="AK270" i="2"/>
  <c r="AJ270" i="2"/>
  <c r="K270" i="2"/>
  <c r="I270" i="2"/>
  <c r="G270" i="2"/>
  <c r="F270" i="2"/>
  <c r="E270" i="2"/>
  <c r="BB269" i="2"/>
  <c r="I269" i="2" s="1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K269" i="2" s="1"/>
  <c r="AO269" i="2"/>
  <c r="AN269" i="2"/>
  <c r="AM269" i="2"/>
  <c r="AL269" i="2"/>
  <c r="AK269" i="2"/>
  <c r="AJ269" i="2"/>
  <c r="H269" i="2"/>
  <c r="J269" i="2" s="1"/>
  <c r="G269" i="2"/>
  <c r="F269" i="2"/>
  <c r="E269" i="2"/>
  <c r="BB268" i="2"/>
  <c r="I268" i="2" s="1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K268" i="2" s="1"/>
  <c r="AO268" i="2"/>
  <c r="AN268" i="2"/>
  <c r="AM268" i="2"/>
  <c r="AL268" i="2"/>
  <c r="AK268" i="2"/>
  <c r="AJ268" i="2"/>
  <c r="H268" i="2"/>
  <c r="J268" i="2" s="1"/>
  <c r="G268" i="2"/>
  <c r="F268" i="2"/>
  <c r="BB267" i="2"/>
  <c r="BA267" i="2"/>
  <c r="AZ267" i="2"/>
  <c r="AY267" i="2"/>
  <c r="AX267" i="2"/>
  <c r="AW267" i="2"/>
  <c r="AV267" i="2"/>
  <c r="AU267" i="2"/>
  <c r="H267" i="2" s="1"/>
  <c r="AT267" i="2"/>
  <c r="AS267" i="2"/>
  <c r="AR267" i="2"/>
  <c r="AQ267" i="2"/>
  <c r="AP267" i="2"/>
  <c r="AO267" i="2"/>
  <c r="AN267" i="2"/>
  <c r="AM267" i="2"/>
  <c r="AL267" i="2"/>
  <c r="AK267" i="2"/>
  <c r="AJ267" i="2"/>
  <c r="K267" i="2"/>
  <c r="I267" i="2"/>
  <c r="G267" i="2"/>
  <c r="F267" i="2"/>
  <c r="BB266" i="2"/>
  <c r="I266" i="2" s="1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K266" i="2" s="1"/>
  <c r="AO266" i="2"/>
  <c r="AN266" i="2"/>
  <c r="AM266" i="2"/>
  <c r="AL266" i="2"/>
  <c r="AK266" i="2"/>
  <c r="AJ266" i="2"/>
  <c r="H266" i="2"/>
  <c r="G266" i="2"/>
  <c r="F266" i="2"/>
  <c r="BB265" i="2"/>
  <c r="I265" i="2" s="1"/>
  <c r="BA265" i="2"/>
  <c r="AZ265" i="2"/>
  <c r="AY265" i="2"/>
  <c r="AX265" i="2"/>
  <c r="AW265" i="2"/>
  <c r="AV265" i="2"/>
  <c r="AU265" i="2"/>
  <c r="H265" i="2" s="1"/>
  <c r="J265" i="2" s="1"/>
  <c r="AT265" i="2"/>
  <c r="AS265" i="2"/>
  <c r="AR265" i="2"/>
  <c r="AQ265" i="2"/>
  <c r="AP265" i="2"/>
  <c r="AO265" i="2"/>
  <c r="AN265" i="2"/>
  <c r="AM265" i="2"/>
  <c r="AL265" i="2"/>
  <c r="AK265" i="2"/>
  <c r="AJ265" i="2"/>
  <c r="K265" i="2"/>
  <c r="G265" i="2"/>
  <c r="F265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J433" i="2" s="1"/>
  <c r="K264" i="2"/>
  <c r="I264" i="2"/>
  <c r="H264" i="2"/>
  <c r="G264" i="2"/>
  <c r="F264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K263" i="2"/>
  <c r="I263" i="2"/>
  <c r="H263" i="2"/>
  <c r="J263" i="2" s="1"/>
  <c r="G263" i="2"/>
  <c r="F263" i="2"/>
  <c r="BB262" i="2"/>
  <c r="BA262" i="2"/>
  <c r="AZ262" i="2"/>
  <c r="AY262" i="2"/>
  <c r="AX262" i="2"/>
  <c r="AW262" i="2"/>
  <c r="AV262" i="2"/>
  <c r="AU262" i="2"/>
  <c r="H262" i="2" s="1"/>
  <c r="J262" i="2" s="1"/>
  <c r="AT262" i="2"/>
  <c r="AS262" i="2"/>
  <c r="AR262" i="2"/>
  <c r="AQ262" i="2"/>
  <c r="AP262" i="2"/>
  <c r="AO262" i="2"/>
  <c r="AN262" i="2"/>
  <c r="AM262" i="2"/>
  <c r="AL262" i="2"/>
  <c r="AK262" i="2"/>
  <c r="AJ262" i="2"/>
  <c r="K262" i="2"/>
  <c r="I262" i="2"/>
  <c r="G262" i="2"/>
  <c r="F262" i="2"/>
  <c r="BB261" i="2"/>
  <c r="BA261" i="2"/>
  <c r="AZ261" i="2"/>
  <c r="AY261" i="2"/>
  <c r="AX261" i="2"/>
  <c r="AW261" i="2"/>
  <c r="AV261" i="2"/>
  <c r="AU261" i="2"/>
  <c r="H261" i="2" s="1"/>
  <c r="J261" i="2" s="1"/>
  <c r="AT261" i="2"/>
  <c r="AS261" i="2"/>
  <c r="AR261" i="2"/>
  <c r="AQ261" i="2"/>
  <c r="AP261" i="2"/>
  <c r="AO261" i="2"/>
  <c r="AN261" i="2"/>
  <c r="AM261" i="2"/>
  <c r="AL261" i="2"/>
  <c r="AK261" i="2"/>
  <c r="AJ261" i="2"/>
  <c r="K261" i="2"/>
  <c r="I261" i="2"/>
  <c r="G261" i="2"/>
  <c r="F261" i="2"/>
  <c r="BB260" i="2"/>
  <c r="I260" i="2" s="1"/>
  <c r="BA260" i="2"/>
  <c r="AZ260" i="2"/>
  <c r="AY260" i="2"/>
  <c r="AX260" i="2"/>
  <c r="AW260" i="2"/>
  <c r="AV260" i="2"/>
  <c r="AU260" i="2"/>
  <c r="H260" i="2" s="1"/>
  <c r="J260" i="2" s="1"/>
  <c r="AT260" i="2"/>
  <c r="AS260" i="2"/>
  <c r="AR260" i="2"/>
  <c r="AQ260" i="2"/>
  <c r="AP260" i="2"/>
  <c r="AO260" i="2"/>
  <c r="AN260" i="2"/>
  <c r="AM260" i="2"/>
  <c r="AL260" i="2"/>
  <c r="AK260" i="2"/>
  <c r="AJ260" i="2"/>
  <c r="K260" i="2"/>
  <c r="G260" i="2"/>
  <c r="F260" i="2"/>
  <c r="BB259" i="2"/>
  <c r="I259" i="2" s="1"/>
  <c r="BA259" i="2"/>
  <c r="AZ259" i="2"/>
  <c r="AY259" i="2"/>
  <c r="AX259" i="2"/>
  <c r="AW259" i="2"/>
  <c r="AV259" i="2"/>
  <c r="AU259" i="2"/>
  <c r="H259" i="2" s="1"/>
  <c r="AT259" i="2"/>
  <c r="AS259" i="2"/>
  <c r="AR259" i="2"/>
  <c r="AQ259" i="2"/>
  <c r="AP259" i="2"/>
  <c r="AO259" i="2"/>
  <c r="AN259" i="2"/>
  <c r="AM259" i="2"/>
  <c r="AL259" i="2"/>
  <c r="AK259" i="2"/>
  <c r="AJ259" i="2"/>
  <c r="K259" i="2"/>
  <c r="G259" i="2"/>
  <c r="F259" i="2"/>
  <c r="BB258" i="2"/>
  <c r="I258" i="2" s="1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K258" i="2" s="1"/>
  <c r="AO258" i="2"/>
  <c r="AN258" i="2"/>
  <c r="AM258" i="2"/>
  <c r="AL258" i="2"/>
  <c r="AK258" i="2"/>
  <c r="AJ258" i="2"/>
  <c r="H258" i="2"/>
  <c r="G258" i="2"/>
  <c r="F258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K257" i="2" s="1"/>
  <c r="AO257" i="2"/>
  <c r="AN257" i="2"/>
  <c r="AM257" i="2"/>
  <c r="AL257" i="2"/>
  <c r="AK257" i="2"/>
  <c r="AJ257" i="2"/>
  <c r="I257" i="2"/>
  <c r="J257" i="2" s="1"/>
  <c r="H257" i="2"/>
  <c r="G257" i="2"/>
  <c r="F257" i="2"/>
  <c r="BB256" i="2"/>
  <c r="I256" i="2" s="1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K256" i="2" s="1"/>
  <c r="AO256" i="2"/>
  <c r="AN256" i="2"/>
  <c r="AM256" i="2"/>
  <c r="AL256" i="2"/>
  <c r="AK256" i="2"/>
  <c r="AJ256" i="2"/>
  <c r="H256" i="2"/>
  <c r="J256" i="2" s="1"/>
  <c r="G256" i="2"/>
  <c r="F256" i="2"/>
  <c r="BB255" i="2"/>
  <c r="I255" i="2" s="1"/>
  <c r="BA255" i="2"/>
  <c r="AZ255" i="2"/>
  <c r="AY255" i="2"/>
  <c r="AX255" i="2"/>
  <c r="AW255" i="2"/>
  <c r="AV255" i="2"/>
  <c r="AU255" i="2"/>
  <c r="H255" i="2" s="1"/>
  <c r="AT255" i="2"/>
  <c r="AS255" i="2"/>
  <c r="AR255" i="2"/>
  <c r="AQ255" i="2"/>
  <c r="AP255" i="2"/>
  <c r="AO255" i="2"/>
  <c r="AN255" i="2"/>
  <c r="AM255" i="2"/>
  <c r="AL255" i="2"/>
  <c r="AK255" i="2"/>
  <c r="AJ255" i="2"/>
  <c r="K255" i="2"/>
  <c r="G255" i="2"/>
  <c r="F255" i="2"/>
  <c r="BB254" i="2"/>
  <c r="I254" i="2" s="1"/>
  <c r="BA254" i="2"/>
  <c r="AZ254" i="2"/>
  <c r="AY254" i="2"/>
  <c r="AX254" i="2"/>
  <c r="AW254" i="2"/>
  <c r="AV254" i="2"/>
  <c r="AU254" i="2"/>
  <c r="AT254" i="2"/>
  <c r="AS254" i="2"/>
  <c r="AR254" i="2"/>
  <c r="AQ254" i="2"/>
  <c r="AP254" i="2"/>
  <c r="K254" i="2" s="1"/>
  <c r="AO254" i="2"/>
  <c r="AN254" i="2"/>
  <c r="AM254" i="2"/>
  <c r="AL254" i="2"/>
  <c r="AK254" i="2"/>
  <c r="AJ254" i="2"/>
  <c r="J254" i="2"/>
  <c r="H254" i="2"/>
  <c r="G254" i="2"/>
  <c r="F254" i="2"/>
  <c r="BB253" i="2"/>
  <c r="I253" i="2" s="1"/>
  <c r="BA253" i="2"/>
  <c r="AZ253" i="2"/>
  <c r="AY253" i="2"/>
  <c r="AX253" i="2"/>
  <c r="AW253" i="2"/>
  <c r="AV253" i="2"/>
  <c r="AU253" i="2"/>
  <c r="AT253" i="2"/>
  <c r="AS253" i="2"/>
  <c r="AR253" i="2"/>
  <c r="AQ253" i="2"/>
  <c r="AP253" i="2"/>
  <c r="K253" i="2" s="1"/>
  <c r="AO253" i="2"/>
  <c r="AN253" i="2"/>
  <c r="AM253" i="2"/>
  <c r="AL253" i="2"/>
  <c r="AK253" i="2"/>
  <c r="AJ253" i="2"/>
  <c r="H253" i="2"/>
  <c r="J253" i="2" s="1"/>
  <c r="G253" i="2"/>
  <c r="F253" i="2"/>
  <c r="BB252" i="2"/>
  <c r="BA252" i="2"/>
  <c r="AZ252" i="2"/>
  <c r="AY252" i="2"/>
  <c r="AX252" i="2"/>
  <c r="AW252" i="2"/>
  <c r="AV252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K252" i="2"/>
  <c r="I252" i="2"/>
  <c r="H252" i="2"/>
  <c r="J252" i="2" s="1"/>
  <c r="G252" i="2"/>
  <c r="F252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K251" i="2"/>
  <c r="I251" i="2"/>
  <c r="H251" i="2"/>
  <c r="J251" i="2" s="1"/>
  <c r="G251" i="2"/>
  <c r="F251" i="2"/>
  <c r="BB250" i="2"/>
  <c r="BA250" i="2"/>
  <c r="AZ250" i="2"/>
  <c r="AY250" i="2"/>
  <c r="AX250" i="2"/>
  <c r="AW250" i="2"/>
  <c r="AV250" i="2"/>
  <c r="AU250" i="2"/>
  <c r="H250" i="2" s="1"/>
  <c r="AT250" i="2"/>
  <c r="AS250" i="2"/>
  <c r="AR250" i="2"/>
  <c r="AQ250" i="2"/>
  <c r="AP250" i="2"/>
  <c r="AO250" i="2"/>
  <c r="AN250" i="2"/>
  <c r="AM250" i="2"/>
  <c r="AL250" i="2"/>
  <c r="AK250" i="2"/>
  <c r="AJ250" i="2"/>
  <c r="K250" i="2"/>
  <c r="I250" i="2"/>
  <c r="J250" i="2" s="1"/>
  <c r="G250" i="2"/>
  <c r="F250" i="2"/>
  <c r="BB249" i="2"/>
  <c r="BA249" i="2"/>
  <c r="AZ249" i="2"/>
  <c r="AY249" i="2"/>
  <c r="AX249" i="2"/>
  <c r="AW249" i="2"/>
  <c r="AV249" i="2"/>
  <c r="AU249" i="2"/>
  <c r="H249" i="2" s="1"/>
  <c r="AT249" i="2"/>
  <c r="AS249" i="2"/>
  <c r="AR249" i="2"/>
  <c r="AQ249" i="2"/>
  <c r="AP249" i="2"/>
  <c r="AO249" i="2"/>
  <c r="AN249" i="2"/>
  <c r="AM249" i="2"/>
  <c r="AL249" i="2"/>
  <c r="AK249" i="2"/>
  <c r="AJ249" i="2"/>
  <c r="K249" i="2"/>
  <c r="J249" i="2"/>
  <c r="I249" i="2"/>
  <c r="G249" i="2"/>
  <c r="F249" i="2"/>
  <c r="BB248" i="2"/>
  <c r="I248" i="2" s="1"/>
  <c r="BA248" i="2"/>
  <c r="AZ248" i="2"/>
  <c r="AY248" i="2"/>
  <c r="AX248" i="2"/>
  <c r="AW248" i="2"/>
  <c r="AV248" i="2"/>
  <c r="AU248" i="2"/>
  <c r="H248" i="2" s="1"/>
  <c r="J248" i="2" s="1"/>
  <c r="AT248" i="2"/>
  <c r="AS248" i="2"/>
  <c r="AR248" i="2"/>
  <c r="AQ248" i="2"/>
  <c r="AP248" i="2"/>
  <c r="AO248" i="2"/>
  <c r="AN248" i="2"/>
  <c r="AM248" i="2"/>
  <c r="AL248" i="2"/>
  <c r="AK248" i="2"/>
  <c r="AJ248" i="2"/>
  <c r="K248" i="2"/>
  <c r="G248" i="2"/>
  <c r="F248" i="2"/>
  <c r="BB247" i="2"/>
  <c r="I247" i="2" s="1"/>
  <c r="BA247" i="2"/>
  <c r="AZ247" i="2"/>
  <c r="AY247" i="2"/>
  <c r="AX247" i="2"/>
  <c r="AW247" i="2"/>
  <c r="AV247" i="2"/>
  <c r="AU247" i="2"/>
  <c r="H247" i="2" s="1"/>
  <c r="J247" i="2" s="1"/>
  <c r="AT247" i="2"/>
  <c r="AS247" i="2"/>
  <c r="AR247" i="2"/>
  <c r="AQ247" i="2"/>
  <c r="AP247" i="2"/>
  <c r="AO247" i="2"/>
  <c r="AN247" i="2"/>
  <c r="AM247" i="2"/>
  <c r="AL247" i="2"/>
  <c r="AK247" i="2"/>
  <c r="AJ247" i="2"/>
  <c r="K247" i="2"/>
  <c r="G247" i="2"/>
  <c r="F247" i="2"/>
  <c r="BB246" i="2"/>
  <c r="I246" i="2" s="1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K246" i="2" s="1"/>
  <c r="AO246" i="2"/>
  <c r="AN246" i="2"/>
  <c r="AM246" i="2"/>
  <c r="AL246" i="2"/>
  <c r="AK246" i="2"/>
  <c r="AJ246" i="2"/>
  <c r="H246" i="2"/>
  <c r="G246" i="2"/>
  <c r="F246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K245" i="2" s="1"/>
  <c r="AO245" i="2"/>
  <c r="AN245" i="2"/>
  <c r="AM245" i="2"/>
  <c r="AL245" i="2"/>
  <c r="AK245" i="2"/>
  <c r="AJ245" i="2"/>
  <c r="I245" i="2"/>
  <c r="J245" i="2" s="1"/>
  <c r="H245" i="2"/>
  <c r="G245" i="2"/>
  <c r="F245" i="2"/>
  <c r="BB244" i="2"/>
  <c r="I244" i="2" s="1"/>
  <c r="BA244" i="2"/>
  <c r="AZ244" i="2"/>
  <c r="AY244" i="2"/>
  <c r="AX244" i="2"/>
  <c r="AW244" i="2"/>
  <c r="AV244" i="2"/>
  <c r="AU244" i="2"/>
  <c r="AT244" i="2"/>
  <c r="AS244" i="2"/>
  <c r="AR244" i="2"/>
  <c r="AQ244" i="2"/>
  <c r="AP244" i="2"/>
  <c r="K244" i="2" s="1"/>
  <c r="AO244" i="2"/>
  <c r="AN244" i="2"/>
  <c r="AM244" i="2"/>
  <c r="AL244" i="2"/>
  <c r="AK244" i="2"/>
  <c r="AJ244" i="2"/>
  <c r="H244" i="2"/>
  <c r="J244" i="2" s="1"/>
  <c r="G244" i="2"/>
  <c r="F244" i="2"/>
  <c r="BB243" i="2"/>
  <c r="BA243" i="2"/>
  <c r="AZ243" i="2"/>
  <c r="AY243" i="2"/>
  <c r="AX243" i="2"/>
  <c r="AW243" i="2"/>
  <c r="AV243" i="2"/>
  <c r="AU243" i="2"/>
  <c r="H243" i="2" s="1"/>
  <c r="AT243" i="2"/>
  <c r="AS243" i="2"/>
  <c r="AR243" i="2"/>
  <c r="AQ243" i="2"/>
  <c r="AP243" i="2"/>
  <c r="K243" i="2" s="1"/>
  <c r="AO243" i="2"/>
  <c r="AN243" i="2"/>
  <c r="AM243" i="2"/>
  <c r="AL243" i="2"/>
  <c r="AK243" i="2"/>
  <c r="AJ243" i="2"/>
  <c r="I243" i="2"/>
  <c r="G243" i="2"/>
  <c r="F243" i="2"/>
  <c r="BB242" i="2"/>
  <c r="I242" i="2" s="1"/>
  <c r="J242" i="2" s="1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K242" i="2" s="1"/>
  <c r="AO242" i="2"/>
  <c r="AN242" i="2"/>
  <c r="AM242" i="2"/>
  <c r="AL242" i="2"/>
  <c r="AK242" i="2"/>
  <c r="AJ242" i="2"/>
  <c r="H242" i="2"/>
  <c r="G242" i="2"/>
  <c r="F242" i="2"/>
  <c r="BB241" i="2"/>
  <c r="I241" i="2" s="1"/>
  <c r="BA241" i="2"/>
  <c r="AZ241" i="2"/>
  <c r="AY241" i="2"/>
  <c r="AX241" i="2"/>
  <c r="AW241" i="2"/>
  <c r="AV241" i="2"/>
  <c r="AU241" i="2"/>
  <c r="H241" i="2" s="1"/>
  <c r="J241" i="2" s="1"/>
  <c r="AT241" i="2"/>
  <c r="AS241" i="2"/>
  <c r="AR241" i="2"/>
  <c r="AQ241" i="2"/>
  <c r="AP241" i="2"/>
  <c r="AO241" i="2"/>
  <c r="AN241" i="2"/>
  <c r="AM241" i="2"/>
  <c r="AL241" i="2"/>
  <c r="AK241" i="2"/>
  <c r="AJ241" i="2"/>
  <c r="K241" i="2"/>
  <c r="G241" i="2"/>
  <c r="F241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K240" i="2"/>
  <c r="I240" i="2"/>
  <c r="H240" i="2"/>
  <c r="G240" i="2"/>
  <c r="F240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K239" i="2"/>
  <c r="J239" i="2"/>
  <c r="I239" i="2"/>
  <c r="H239" i="2"/>
  <c r="G239" i="2"/>
  <c r="F239" i="2"/>
  <c r="BB238" i="2"/>
  <c r="BA238" i="2"/>
  <c r="AZ238" i="2"/>
  <c r="AY238" i="2"/>
  <c r="AX238" i="2"/>
  <c r="AW238" i="2"/>
  <c r="AV238" i="2"/>
  <c r="AU238" i="2"/>
  <c r="H238" i="2" s="1"/>
  <c r="J238" i="2" s="1"/>
  <c r="AT238" i="2"/>
  <c r="AS238" i="2"/>
  <c r="AR238" i="2"/>
  <c r="AQ238" i="2"/>
  <c r="AP238" i="2"/>
  <c r="AO238" i="2"/>
  <c r="AN238" i="2"/>
  <c r="AM238" i="2"/>
  <c r="AL238" i="2"/>
  <c r="AK238" i="2"/>
  <c r="AJ238" i="2"/>
  <c r="K238" i="2"/>
  <c r="I238" i="2"/>
  <c r="G238" i="2"/>
  <c r="F238" i="2"/>
  <c r="BB237" i="2"/>
  <c r="BA237" i="2"/>
  <c r="AZ237" i="2"/>
  <c r="AY237" i="2"/>
  <c r="AX237" i="2"/>
  <c r="AW237" i="2"/>
  <c r="AV237" i="2"/>
  <c r="AU237" i="2"/>
  <c r="H237" i="2" s="1"/>
  <c r="J237" i="2" s="1"/>
  <c r="AT237" i="2"/>
  <c r="AS237" i="2"/>
  <c r="AR237" i="2"/>
  <c r="AQ237" i="2"/>
  <c r="AP237" i="2"/>
  <c r="AO237" i="2"/>
  <c r="AN237" i="2"/>
  <c r="AM237" i="2"/>
  <c r="AL237" i="2"/>
  <c r="AK237" i="2"/>
  <c r="AJ237" i="2"/>
  <c r="K237" i="2"/>
  <c r="I237" i="2"/>
  <c r="G237" i="2"/>
  <c r="F237" i="2"/>
  <c r="BB236" i="2"/>
  <c r="I236" i="2" s="1"/>
  <c r="BA236" i="2"/>
  <c r="AZ236" i="2"/>
  <c r="AY236" i="2"/>
  <c r="AX236" i="2"/>
  <c r="AW236" i="2"/>
  <c r="AV236" i="2"/>
  <c r="AU236" i="2"/>
  <c r="H236" i="2" s="1"/>
  <c r="J236" i="2" s="1"/>
  <c r="AT236" i="2"/>
  <c r="AS236" i="2"/>
  <c r="AR236" i="2"/>
  <c r="AQ236" i="2"/>
  <c r="AP236" i="2"/>
  <c r="AO236" i="2"/>
  <c r="AN236" i="2"/>
  <c r="AM236" i="2"/>
  <c r="AL236" i="2"/>
  <c r="AK236" i="2"/>
  <c r="AJ236" i="2"/>
  <c r="K236" i="2"/>
  <c r="G236" i="2"/>
  <c r="F236" i="2"/>
  <c r="BB235" i="2"/>
  <c r="I235" i="2" s="1"/>
  <c r="BA235" i="2"/>
  <c r="AZ235" i="2"/>
  <c r="AY235" i="2"/>
  <c r="AX235" i="2"/>
  <c r="AW235" i="2"/>
  <c r="AV235" i="2"/>
  <c r="AU235" i="2"/>
  <c r="H235" i="2" s="1"/>
  <c r="J235" i="2" s="1"/>
  <c r="AT235" i="2"/>
  <c r="AS235" i="2"/>
  <c r="AR235" i="2"/>
  <c r="AQ235" i="2"/>
  <c r="AP235" i="2"/>
  <c r="AO235" i="2"/>
  <c r="AN235" i="2"/>
  <c r="AM235" i="2"/>
  <c r="AL235" i="2"/>
  <c r="AK235" i="2"/>
  <c r="AJ235" i="2"/>
  <c r="K235" i="2"/>
  <c r="G235" i="2"/>
  <c r="F235" i="2"/>
  <c r="BB234" i="2"/>
  <c r="I234" i="2" s="1"/>
  <c r="BA234" i="2"/>
  <c r="AZ234" i="2"/>
  <c r="AY234" i="2"/>
  <c r="AX234" i="2"/>
  <c r="AW234" i="2"/>
  <c r="AV234" i="2"/>
  <c r="AU234" i="2"/>
  <c r="AT234" i="2"/>
  <c r="AS234" i="2"/>
  <c r="AR234" i="2"/>
  <c r="AQ234" i="2"/>
  <c r="AP234" i="2"/>
  <c r="K234" i="2" s="1"/>
  <c r="AO234" i="2"/>
  <c r="AN234" i="2"/>
  <c r="AM234" i="2"/>
  <c r="AL234" i="2"/>
  <c r="AK234" i="2"/>
  <c r="AJ234" i="2"/>
  <c r="H234" i="2"/>
  <c r="J234" i="2" s="1"/>
  <c r="G234" i="2"/>
  <c r="F234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K233" i="2" s="1"/>
  <c r="AO233" i="2"/>
  <c r="AN233" i="2"/>
  <c r="AM233" i="2"/>
  <c r="AL233" i="2"/>
  <c r="AK233" i="2"/>
  <c r="AJ233" i="2"/>
  <c r="I233" i="2"/>
  <c r="J233" i="2" s="1"/>
  <c r="H233" i="2"/>
  <c r="G233" i="2"/>
  <c r="F233" i="2"/>
  <c r="BB232" i="2"/>
  <c r="I232" i="2" s="1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K232" i="2" s="1"/>
  <c r="AO232" i="2"/>
  <c r="AN232" i="2"/>
  <c r="AM232" i="2"/>
  <c r="AL232" i="2"/>
  <c r="AK232" i="2"/>
  <c r="AJ232" i="2"/>
  <c r="J232" i="2"/>
  <c r="H232" i="2"/>
  <c r="G232" i="2"/>
  <c r="F232" i="2"/>
  <c r="BB231" i="2"/>
  <c r="BA231" i="2"/>
  <c r="AZ231" i="2"/>
  <c r="AY231" i="2"/>
  <c r="AX231" i="2"/>
  <c r="AW231" i="2"/>
  <c r="AV231" i="2"/>
  <c r="AU231" i="2"/>
  <c r="H231" i="2" s="1"/>
  <c r="J231" i="2" s="1"/>
  <c r="AT231" i="2"/>
  <c r="AS231" i="2"/>
  <c r="AR231" i="2"/>
  <c r="AQ231" i="2"/>
  <c r="AP231" i="2"/>
  <c r="AO231" i="2"/>
  <c r="AN231" i="2"/>
  <c r="AM231" i="2"/>
  <c r="AL231" i="2"/>
  <c r="AK231" i="2"/>
  <c r="AJ231" i="2"/>
  <c r="K231" i="2"/>
  <c r="I231" i="2"/>
  <c r="G231" i="2"/>
  <c r="F231" i="2"/>
  <c r="BB230" i="2"/>
  <c r="I230" i="2" s="1"/>
  <c r="J230" i="2" s="1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K230" i="2" s="1"/>
  <c r="AO230" i="2"/>
  <c r="AN230" i="2"/>
  <c r="AM230" i="2"/>
  <c r="AL230" i="2"/>
  <c r="AK230" i="2"/>
  <c r="AJ230" i="2"/>
  <c r="H230" i="2"/>
  <c r="H427" i="2" s="1"/>
  <c r="G230" i="2"/>
  <c r="G427" i="2" s="1"/>
  <c r="F230" i="2"/>
  <c r="BB229" i="2"/>
  <c r="I229" i="2" s="1"/>
  <c r="BA229" i="2"/>
  <c r="AZ229" i="2"/>
  <c r="AY229" i="2"/>
  <c r="AX229" i="2"/>
  <c r="AW229" i="2"/>
  <c r="AV229" i="2"/>
  <c r="AU229" i="2"/>
  <c r="H229" i="2" s="1"/>
  <c r="AT229" i="2"/>
  <c r="AS229" i="2"/>
  <c r="AR229" i="2"/>
  <c r="AQ229" i="2"/>
  <c r="AP229" i="2"/>
  <c r="K229" i="2" s="1"/>
  <c r="AO229" i="2"/>
  <c r="AN229" i="2"/>
  <c r="AM229" i="2"/>
  <c r="AL229" i="2"/>
  <c r="AK229" i="2"/>
  <c r="AJ229" i="2"/>
  <c r="G229" i="2"/>
  <c r="G426" i="2" s="1"/>
  <c r="F229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K228" i="2"/>
  <c r="I228" i="2"/>
  <c r="H228" i="2"/>
  <c r="G228" i="2"/>
  <c r="G425" i="2" s="1"/>
  <c r="F228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K227" i="2"/>
  <c r="I227" i="2"/>
  <c r="H227" i="2"/>
  <c r="H424" i="2" s="1"/>
  <c r="G227" i="2"/>
  <c r="G424" i="2" s="1"/>
  <c r="F227" i="2"/>
  <c r="BB226" i="2"/>
  <c r="BA226" i="2"/>
  <c r="AZ226" i="2"/>
  <c r="AY226" i="2"/>
  <c r="AX226" i="2"/>
  <c r="AW226" i="2"/>
  <c r="AV226" i="2"/>
  <c r="AU226" i="2"/>
  <c r="H226" i="2" s="1"/>
  <c r="H423" i="2" s="1"/>
  <c r="AT226" i="2"/>
  <c r="AS226" i="2"/>
  <c r="AR226" i="2"/>
  <c r="AQ226" i="2"/>
  <c r="AP226" i="2"/>
  <c r="AO226" i="2"/>
  <c r="AN226" i="2"/>
  <c r="AM226" i="2"/>
  <c r="AL226" i="2"/>
  <c r="AK226" i="2"/>
  <c r="AJ226" i="2"/>
  <c r="K226" i="2"/>
  <c r="I226" i="2"/>
  <c r="G226" i="2"/>
  <c r="G423" i="2" s="1"/>
  <c r="F226" i="2"/>
  <c r="BB225" i="2"/>
  <c r="BA225" i="2"/>
  <c r="AZ225" i="2"/>
  <c r="AY225" i="2"/>
  <c r="AX225" i="2"/>
  <c r="AW225" i="2"/>
  <c r="AV225" i="2"/>
  <c r="AU225" i="2"/>
  <c r="H225" i="2" s="1"/>
  <c r="H422" i="2" s="1"/>
  <c r="AT225" i="2"/>
  <c r="AS225" i="2"/>
  <c r="AR225" i="2"/>
  <c r="AQ225" i="2"/>
  <c r="AP225" i="2"/>
  <c r="AO225" i="2"/>
  <c r="AN225" i="2"/>
  <c r="AM225" i="2"/>
  <c r="AL225" i="2"/>
  <c r="AK225" i="2"/>
  <c r="AJ225" i="2"/>
  <c r="K225" i="2"/>
  <c r="I225" i="2"/>
  <c r="G225" i="2"/>
  <c r="G422" i="2" s="1"/>
  <c r="F225" i="2"/>
  <c r="BB224" i="2"/>
  <c r="I224" i="2" s="1"/>
  <c r="BA224" i="2"/>
  <c r="AZ224" i="2"/>
  <c r="AY224" i="2"/>
  <c r="AX224" i="2"/>
  <c r="AW224" i="2"/>
  <c r="AV224" i="2"/>
  <c r="AU224" i="2"/>
  <c r="H224" i="2" s="1"/>
  <c r="AT224" i="2"/>
  <c r="AS224" i="2"/>
  <c r="AR224" i="2"/>
  <c r="AQ224" i="2"/>
  <c r="AP224" i="2"/>
  <c r="K224" i="2" s="1"/>
  <c r="AO224" i="2"/>
  <c r="AN224" i="2"/>
  <c r="AM224" i="2"/>
  <c r="AL224" i="2"/>
  <c r="AK224" i="2"/>
  <c r="AJ224" i="2"/>
  <c r="G224" i="2"/>
  <c r="F224" i="2"/>
  <c r="BB223" i="2"/>
  <c r="I223" i="2" s="1"/>
  <c r="BA223" i="2"/>
  <c r="AZ223" i="2"/>
  <c r="AY223" i="2"/>
  <c r="AX223" i="2"/>
  <c r="AW223" i="2"/>
  <c r="AV223" i="2"/>
  <c r="AU223" i="2"/>
  <c r="H223" i="2" s="1"/>
  <c r="AT223" i="2"/>
  <c r="AS223" i="2"/>
  <c r="AR223" i="2"/>
  <c r="AQ223" i="2"/>
  <c r="AP223" i="2"/>
  <c r="AO223" i="2"/>
  <c r="AN223" i="2"/>
  <c r="AM223" i="2"/>
  <c r="AL223" i="2"/>
  <c r="AK223" i="2"/>
  <c r="AJ223" i="2"/>
  <c r="K223" i="2"/>
  <c r="G223" i="2"/>
  <c r="G420" i="2" s="1"/>
  <c r="F223" i="2"/>
  <c r="BB222" i="2"/>
  <c r="I222" i="2" s="1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K222" i="2" s="1"/>
  <c r="AO222" i="2"/>
  <c r="AN222" i="2"/>
  <c r="AM222" i="2"/>
  <c r="AL222" i="2"/>
  <c r="AK222" i="2"/>
  <c r="AJ222" i="2"/>
  <c r="H222" i="2"/>
  <c r="G222" i="2"/>
  <c r="F222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K221" i="2" s="1"/>
  <c r="AO221" i="2"/>
  <c r="AN221" i="2"/>
  <c r="AM221" i="2"/>
  <c r="AL221" i="2"/>
  <c r="AK221" i="2"/>
  <c r="AJ221" i="2"/>
  <c r="I221" i="2"/>
  <c r="J221" i="2" s="1"/>
  <c r="H221" i="2"/>
  <c r="H418" i="2" s="1"/>
  <c r="G221" i="2"/>
  <c r="G418" i="2" s="1"/>
  <c r="F221" i="2"/>
  <c r="BB220" i="2"/>
  <c r="I220" i="2" s="1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K220" i="2" s="1"/>
  <c r="AO220" i="2"/>
  <c r="AN220" i="2"/>
  <c r="AM220" i="2"/>
  <c r="AL220" i="2"/>
  <c r="AK220" i="2"/>
  <c r="AJ220" i="2"/>
  <c r="H220" i="2"/>
  <c r="H417" i="2" s="1"/>
  <c r="G220" i="2"/>
  <c r="G417" i="2" s="1"/>
  <c r="F220" i="2"/>
  <c r="BB219" i="2"/>
  <c r="I219" i="2" s="1"/>
  <c r="BA219" i="2"/>
  <c r="AZ219" i="2"/>
  <c r="AY219" i="2"/>
  <c r="AX219" i="2"/>
  <c r="AW219" i="2"/>
  <c r="AV219" i="2"/>
  <c r="AU219" i="2"/>
  <c r="H219" i="2" s="1"/>
  <c r="AT219" i="2"/>
  <c r="AS219" i="2"/>
  <c r="AR219" i="2"/>
  <c r="AQ219" i="2"/>
  <c r="AP219" i="2"/>
  <c r="K219" i="2" s="1"/>
  <c r="AO219" i="2"/>
  <c r="AN219" i="2"/>
  <c r="AM219" i="2"/>
  <c r="AL219" i="2"/>
  <c r="AK219" i="2"/>
  <c r="AJ219" i="2"/>
  <c r="G219" i="2"/>
  <c r="F219" i="2"/>
  <c r="BB218" i="2"/>
  <c r="I218" i="2" s="1"/>
  <c r="J218" i="2" s="1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K218" i="2" s="1"/>
  <c r="AO218" i="2"/>
  <c r="AN218" i="2"/>
  <c r="AM218" i="2"/>
  <c r="AL218" i="2"/>
  <c r="AK218" i="2"/>
  <c r="AJ218" i="2"/>
  <c r="H218" i="2"/>
  <c r="G218" i="2"/>
  <c r="F218" i="2"/>
  <c r="BB217" i="2"/>
  <c r="I217" i="2" s="1"/>
  <c r="BA217" i="2"/>
  <c r="AZ217" i="2"/>
  <c r="AY217" i="2"/>
  <c r="AX217" i="2"/>
  <c r="AW217" i="2"/>
  <c r="AV217" i="2"/>
  <c r="AU217" i="2"/>
  <c r="H217" i="2" s="1"/>
  <c r="J217" i="2" s="1"/>
  <c r="AT217" i="2"/>
  <c r="AS217" i="2"/>
  <c r="AR217" i="2"/>
  <c r="AQ217" i="2"/>
  <c r="AP217" i="2"/>
  <c r="K217" i="2" s="1"/>
  <c r="AO217" i="2"/>
  <c r="AN217" i="2"/>
  <c r="AM217" i="2"/>
  <c r="AL217" i="2"/>
  <c r="AK217" i="2"/>
  <c r="AJ217" i="2"/>
  <c r="G217" i="2"/>
  <c r="F217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K216" i="2"/>
  <c r="I216" i="2"/>
  <c r="H216" i="2"/>
  <c r="G216" i="2"/>
  <c r="F216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K215" i="2"/>
  <c r="J215" i="2"/>
  <c r="I215" i="2"/>
  <c r="H215" i="2"/>
  <c r="G215" i="2"/>
  <c r="F215" i="2"/>
  <c r="BB214" i="2"/>
  <c r="BA214" i="2"/>
  <c r="AZ214" i="2"/>
  <c r="AY214" i="2"/>
  <c r="AX214" i="2"/>
  <c r="AW214" i="2"/>
  <c r="AV214" i="2"/>
  <c r="AU214" i="2"/>
  <c r="H214" i="2" s="1"/>
  <c r="J214" i="2" s="1"/>
  <c r="AT214" i="2"/>
  <c r="AS214" i="2"/>
  <c r="AR214" i="2"/>
  <c r="AQ214" i="2"/>
  <c r="AP214" i="2"/>
  <c r="AO214" i="2"/>
  <c r="AN214" i="2"/>
  <c r="AM214" i="2"/>
  <c r="AL214" i="2"/>
  <c r="AK214" i="2"/>
  <c r="AJ214" i="2"/>
  <c r="K214" i="2"/>
  <c r="I214" i="2"/>
  <c r="G214" i="2"/>
  <c r="F214" i="2"/>
  <c r="BB213" i="2"/>
  <c r="BA213" i="2"/>
  <c r="AZ213" i="2"/>
  <c r="AY213" i="2"/>
  <c r="AX213" i="2"/>
  <c r="AW213" i="2"/>
  <c r="AV213" i="2"/>
  <c r="AU213" i="2"/>
  <c r="H213" i="2" s="1"/>
  <c r="J213" i="2" s="1"/>
  <c r="AT213" i="2"/>
  <c r="AS213" i="2"/>
  <c r="AR213" i="2"/>
  <c r="AQ213" i="2"/>
  <c r="AP213" i="2"/>
  <c r="AO213" i="2"/>
  <c r="AN213" i="2"/>
  <c r="AM213" i="2"/>
  <c r="AL213" i="2"/>
  <c r="AK213" i="2"/>
  <c r="AJ213" i="2"/>
  <c r="K213" i="2"/>
  <c r="I213" i="2"/>
  <c r="G213" i="2"/>
  <c r="F213" i="2"/>
  <c r="BB212" i="2"/>
  <c r="I212" i="2" s="1"/>
  <c r="BA212" i="2"/>
  <c r="AZ212" i="2"/>
  <c r="AY212" i="2"/>
  <c r="AX212" i="2"/>
  <c r="AW212" i="2"/>
  <c r="AV212" i="2"/>
  <c r="AU212" i="2"/>
  <c r="H212" i="2" s="1"/>
  <c r="J212" i="2" s="1"/>
  <c r="AT212" i="2"/>
  <c r="AS212" i="2"/>
  <c r="AR212" i="2"/>
  <c r="AQ212" i="2"/>
  <c r="AP212" i="2"/>
  <c r="AO212" i="2"/>
  <c r="AN212" i="2"/>
  <c r="AM212" i="2"/>
  <c r="AL212" i="2"/>
  <c r="AK212" i="2"/>
  <c r="AJ212" i="2"/>
  <c r="K212" i="2"/>
  <c r="G212" i="2"/>
  <c r="F212" i="2"/>
  <c r="BB211" i="2"/>
  <c r="I211" i="2" s="1"/>
  <c r="BA211" i="2"/>
  <c r="AZ211" i="2"/>
  <c r="AY211" i="2"/>
  <c r="AX211" i="2"/>
  <c r="AW211" i="2"/>
  <c r="AV211" i="2"/>
  <c r="AU211" i="2"/>
  <c r="H211" i="2" s="1"/>
  <c r="J211" i="2" s="1"/>
  <c r="AT211" i="2"/>
  <c r="AS211" i="2"/>
  <c r="AR211" i="2"/>
  <c r="AQ211" i="2"/>
  <c r="AP211" i="2"/>
  <c r="AO211" i="2"/>
  <c r="AN211" i="2"/>
  <c r="AM211" i="2"/>
  <c r="AL211" i="2"/>
  <c r="AK211" i="2"/>
  <c r="AJ211" i="2"/>
  <c r="K211" i="2"/>
  <c r="G211" i="2"/>
  <c r="F211" i="2"/>
  <c r="BB210" i="2"/>
  <c r="I210" i="2" s="1"/>
  <c r="BA210" i="2"/>
  <c r="AZ210" i="2"/>
  <c r="AY210" i="2"/>
  <c r="AX210" i="2"/>
  <c r="AW210" i="2"/>
  <c r="AV210" i="2"/>
  <c r="AU210" i="2"/>
  <c r="AT210" i="2"/>
  <c r="AS210" i="2"/>
  <c r="AR210" i="2"/>
  <c r="AQ210" i="2"/>
  <c r="AP210" i="2"/>
  <c r="K210" i="2" s="1"/>
  <c r="AO210" i="2"/>
  <c r="AN210" i="2"/>
  <c r="AM210" i="2"/>
  <c r="AL210" i="2"/>
  <c r="AK210" i="2"/>
  <c r="AJ210" i="2"/>
  <c r="H210" i="2"/>
  <c r="J210" i="2" s="1"/>
  <c r="G210" i="2"/>
  <c r="F210" i="2"/>
  <c r="BB209" i="2"/>
  <c r="BA209" i="2"/>
  <c r="AZ209" i="2"/>
  <c r="AY209" i="2"/>
  <c r="AX209" i="2"/>
  <c r="AW209" i="2"/>
  <c r="AV209" i="2"/>
  <c r="AU209" i="2"/>
  <c r="AT209" i="2"/>
  <c r="AS209" i="2"/>
  <c r="AR209" i="2"/>
  <c r="AQ209" i="2"/>
  <c r="AP209" i="2"/>
  <c r="K209" i="2" s="1"/>
  <c r="AO209" i="2"/>
  <c r="AN209" i="2"/>
  <c r="AM209" i="2"/>
  <c r="AL209" i="2"/>
  <c r="AK209" i="2"/>
  <c r="AJ209" i="2"/>
  <c r="I209" i="2"/>
  <c r="J209" i="2" s="1"/>
  <c r="H209" i="2"/>
  <c r="G209" i="2"/>
  <c r="F209" i="2"/>
  <c r="BB208" i="2"/>
  <c r="I208" i="2" s="1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K208" i="2" s="1"/>
  <c r="AO208" i="2"/>
  <c r="AN208" i="2"/>
  <c r="AM208" i="2"/>
  <c r="AL208" i="2"/>
  <c r="AK208" i="2"/>
  <c r="AJ208" i="2"/>
  <c r="J208" i="2"/>
  <c r="H208" i="2"/>
  <c r="G208" i="2"/>
  <c r="F208" i="2"/>
  <c r="BB207" i="2"/>
  <c r="BA207" i="2"/>
  <c r="AZ207" i="2"/>
  <c r="AY207" i="2"/>
  <c r="AX207" i="2"/>
  <c r="AW207" i="2"/>
  <c r="AV207" i="2"/>
  <c r="AU207" i="2"/>
  <c r="H207" i="2" s="1"/>
  <c r="AT207" i="2"/>
  <c r="AS207" i="2"/>
  <c r="AR207" i="2"/>
  <c r="AQ207" i="2"/>
  <c r="AP207" i="2"/>
  <c r="AO207" i="2"/>
  <c r="AN207" i="2"/>
  <c r="AM207" i="2"/>
  <c r="AL207" i="2"/>
  <c r="AK207" i="2"/>
  <c r="AJ207" i="2"/>
  <c r="K207" i="2"/>
  <c r="I207" i="2"/>
  <c r="G207" i="2"/>
  <c r="F207" i="2"/>
  <c r="BB206" i="2"/>
  <c r="I206" i="2" s="1"/>
  <c r="J206" i="2" s="1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K206" i="2" s="1"/>
  <c r="AO206" i="2"/>
  <c r="AN206" i="2"/>
  <c r="AM206" i="2"/>
  <c r="AL206" i="2"/>
  <c r="AK206" i="2"/>
  <c r="AJ206" i="2"/>
  <c r="H206" i="2"/>
  <c r="G206" i="2"/>
  <c r="F206" i="2"/>
  <c r="BB205" i="2"/>
  <c r="I205" i="2" s="1"/>
  <c r="BA205" i="2"/>
  <c r="AZ205" i="2"/>
  <c r="AY205" i="2"/>
  <c r="AX205" i="2"/>
  <c r="AW205" i="2"/>
  <c r="AV205" i="2"/>
  <c r="AU205" i="2"/>
  <c r="H205" i="2" s="1"/>
  <c r="AT205" i="2"/>
  <c r="AS205" i="2"/>
  <c r="AR205" i="2"/>
  <c r="AQ205" i="2"/>
  <c r="AP205" i="2"/>
  <c r="K205" i="2" s="1"/>
  <c r="AO205" i="2"/>
  <c r="AN205" i="2"/>
  <c r="AM205" i="2"/>
  <c r="AL205" i="2"/>
  <c r="AK205" i="2"/>
  <c r="AJ205" i="2"/>
  <c r="G205" i="2"/>
  <c r="F205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K204" i="2"/>
  <c r="I204" i="2"/>
  <c r="H204" i="2"/>
  <c r="G204" i="2"/>
  <c r="G412" i="2" s="1"/>
  <c r="F204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K203" i="2"/>
  <c r="I203" i="2"/>
  <c r="H203" i="2"/>
  <c r="H411" i="2" s="1"/>
  <c r="G203" i="2"/>
  <c r="G411" i="2" s="1"/>
  <c r="F203" i="2"/>
  <c r="BB202" i="2"/>
  <c r="BA202" i="2"/>
  <c r="AZ202" i="2"/>
  <c r="AY202" i="2"/>
  <c r="AX202" i="2"/>
  <c r="AW202" i="2"/>
  <c r="AV202" i="2"/>
  <c r="AU202" i="2"/>
  <c r="H202" i="2" s="1"/>
  <c r="H410" i="2" s="1"/>
  <c r="AT202" i="2"/>
  <c r="AS202" i="2"/>
  <c r="AR202" i="2"/>
  <c r="AQ202" i="2"/>
  <c r="AP202" i="2"/>
  <c r="AO202" i="2"/>
  <c r="AN202" i="2"/>
  <c r="AM202" i="2"/>
  <c r="AL202" i="2"/>
  <c r="AK202" i="2"/>
  <c r="AJ202" i="2"/>
  <c r="K202" i="2"/>
  <c r="I202" i="2"/>
  <c r="G202" i="2"/>
  <c r="G410" i="2" s="1"/>
  <c r="F202" i="2"/>
  <c r="BB201" i="2"/>
  <c r="BA201" i="2"/>
  <c r="AZ201" i="2"/>
  <c r="AY201" i="2"/>
  <c r="AX201" i="2"/>
  <c r="AW201" i="2"/>
  <c r="AV201" i="2"/>
  <c r="AU201" i="2"/>
  <c r="H201" i="2" s="1"/>
  <c r="J201" i="2" s="1"/>
  <c r="AT201" i="2"/>
  <c r="AS201" i="2"/>
  <c r="AR201" i="2"/>
  <c r="AQ201" i="2"/>
  <c r="AP201" i="2"/>
  <c r="AO201" i="2"/>
  <c r="AN201" i="2"/>
  <c r="AM201" i="2"/>
  <c r="AL201" i="2"/>
  <c r="AK201" i="2"/>
  <c r="AJ201" i="2"/>
  <c r="K201" i="2"/>
  <c r="I201" i="2"/>
  <c r="G201" i="2"/>
  <c r="F201" i="2"/>
  <c r="BB200" i="2"/>
  <c r="I200" i="2" s="1"/>
  <c r="BA200" i="2"/>
  <c r="AZ200" i="2"/>
  <c r="AY200" i="2"/>
  <c r="AX200" i="2"/>
  <c r="AW200" i="2"/>
  <c r="AV200" i="2"/>
  <c r="AU200" i="2"/>
  <c r="H200" i="2" s="1"/>
  <c r="AT200" i="2"/>
  <c r="AS200" i="2"/>
  <c r="AR200" i="2"/>
  <c r="AQ200" i="2"/>
  <c r="AP200" i="2"/>
  <c r="K200" i="2" s="1"/>
  <c r="AO200" i="2"/>
  <c r="AN200" i="2"/>
  <c r="AM200" i="2"/>
  <c r="AL200" i="2"/>
  <c r="AK200" i="2"/>
  <c r="AJ200" i="2"/>
  <c r="G200" i="2"/>
  <c r="F200" i="2"/>
  <c r="BB199" i="2"/>
  <c r="I199" i="2" s="1"/>
  <c r="BA199" i="2"/>
  <c r="AZ199" i="2"/>
  <c r="AY199" i="2"/>
  <c r="AX199" i="2"/>
  <c r="AW199" i="2"/>
  <c r="AV199" i="2"/>
  <c r="AU199" i="2"/>
  <c r="H199" i="2" s="1"/>
  <c r="J199" i="2" s="1"/>
  <c r="AT199" i="2"/>
  <c r="AS199" i="2"/>
  <c r="AR199" i="2"/>
  <c r="AQ199" i="2"/>
  <c r="AP199" i="2"/>
  <c r="AO199" i="2"/>
  <c r="AN199" i="2"/>
  <c r="AM199" i="2"/>
  <c r="AL199" i="2"/>
  <c r="AK199" i="2"/>
  <c r="AJ199" i="2"/>
  <c r="K199" i="2"/>
  <c r="G199" i="2"/>
  <c r="F199" i="2"/>
  <c r="BB198" i="2"/>
  <c r="I198" i="2" s="1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K198" i="2" s="1"/>
  <c r="AO198" i="2"/>
  <c r="AN198" i="2"/>
  <c r="AM198" i="2"/>
  <c r="AL198" i="2"/>
  <c r="AK198" i="2"/>
  <c r="AJ198" i="2"/>
  <c r="H198" i="2"/>
  <c r="J198" i="2" s="1"/>
  <c r="G198" i="2"/>
  <c r="F198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AP197" i="2"/>
  <c r="K197" i="2" s="1"/>
  <c r="AO197" i="2"/>
  <c r="AN197" i="2"/>
  <c r="AM197" i="2"/>
  <c r="AL197" i="2"/>
  <c r="AK197" i="2"/>
  <c r="AJ197" i="2"/>
  <c r="I197" i="2"/>
  <c r="J197" i="2" s="1"/>
  <c r="H197" i="2"/>
  <c r="G197" i="2"/>
  <c r="F197" i="2"/>
  <c r="BB196" i="2"/>
  <c r="I196" i="2" s="1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K196" i="2" s="1"/>
  <c r="AO196" i="2"/>
  <c r="AN196" i="2"/>
  <c r="AM196" i="2"/>
  <c r="AL196" i="2"/>
  <c r="AK196" i="2"/>
  <c r="AJ196" i="2"/>
  <c r="H196" i="2"/>
  <c r="J196" i="2" s="1"/>
  <c r="G196" i="2"/>
  <c r="F196" i="2"/>
  <c r="BB195" i="2"/>
  <c r="BA195" i="2"/>
  <c r="AZ195" i="2"/>
  <c r="AY195" i="2"/>
  <c r="AX195" i="2"/>
  <c r="AW195" i="2"/>
  <c r="AV195" i="2"/>
  <c r="AU195" i="2"/>
  <c r="H195" i="2" s="1"/>
  <c r="AT195" i="2"/>
  <c r="AS195" i="2"/>
  <c r="AR195" i="2"/>
  <c r="AQ195" i="2"/>
  <c r="AP195" i="2"/>
  <c r="K195" i="2" s="1"/>
  <c r="AO195" i="2"/>
  <c r="AN195" i="2"/>
  <c r="AM195" i="2"/>
  <c r="AL195" i="2"/>
  <c r="AK195" i="2"/>
  <c r="AJ195" i="2"/>
  <c r="I195" i="2"/>
  <c r="G195" i="2"/>
  <c r="F195" i="2"/>
  <c r="BB194" i="2"/>
  <c r="I194" i="2" s="1"/>
  <c r="J194" i="2" s="1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K194" i="2" s="1"/>
  <c r="AO194" i="2"/>
  <c r="AN194" i="2"/>
  <c r="AM194" i="2"/>
  <c r="AL194" i="2"/>
  <c r="AK194" i="2"/>
  <c r="AJ194" i="2"/>
  <c r="H194" i="2"/>
  <c r="G194" i="2"/>
  <c r="F194" i="2"/>
  <c r="BB193" i="2"/>
  <c r="I193" i="2" s="1"/>
  <c r="BA193" i="2"/>
  <c r="AZ193" i="2"/>
  <c r="AY193" i="2"/>
  <c r="AX193" i="2"/>
  <c r="AW193" i="2"/>
  <c r="AV193" i="2"/>
  <c r="AU193" i="2"/>
  <c r="H193" i="2" s="1"/>
  <c r="J193" i="2" s="1"/>
  <c r="AT193" i="2"/>
  <c r="AS193" i="2"/>
  <c r="AR193" i="2"/>
  <c r="AQ193" i="2"/>
  <c r="AP193" i="2"/>
  <c r="K193" i="2" s="1"/>
  <c r="AO193" i="2"/>
  <c r="AN193" i="2"/>
  <c r="AM193" i="2"/>
  <c r="AL193" i="2"/>
  <c r="AK193" i="2"/>
  <c r="AJ193" i="2"/>
  <c r="G193" i="2"/>
  <c r="F193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K192" i="2"/>
  <c r="I192" i="2"/>
  <c r="H192" i="2"/>
  <c r="G192" i="2"/>
  <c r="F192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K191" i="2"/>
  <c r="I191" i="2"/>
  <c r="H191" i="2"/>
  <c r="J191" i="2" s="1"/>
  <c r="G191" i="2"/>
  <c r="F191" i="2"/>
  <c r="BB190" i="2"/>
  <c r="BA190" i="2"/>
  <c r="AZ190" i="2"/>
  <c r="AY190" i="2"/>
  <c r="AX190" i="2"/>
  <c r="AW190" i="2"/>
  <c r="AV190" i="2"/>
  <c r="AU190" i="2"/>
  <c r="H190" i="2" s="1"/>
  <c r="H406" i="2" s="1"/>
  <c r="AT190" i="2"/>
  <c r="AS190" i="2"/>
  <c r="AR190" i="2"/>
  <c r="AQ190" i="2"/>
  <c r="AP190" i="2"/>
  <c r="AO190" i="2"/>
  <c r="AN190" i="2"/>
  <c r="AM190" i="2"/>
  <c r="AL190" i="2"/>
  <c r="AK190" i="2"/>
  <c r="AJ190" i="2"/>
  <c r="K190" i="2"/>
  <c r="I190" i="2"/>
  <c r="G190" i="2"/>
  <c r="G406" i="2" s="1"/>
  <c r="F190" i="2"/>
  <c r="BB189" i="2"/>
  <c r="BA189" i="2"/>
  <c r="AZ189" i="2"/>
  <c r="AY189" i="2"/>
  <c r="AX189" i="2"/>
  <c r="AW189" i="2"/>
  <c r="AV189" i="2"/>
  <c r="AU189" i="2"/>
  <c r="H189" i="2" s="1"/>
  <c r="H405" i="2" s="1"/>
  <c r="AT189" i="2"/>
  <c r="AS189" i="2"/>
  <c r="AR189" i="2"/>
  <c r="AQ189" i="2"/>
  <c r="AP189" i="2"/>
  <c r="AO189" i="2"/>
  <c r="AN189" i="2"/>
  <c r="AM189" i="2"/>
  <c r="AL189" i="2"/>
  <c r="AK189" i="2"/>
  <c r="AJ189" i="2"/>
  <c r="K189" i="2"/>
  <c r="I189" i="2"/>
  <c r="G189" i="2"/>
  <c r="G405" i="2" s="1"/>
  <c r="F189" i="2"/>
  <c r="BB188" i="2"/>
  <c r="I188" i="2" s="1"/>
  <c r="BA188" i="2"/>
  <c r="AZ188" i="2"/>
  <c r="AY188" i="2"/>
  <c r="AX188" i="2"/>
  <c r="AW188" i="2"/>
  <c r="AV188" i="2"/>
  <c r="AU188" i="2"/>
  <c r="H188" i="2" s="1"/>
  <c r="AT188" i="2"/>
  <c r="AS188" i="2"/>
  <c r="AR188" i="2"/>
  <c r="AQ188" i="2"/>
  <c r="AP188" i="2"/>
  <c r="AO188" i="2"/>
  <c r="AN188" i="2"/>
  <c r="AM188" i="2"/>
  <c r="AL188" i="2"/>
  <c r="AK188" i="2"/>
  <c r="AJ188" i="2"/>
  <c r="K188" i="2"/>
  <c r="G188" i="2"/>
  <c r="F188" i="2"/>
  <c r="BB187" i="2"/>
  <c r="I187" i="2" s="1"/>
  <c r="BA187" i="2"/>
  <c r="AZ187" i="2"/>
  <c r="AY187" i="2"/>
  <c r="AX187" i="2"/>
  <c r="AW187" i="2"/>
  <c r="AV187" i="2"/>
  <c r="AU187" i="2"/>
  <c r="H187" i="2" s="1"/>
  <c r="AT187" i="2"/>
  <c r="AS187" i="2"/>
  <c r="AR187" i="2"/>
  <c r="AQ187" i="2"/>
  <c r="AP187" i="2"/>
  <c r="AO187" i="2"/>
  <c r="AN187" i="2"/>
  <c r="AM187" i="2"/>
  <c r="AL187" i="2"/>
  <c r="AK187" i="2"/>
  <c r="AJ187" i="2"/>
  <c r="K187" i="2"/>
  <c r="G187" i="2"/>
  <c r="G403" i="2" s="1"/>
  <c r="F187" i="2"/>
  <c r="BB186" i="2"/>
  <c r="I186" i="2" s="1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K186" i="2" s="1"/>
  <c r="AO186" i="2"/>
  <c r="AN186" i="2"/>
  <c r="AM186" i="2"/>
  <c r="AL186" i="2"/>
  <c r="AK186" i="2"/>
  <c r="AJ186" i="2"/>
  <c r="H186" i="2"/>
  <c r="G186" i="2"/>
  <c r="F186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K185" i="2" s="1"/>
  <c r="AO185" i="2"/>
  <c r="AN185" i="2"/>
  <c r="AM185" i="2"/>
  <c r="AL185" i="2"/>
  <c r="AK185" i="2"/>
  <c r="AJ185" i="2"/>
  <c r="I185" i="2"/>
  <c r="J185" i="2" s="1"/>
  <c r="H185" i="2"/>
  <c r="G185" i="2"/>
  <c r="G401" i="2" s="1"/>
  <c r="F185" i="2"/>
  <c r="BB184" i="2"/>
  <c r="I184" i="2" s="1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K184" i="2" s="1"/>
  <c r="AO184" i="2"/>
  <c r="AN184" i="2"/>
  <c r="AM184" i="2"/>
  <c r="AL184" i="2"/>
  <c r="AK184" i="2"/>
  <c r="AJ184" i="2"/>
  <c r="J184" i="2"/>
  <c r="H184" i="2"/>
  <c r="H400" i="2" s="1"/>
  <c r="G184" i="2"/>
  <c r="G400" i="2" s="1"/>
  <c r="F184" i="2"/>
  <c r="BB183" i="2"/>
  <c r="BA183" i="2"/>
  <c r="AZ183" i="2"/>
  <c r="AY183" i="2"/>
  <c r="AX183" i="2"/>
  <c r="AW183" i="2"/>
  <c r="AV183" i="2"/>
  <c r="AU183" i="2"/>
  <c r="H183" i="2" s="1"/>
  <c r="AT183" i="2"/>
  <c r="AS183" i="2"/>
  <c r="AR183" i="2"/>
  <c r="AQ183" i="2"/>
  <c r="AP183" i="2"/>
  <c r="AO183" i="2"/>
  <c r="AN183" i="2"/>
  <c r="AM183" i="2"/>
  <c r="AL183" i="2"/>
  <c r="AK183" i="2"/>
  <c r="AJ183" i="2"/>
  <c r="K183" i="2"/>
  <c r="I183" i="2"/>
  <c r="G183" i="2"/>
  <c r="F183" i="2"/>
  <c r="BB182" i="2"/>
  <c r="I182" i="2" s="1"/>
  <c r="BA182" i="2"/>
  <c r="AZ182" i="2"/>
  <c r="AY182" i="2"/>
  <c r="AX182" i="2"/>
  <c r="AW182" i="2"/>
  <c r="AV182" i="2"/>
  <c r="AU182" i="2"/>
  <c r="AT182" i="2"/>
  <c r="AS182" i="2"/>
  <c r="AR182" i="2"/>
  <c r="AQ182" i="2"/>
  <c r="AP182" i="2"/>
  <c r="K182" i="2" s="1"/>
  <c r="AO182" i="2"/>
  <c r="AN182" i="2"/>
  <c r="AM182" i="2"/>
  <c r="AL182" i="2"/>
  <c r="AK182" i="2"/>
  <c r="AJ182" i="2"/>
  <c r="J182" i="2"/>
  <c r="H182" i="2"/>
  <c r="H398" i="2" s="1"/>
  <c r="G182" i="2"/>
  <c r="G398" i="2" s="1"/>
  <c r="F182" i="2"/>
  <c r="BB181" i="2"/>
  <c r="I181" i="2" s="1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K181" i="2" s="1"/>
  <c r="AO181" i="2"/>
  <c r="AN181" i="2"/>
  <c r="AM181" i="2"/>
  <c r="AL181" i="2"/>
  <c r="AK181" i="2"/>
  <c r="AJ181" i="2"/>
  <c r="H181" i="2"/>
  <c r="G181" i="2"/>
  <c r="G397" i="2" s="1"/>
  <c r="F181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K180" i="2"/>
  <c r="I180" i="2"/>
  <c r="H180" i="2"/>
  <c r="G180" i="2"/>
  <c r="G396" i="2" s="1"/>
  <c r="F180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K179" i="2"/>
  <c r="I179" i="2"/>
  <c r="H179" i="2"/>
  <c r="H395" i="2" s="1"/>
  <c r="G179" i="2"/>
  <c r="G395" i="2" s="1"/>
  <c r="F179" i="2"/>
  <c r="BB178" i="2"/>
  <c r="BA178" i="2"/>
  <c r="AZ178" i="2"/>
  <c r="AY178" i="2"/>
  <c r="AX178" i="2"/>
  <c r="AW178" i="2"/>
  <c r="AV178" i="2"/>
  <c r="AU178" i="2"/>
  <c r="H178" i="2" s="1"/>
  <c r="H394" i="2" s="1"/>
  <c r="AT178" i="2"/>
  <c r="AS178" i="2"/>
  <c r="AR178" i="2"/>
  <c r="AQ178" i="2"/>
  <c r="AP178" i="2"/>
  <c r="AO178" i="2"/>
  <c r="AN178" i="2"/>
  <c r="AM178" i="2"/>
  <c r="AL178" i="2"/>
  <c r="AK178" i="2"/>
  <c r="AJ178" i="2"/>
  <c r="K178" i="2"/>
  <c r="I178" i="2"/>
  <c r="J178" i="2" s="1"/>
  <c r="G178" i="2"/>
  <c r="G394" i="2" s="1"/>
  <c r="F178" i="2"/>
  <c r="BB177" i="2"/>
  <c r="BA177" i="2"/>
  <c r="AZ177" i="2"/>
  <c r="AY177" i="2"/>
  <c r="AX177" i="2"/>
  <c r="AW177" i="2"/>
  <c r="AV177" i="2"/>
  <c r="AU177" i="2"/>
  <c r="H177" i="2" s="1"/>
  <c r="H393" i="2" s="1"/>
  <c r="AT177" i="2"/>
  <c r="AS177" i="2"/>
  <c r="AR177" i="2"/>
  <c r="AQ177" i="2"/>
  <c r="AP177" i="2"/>
  <c r="AO177" i="2"/>
  <c r="AN177" i="2"/>
  <c r="AM177" i="2"/>
  <c r="AL177" i="2"/>
  <c r="AK177" i="2"/>
  <c r="AJ177" i="2"/>
  <c r="K177" i="2"/>
  <c r="J177" i="2"/>
  <c r="I177" i="2"/>
  <c r="G177" i="2"/>
  <c r="G393" i="2" s="1"/>
  <c r="F177" i="2"/>
  <c r="BB176" i="2"/>
  <c r="I176" i="2" s="1"/>
  <c r="BA176" i="2"/>
  <c r="AZ176" i="2"/>
  <c r="AY176" i="2"/>
  <c r="AX176" i="2"/>
  <c r="AW176" i="2"/>
  <c r="AV176" i="2"/>
  <c r="AU176" i="2"/>
  <c r="H176" i="2" s="1"/>
  <c r="AT176" i="2"/>
  <c r="AS176" i="2"/>
  <c r="AR176" i="2"/>
  <c r="AQ176" i="2"/>
  <c r="AP176" i="2"/>
  <c r="K176" i="2" s="1"/>
  <c r="AO176" i="2"/>
  <c r="AN176" i="2"/>
  <c r="AM176" i="2"/>
  <c r="AL176" i="2"/>
  <c r="AK176" i="2"/>
  <c r="AJ176" i="2"/>
  <c r="G176" i="2"/>
  <c r="F176" i="2"/>
  <c r="BB175" i="2"/>
  <c r="I175" i="2" s="1"/>
  <c r="BA175" i="2"/>
  <c r="AZ175" i="2"/>
  <c r="AY175" i="2"/>
  <c r="AX175" i="2"/>
  <c r="AW175" i="2"/>
  <c r="AV175" i="2"/>
  <c r="AU175" i="2"/>
  <c r="H175" i="2" s="1"/>
  <c r="AT175" i="2"/>
  <c r="AS175" i="2"/>
  <c r="AR175" i="2"/>
  <c r="AQ175" i="2"/>
  <c r="AP175" i="2"/>
  <c r="AO175" i="2"/>
  <c r="AN175" i="2"/>
  <c r="AM175" i="2"/>
  <c r="AL175" i="2"/>
  <c r="AK175" i="2"/>
  <c r="AJ175" i="2"/>
  <c r="K175" i="2"/>
  <c r="G175" i="2"/>
  <c r="G391" i="2" s="1"/>
  <c r="F175" i="2"/>
  <c r="BB174" i="2"/>
  <c r="I174" i="2" s="1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K174" i="2" s="1"/>
  <c r="AO174" i="2"/>
  <c r="AN174" i="2"/>
  <c r="AM174" i="2"/>
  <c r="AL174" i="2"/>
  <c r="AK174" i="2"/>
  <c r="AJ174" i="2"/>
  <c r="H174" i="2"/>
  <c r="G174" i="2"/>
  <c r="F174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K173" i="2" s="1"/>
  <c r="AO173" i="2"/>
  <c r="AN173" i="2"/>
  <c r="AM173" i="2"/>
  <c r="AL173" i="2"/>
  <c r="AK173" i="2"/>
  <c r="AJ173" i="2"/>
  <c r="I173" i="2"/>
  <c r="J173" i="2" s="1"/>
  <c r="H173" i="2"/>
  <c r="G173" i="2"/>
  <c r="G389" i="2" s="1"/>
  <c r="F173" i="2"/>
  <c r="BB172" i="2"/>
  <c r="I172" i="2" s="1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K172" i="2" s="1"/>
  <c r="AO172" i="2"/>
  <c r="AN172" i="2"/>
  <c r="AM172" i="2"/>
  <c r="AL172" i="2"/>
  <c r="AK172" i="2"/>
  <c r="AJ172" i="2"/>
  <c r="H172" i="2"/>
  <c r="H388" i="2" s="1"/>
  <c r="G172" i="2"/>
  <c r="G388" i="2" s="1"/>
  <c r="F172" i="2"/>
  <c r="BB171" i="2"/>
  <c r="BA171" i="2"/>
  <c r="AZ171" i="2"/>
  <c r="AY171" i="2"/>
  <c r="AX171" i="2"/>
  <c r="AW171" i="2"/>
  <c r="AV171" i="2"/>
  <c r="AU171" i="2"/>
  <c r="H171" i="2" s="1"/>
  <c r="AT171" i="2"/>
  <c r="AS171" i="2"/>
  <c r="AR171" i="2"/>
  <c r="AQ171" i="2"/>
  <c r="AP171" i="2"/>
  <c r="K171" i="2" s="1"/>
  <c r="AO171" i="2"/>
  <c r="AN171" i="2"/>
  <c r="AM171" i="2"/>
  <c r="AL171" i="2"/>
  <c r="AK171" i="2"/>
  <c r="AJ171" i="2"/>
  <c r="I171" i="2"/>
  <c r="G171" i="2"/>
  <c r="G387" i="2" s="1"/>
  <c r="F171" i="2"/>
  <c r="BB170" i="2"/>
  <c r="I170" i="2" s="1"/>
  <c r="J170" i="2" s="1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K170" i="2" s="1"/>
  <c r="AO170" i="2"/>
  <c r="AN170" i="2"/>
  <c r="AM170" i="2"/>
  <c r="AL170" i="2"/>
  <c r="AK170" i="2"/>
  <c r="AJ170" i="2"/>
  <c r="H170" i="2"/>
  <c r="G170" i="2"/>
  <c r="F170" i="2"/>
  <c r="BB169" i="2"/>
  <c r="I169" i="2" s="1"/>
  <c r="BA169" i="2"/>
  <c r="AZ169" i="2"/>
  <c r="AY169" i="2"/>
  <c r="AX169" i="2"/>
  <c r="AW169" i="2"/>
  <c r="AV169" i="2"/>
  <c r="AU169" i="2"/>
  <c r="H169" i="2" s="1"/>
  <c r="AT169" i="2"/>
  <c r="AS169" i="2"/>
  <c r="AR169" i="2"/>
  <c r="AQ169" i="2"/>
  <c r="AP169" i="2"/>
  <c r="AO169" i="2"/>
  <c r="AN169" i="2"/>
  <c r="AM169" i="2"/>
  <c r="AL169" i="2"/>
  <c r="AK169" i="2"/>
  <c r="AJ169" i="2"/>
  <c r="K169" i="2"/>
  <c r="G169" i="2"/>
  <c r="F169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K168" i="2"/>
  <c r="I168" i="2"/>
  <c r="H168" i="2"/>
  <c r="G168" i="2"/>
  <c r="G384" i="2" s="1"/>
  <c r="F168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K167" i="2"/>
  <c r="J167" i="2"/>
  <c r="I167" i="2"/>
  <c r="H167" i="2"/>
  <c r="H383" i="2" s="1"/>
  <c r="G167" i="2"/>
  <c r="G383" i="2" s="1"/>
  <c r="F167" i="2"/>
  <c r="BB166" i="2"/>
  <c r="BA166" i="2"/>
  <c r="AZ166" i="2"/>
  <c r="AY166" i="2"/>
  <c r="AX166" i="2"/>
  <c r="AW166" i="2"/>
  <c r="AV166" i="2"/>
  <c r="AU166" i="2"/>
  <c r="H166" i="2" s="1"/>
  <c r="H382" i="2" s="1"/>
  <c r="AT166" i="2"/>
  <c r="AS166" i="2"/>
  <c r="AR166" i="2"/>
  <c r="AQ166" i="2"/>
  <c r="AP166" i="2"/>
  <c r="AO166" i="2"/>
  <c r="AN166" i="2"/>
  <c r="AM166" i="2"/>
  <c r="AL166" i="2"/>
  <c r="AK166" i="2"/>
  <c r="AJ166" i="2"/>
  <c r="K166" i="2"/>
  <c r="I166" i="2"/>
  <c r="G166" i="2"/>
  <c r="G382" i="2" s="1"/>
  <c r="F166" i="2"/>
  <c r="BB165" i="2"/>
  <c r="BA165" i="2"/>
  <c r="AZ165" i="2"/>
  <c r="AY165" i="2"/>
  <c r="AX165" i="2"/>
  <c r="AW165" i="2"/>
  <c r="AV165" i="2"/>
  <c r="AU165" i="2"/>
  <c r="H165" i="2" s="1"/>
  <c r="H381" i="2" s="1"/>
  <c r="AT165" i="2"/>
  <c r="AS165" i="2"/>
  <c r="AR165" i="2"/>
  <c r="AQ165" i="2"/>
  <c r="AP165" i="2"/>
  <c r="AO165" i="2"/>
  <c r="AN165" i="2"/>
  <c r="AM165" i="2"/>
  <c r="AL165" i="2"/>
  <c r="AK165" i="2"/>
  <c r="AJ165" i="2"/>
  <c r="K165" i="2"/>
  <c r="I165" i="2"/>
  <c r="G165" i="2"/>
  <c r="G381" i="2" s="1"/>
  <c r="F165" i="2"/>
  <c r="BB164" i="2"/>
  <c r="I164" i="2" s="1"/>
  <c r="BA164" i="2"/>
  <c r="AZ164" i="2"/>
  <c r="AY164" i="2"/>
  <c r="AX164" i="2"/>
  <c r="AW164" i="2"/>
  <c r="AV164" i="2"/>
  <c r="AU164" i="2"/>
  <c r="H164" i="2" s="1"/>
  <c r="AT164" i="2"/>
  <c r="AS164" i="2"/>
  <c r="AR164" i="2"/>
  <c r="AQ164" i="2"/>
  <c r="AP164" i="2"/>
  <c r="AO164" i="2"/>
  <c r="AN164" i="2"/>
  <c r="AM164" i="2"/>
  <c r="AL164" i="2"/>
  <c r="AK164" i="2"/>
  <c r="AJ164" i="2"/>
  <c r="K164" i="2"/>
  <c r="G164" i="2"/>
  <c r="F164" i="2"/>
  <c r="BB163" i="2"/>
  <c r="I163" i="2" s="1"/>
  <c r="BA163" i="2"/>
  <c r="AZ163" i="2"/>
  <c r="AY163" i="2"/>
  <c r="AX163" i="2"/>
  <c r="AW163" i="2"/>
  <c r="AV163" i="2"/>
  <c r="AU163" i="2"/>
  <c r="H163" i="2" s="1"/>
  <c r="AT163" i="2"/>
  <c r="AS163" i="2"/>
  <c r="AR163" i="2"/>
  <c r="AQ163" i="2"/>
  <c r="AP163" i="2"/>
  <c r="AO163" i="2"/>
  <c r="AN163" i="2"/>
  <c r="AM163" i="2"/>
  <c r="AL163" i="2"/>
  <c r="AK163" i="2"/>
  <c r="AJ163" i="2"/>
  <c r="K163" i="2"/>
  <c r="G163" i="2"/>
  <c r="G379" i="2" s="1"/>
  <c r="F163" i="2"/>
  <c r="BB162" i="2"/>
  <c r="I162" i="2" s="1"/>
  <c r="BA162" i="2"/>
  <c r="AZ162" i="2"/>
  <c r="AY162" i="2"/>
  <c r="AX162" i="2"/>
  <c r="AW162" i="2"/>
  <c r="AV162" i="2"/>
  <c r="AU162" i="2"/>
  <c r="AT162" i="2"/>
  <c r="AS162" i="2"/>
  <c r="AR162" i="2"/>
  <c r="AQ162" i="2"/>
  <c r="AP162" i="2"/>
  <c r="K162" i="2" s="1"/>
  <c r="AO162" i="2"/>
  <c r="AN162" i="2"/>
  <c r="AM162" i="2"/>
  <c r="AL162" i="2"/>
  <c r="AK162" i="2"/>
  <c r="AJ162" i="2"/>
  <c r="H162" i="2"/>
  <c r="G162" i="2"/>
  <c r="G378" i="2" s="1"/>
  <c r="F162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K161" i="2" s="1"/>
  <c r="AO161" i="2"/>
  <c r="AN161" i="2"/>
  <c r="AM161" i="2"/>
  <c r="AL161" i="2"/>
  <c r="AK161" i="2"/>
  <c r="AJ161" i="2"/>
  <c r="I161" i="2"/>
  <c r="H161" i="2"/>
  <c r="H377" i="2" s="1"/>
  <c r="G161" i="2"/>
  <c r="F161" i="2"/>
  <c r="BB160" i="2"/>
  <c r="I160" i="2" s="1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K160" i="2" s="1"/>
  <c r="AO160" i="2"/>
  <c r="AN160" i="2"/>
  <c r="AM160" i="2"/>
  <c r="AL160" i="2"/>
  <c r="AK160" i="2"/>
  <c r="AJ160" i="2"/>
  <c r="H160" i="2"/>
  <c r="H376" i="2" s="1"/>
  <c r="G160" i="2"/>
  <c r="F160" i="2"/>
  <c r="BB159" i="2"/>
  <c r="I159" i="2" s="1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K159" i="2"/>
  <c r="H159" i="2"/>
  <c r="G159" i="2"/>
  <c r="F159" i="2"/>
  <c r="BB158" i="2"/>
  <c r="I158" i="2" s="1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K158" i="2" s="1"/>
  <c r="AO158" i="2"/>
  <c r="AN158" i="2"/>
  <c r="AM158" i="2"/>
  <c r="AL158" i="2"/>
  <c r="AK158" i="2"/>
  <c r="AJ158" i="2"/>
  <c r="H158" i="2"/>
  <c r="H374" i="2" s="1"/>
  <c r="G158" i="2"/>
  <c r="F158" i="2"/>
  <c r="BB157" i="2"/>
  <c r="BA157" i="2"/>
  <c r="AZ157" i="2"/>
  <c r="AY157" i="2"/>
  <c r="AX157" i="2"/>
  <c r="AW157" i="2"/>
  <c r="AV157" i="2"/>
  <c r="AU157" i="2"/>
  <c r="H157" i="2" s="1"/>
  <c r="AT157" i="2"/>
  <c r="AS157" i="2"/>
  <c r="AR157" i="2"/>
  <c r="AQ157" i="2"/>
  <c r="AP157" i="2"/>
  <c r="AO157" i="2"/>
  <c r="AN157" i="2"/>
  <c r="AM157" i="2"/>
  <c r="AL157" i="2"/>
  <c r="AK157" i="2"/>
  <c r="AJ157" i="2"/>
  <c r="K157" i="2"/>
  <c r="I157" i="2"/>
  <c r="G157" i="2"/>
  <c r="F157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K156" i="2"/>
  <c r="J156" i="2"/>
  <c r="I156" i="2"/>
  <c r="H156" i="2"/>
  <c r="G156" i="2"/>
  <c r="G372" i="2" s="1"/>
  <c r="F156" i="2"/>
  <c r="BB155" i="2"/>
  <c r="BA155" i="2"/>
  <c r="AZ155" i="2"/>
  <c r="AY155" i="2"/>
  <c r="AX155" i="2"/>
  <c r="AW155" i="2"/>
  <c r="AV155" i="2"/>
  <c r="AU155" i="2"/>
  <c r="H155" i="2" s="1"/>
  <c r="AT155" i="2"/>
  <c r="AS155" i="2"/>
  <c r="AR155" i="2"/>
  <c r="AQ155" i="2"/>
  <c r="AP155" i="2"/>
  <c r="AO155" i="2"/>
  <c r="AN155" i="2"/>
  <c r="AM155" i="2"/>
  <c r="AL155" i="2"/>
  <c r="AK155" i="2"/>
  <c r="AJ155" i="2"/>
  <c r="K155" i="2"/>
  <c r="I155" i="2"/>
  <c r="G155" i="2"/>
  <c r="F155" i="2"/>
  <c r="BB154" i="2"/>
  <c r="BA154" i="2"/>
  <c r="AZ154" i="2"/>
  <c r="AY154" i="2"/>
  <c r="AX154" i="2"/>
  <c r="AW154" i="2"/>
  <c r="AV154" i="2"/>
  <c r="AU154" i="2"/>
  <c r="H154" i="2" s="1"/>
  <c r="H370" i="2" s="1"/>
  <c r="AT154" i="2"/>
  <c r="AS154" i="2"/>
  <c r="AR154" i="2"/>
  <c r="AQ154" i="2"/>
  <c r="AP154" i="2"/>
  <c r="AO154" i="2"/>
  <c r="AN154" i="2"/>
  <c r="AM154" i="2"/>
  <c r="AL154" i="2"/>
  <c r="AK154" i="2"/>
  <c r="AJ154" i="2"/>
  <c r="K154" i="2"/>
  <c r="I154" i="2"/>
  <c r="G154" i="2"/>
  <c r="G370" i="2" s="1"/>
  <c r="F154" i="2"/>
  <c r="BB153" i="2"/>
  <c r="BA153" i="2"/>
  <c r="AZ153" i="2"/>
  <c r="AY153" i="2"/>
  <c r="AX153" i="2"/>
  <c r="AW153" i="2"/>
  <c r="AV153" i="2"/>
  <c r="AU153" i="2"/>
  <c r="H153" i="2" s="1"/>
  <c r="AT153" i="2"/>
  <c r="AS153" i="2"/>
  <c r="AR153" i="2"/>
  <c r="AQ153" i="2"/>
  <c r="AP153" i="2"/>
  <c r="AO153" i="2"/>
  <c r="AN153" i="2"/>
  <c r="AM153" i="2"/>
  <c r="AL153" i="2"/>
  <c r="AK153" i="2"/>
  <c r="AJ153" i="2"/>
  <c r="K153" i="2"/>
  <c r="I153" i="2"/>
  <c r="G153" i="2"/>
  <c r="G369" i="2" s="1"/>
  <c r="F153" i="2"/>
  <c r="BB152" i="2"/>
  <c r="BA152" i="2"/>
  <c r="AZ152" i="2"/>
  <c r="AY152" i="2"/>
  <c r="AX152" i="2"/>
  <c r="AW152" i="2"/>
  <c r="AV152" i="2"/>
  <c r="AU152" i="2"/>
  <c r="H152" i="2" s="1"/>
  <c r="AT152" i="2"/>
  <c r="AS152" i="2"/>
  <c r="AR152" i="2"/>
  <c r="AQ152" i="2"/>
  <c r="AP152" i="2"/>
  <c r="AO152" i="2"/>
  <c r="AN152" i="2"/>
  <c r="AM152" i="2"/>
  <c r="AL152" i="2"/>
  <c r="AK152" i="2"/>
  <c r="AJ152" i="2"/>
  <c r="K152" i="2"/>
  <c r="I152" i="2"/>
  <c r="G152" i="2"/>
  <c r="F152" i="2"/>
  <c r="BB151" i="2"/>
  <c r="I151" i="2" s="1"/>
  <c r="BA151" i="2"/>
  <c r="AZ151" i="2"/>
  <c r="AY151" i="2"/>
  <c r="AX151" i="2"/>
  <c r="AW151" i="2"/>
  <c r="AV151" i="2"/>
  <c r="AU151" i="2"/>
  <c r="H151" i="2" s="1"/>
  <c r="H367" i="2" s="1"/>
  <c r="AT151" i="2"/>
  <c r="AS151" i="2"/>
  <c r="AR151" i="2"/>
  <c r="AQ151" i="2"/>
  <c r="AP151" i="2"/>
  <c r="AO151" i="2"/>
  <c r="AN151" i="2"/>
  <c r="AM151" i="2"/>
  <c r="AL151" i="2"/>
  <c r="AK151" i="2"/>
  <c r="AJ151" i="2"/>
  <c r="K151" i="2"/>
  <c r="G151" i="2"/>
  <c r="G367" i="2" s="1"/>
  <c r="F151" i="2"/>
  <c r="BB150" i="2"/>
  <c r="I150" i="2" s="1"/>
  <c r="BA150" i="2"/>
  <c r="AZ150" i="2"/>
  <c r="AY150" i="2"/>
  <c r="AX150" i="2"/>
  <c r="AW150" i="2"/>
  <c r="AV150" i="2"/>
  <c r="AU150" i="2"/>
  <c r="H150" i="2" s="1"/>
  <c r="AT150" i="2"/>
  <c r="AS150" i="2"/>
  <c r="AR150" i="2"/>
  <c r="AQ150" i="2"/>
  <c r="AP150" i="2"/>
  <c r="K150" i="2" s="1"/>
  <c r="AO150" i="2"/>
  <c r="AN150" i="2"/>
  <c r="AM150" i="2"/>
  <c r="AL150" i="2"/>
  <c r="AK150" i="2"/>
  <c r="AJ150" i="2"/>
  <c r="G150" i="2"/>
  <c r="F150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K149" i="2" s="1"/>
  <c r="AO149" i="2"/>
  <c r="AN149" i="2"/>
  <c r="AM149" i="2"/>
  <c r="AL149" i="2"/>
  <c r="AK149" i="2"/>
  <c r="AJ149" i="2"/>
  <c r="I149" i="2"/>
  <c r="J149" i="2" s="1"/>
  <c r="H149" i="2"/>
  <c r="H365" i="2" s="1"/>
  <c r="G149" i="2"/>
  <c r="G365" i="2" s="1"/>
  <c r="F149" i="2"/>
  <c r="BB148" i="2"/>
  <c r="I148" i="2" s="1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K148" i="2"/>
  <c r="H148" i="2"/>
  <c r="H364" i="2" s="1"/>
  <c r="G148" i="2"/>
  <c r="G364" i="2" s="1"/>
  <c r="F148" i="2"/>
  <c r="BB147" i="2"/>
  <c r="I147" i="2" s="1"/>
  <c r="BA147" i="2"/>
  <c r="AZ147" i="2"/>
  <c r="AY147" i="2"/>
  <c r="AX147" i="2"/>
  <c r="AW147" i="2"/>
  <c r="AV147" i="2"/>
  <c r="AU147" i="2"/>
  <c r="H147" i="2" s="1"/>
  <c r="AT147" i="2"/>
  <c r="AS147" i="2"/>
  <c r="AR147" i="2"/>
  <c r="AQ147" i="2"/>
  <c r="AP147" i="2"/>
  <c r="AO147" i="2"/>
  <c r="AN147" i="2"/>
  <c r="AM147" i="2"/>
  <c r="AL147" i="2"/>
  <c r="AK147" i="2"/>
  <c r="AJ147" i="2"/>
  <c r="K147" i="2"/>
  <c r="G147" i="2"/>
  <c r="G363" i="2" s="1"/>
  <c r="F147" i="2"/>
  <c r="BB146" i="2"/>
  <c r="I146" i="2" s="1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K146" i="2" s="1"/>
  <c r="AO146" i="2"/>
  <c r="AN146" i="2"/>
  <c r="AM146" i="2"/>
  <c r="AL146" i="2"/>
  <c r="AK146" i="2"/>
  <c r="AJ146" i="2"/>
  <c r="H146" i="2"/>
  <c r="H362" i="2" s="1"/>
  <c r="G146" i="2"/>
  <c r="G362" i="2" s="1"/>
  <c r="F146" i="2"/>
  <c r="BB145" i="2"/>
  <c r="BA145" i="2"/>
  <c r="AZ145" i="2"/>
  <c r="AY145" i="2"/>
  <c r="AX145" i="2"/>
  <c r="AW145" i="2"/>
  <c r="AV145" i="2"/>
  <c r="AU145" i="2"/>
  <c r="H145" i="2" s="1"/>
  <c r="AT145" i="2"/>
  <c r="AS145" i="2"/>
  <c r="AR145" i="2"/>
  <c r="AQ145" i="2"/>
  <c r="AP145" i="2"/>
  <c r="AO145" i="2"/>
  <c r="AN145" i="2"/>
  <c r="AM145" i="2"/>
  <c r="AL145" i="2"/>
  <c r="AK145" i="2"/>
  <c r="AJ145" i="2"/>
  <c r="K145" i="2"/>
  <c r="I145" i="2"/>
  <c r="G145" i="2"/>
  <c r="F145" i="2"/>
  <c r="BB144" i="2"/>
  <c r="I144" i="2" s="1"/>
  <c r="J144" i="2" s="1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K144" i="2" s="1"/>
  <c r="AO144" i="2"/>
  <c r="AN144" i="2"/>
  <c r="AM144" i="2"/>
  <c r="AL144" i="2"/>
  <c r="AK144" i="2"/>
  <c r="AJ144" i="2"/>
  <c r="H144" i="2"/>
  <c r="G144" i="2"/>
  <c r="G360" i="2" s="1"/>
  <c r="F144" i="2"/>
  <c r="BB143" i="2"/>
  <c r="I143" i="2" s="1"/>
  <c r="BA143" i="2"/>
  <c r="AZ143" i="2"/>
  <c r="AY143" i="2"/>
  <c r="AX143" i="2"/>
  <c r="AW143" i="2"/>
  <c r="AV143" i="2"/>
  <c r="AU143" i="2"/>
  <c r="H143" i="2" s="1"/>
  <c r="AT143" i="2"/>
  <c r="AS143" i="2"/>
  <c r="AR143" i="2"/>
  <c r="AQ143" i="2"/>
  <c r="AP143" i="2"/>
  <c r="K143" i="2" s="1"/>
  <c r="AO143" i="2"/>
  <c r="AN143" i="2"/>
  <c r="AM143" i="2"/>
  <c r="AL143" i="2"/>
  <c r="AK143" i="2"/>
  <c r="AJ143" i="2"/>
  <c r="G143" i="2"/>
  <c r="F143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K142" i="2"/>
  <c r="I142" i="2"/>
  <c r="H142" i="2"/>
  <c r="G142" i="2"/>
  <c r="G358" i="2" s="1"/>
  <c r="F142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K141" i="2" s="1"/>
  <c r="AO141" i="2"/>
  <c r="AN141" i="2"/>
  <c r="AM141" i="2"/>
  <c r="AL141" i="2"/>
  <c r="AK141" i="2"/>
  <c r="AJ141" i="2"/>
  <c r="I141" i="2"/>
  <c r="H141" i="2"/>
  <c r="H357" i="2" s="1"/>
  <c r="G141" i="2"/>
  <c r="G357" i="2" s="1"/>
  <c r="F141" i="2"/>
  <c r="BB140" i="2"/>
  <c r="BA140" i="2"/>
  <c r="AZ140" i="2"/>
  <c r="AY140" i="2"/>
  <c r="AX140" i="2"/>
  <c r="AW140" i="2"/>
  <c r="AV140" i="2"/>
  <c r="AU140" i="2"/>
  <c r="H140" i="2" s="1"/>
  <c r="J140" i="2" s="1"/>
  <c r="AT140" i="2"/>
  <c r="AS140" i="2"/>
  <c r="AR140" i="2"/>
  <c r="AQ140" i="2"/>
  <c r="AP140" i="2"/>
  <c r="AO140" i="2"/>
  <c r="AN140" i="2"/>
  <c r="AM140" i="2"/>
  <c r="AL140" i="2"/>
  <c r="AK140" i="2"/>
  <c r="AJ140" i="2"/>
  <c r="K140" i="2"/>
  <c r="I140" i="2"/>
  <c r="G140" i="2"/>
  <c r="F140" i="2"/>
  <c r="BB139" i="2"/>
  <c r="I139" i="2" s="1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K139" i="2"/>
  <c r="H139" i="2"/>
  <c r="J139" i="2" s="1"/>
  <c r="G139" i="2"/>
  <c r="F139" i="2"/>
  <c r="BB138" i="2"/>
  <c r="I138" i="2" s="1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K138" i="2"/>
  <c r="H138" i="2"/>
  <c r="G138" i="2"/>
  <c r="F138" i="2"/>
  <c r="BB137" i="2"/>
  <c r="I137" i="2" s="1"/>
  <c r="J137" i="2" s="1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K137" i="2" s="1"/>
  <c r="AO137" i="2"/>
  <c r="AN137" i="2"/>
  <c r="AM137" i="2"/>
  <c r="AL137" i="2"/>
  <c r="AK137" i="2"/>
  <c r="AJ137" i="2"/>
  <c r="H137" i="2"/>
  <c r="G137" i="2"/>
  <c r="F137" i="2"/>
  <c r="BB136" i="2"/>
  <c r="I136" i="2" s="1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K136" i="2" s="1"/>
  <c r="AO136" i="2"/>
  <c r="AN136" i="2"/>
  <c r="AM136" i="2"/>
  <c r="AL136" i="2"/>
  <c r="AK136" i="2"/>
  <c r="AJ136" i="2"/>
  <c r="H136" i="2"/>
  <c r="J136" i="2" s="1"/>
  <c r="G136" i="2"/>
  <c r="F136" i="2"/>
  <c r="BB135" i="2"/>
  <c r="I135" i="2" s="1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K135" i="2" s="1"/>
  <c r="AO135" i="2"/>
  <c r="AN135" i="2"/>
  <c r="AM135" i="2"/>
  <c r="AL135" i="2"/>
  <c r="AK135" i="2"/>
  <c r="AJ135" i="2"/>
  <c r="H135" i="2"/>
  <c r="G135" i="2"/>
  <c r="F135" i="2"/>
  <c r="BB134" i="2"/>
  <c r="I134" i="2" s="1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K134" i="2" s="1"/>
  <c r="AO134" i="2"/>
  <c r="AN134" i="2"/>
  <c r="AM134" i="2"/>
  <c r="AL134" i="2"/>
  <c r="AK134" i="2"/>
  <c r="AJ134" i="2"/>
  <c r="H134" i="2"/>
  <c r="J134" i="2" s="1"/>
  <c r="G134" i="2"/>
  <c r="F134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K133" i="2" s="1"/>
  <c r="AO133" i="2"/>
  <c r="AN133" i="2"/>
  <c r="AM133" i="2"/>
  <c r="AL133" i="2"/>
  <c r="AK133" i="2"/>
  <c r="AJ133" i="2"/>
  <c r="I133" i="2"/>
  <c r="H133" i="2"/>
  <c r="J133" i="2" s="1"/>
  <c r="G133" i="2"/>
  <c r="F133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K132" i="2" s="1"/>
  <c r="AO132" i="2"/>
  <c r="AN132" i="2"/>
  <c r="AM132" i="2"/>
  <c r="AL132" i="2"/>
  <c r="AK132" i="2"/>
  <c r="AJ132" i="2"/>
  <c r="I132" i="2"/>
  <c r="J132" i="2" s="1"/>
  <c r="H132" i="2"/>
  <c r="G132" i="2"/>
  <c r="G339" i="2" s="1"/>
  <c r="F132" i="2"/>
  <c r="BB131" i="2"/>
  <c r="I131" i="2" s="1"/>
  <c r="BA131" i="2"/>
  <c r="AZ131" i="2"/>
  <c r="AY131" i="2"/>
  <c r="AX131" i="2"/>
  <c r="AW131" i="2"/>
  <c r="AV131" i="2"/>
  <c r="AU131" i="2"/>
  <c r="H131" i="2" s="1"/>
  <c r="J131" i="2" s="1"/>
  <c r="AT131" i="2"/>
  <c r="AS131" i="2"/>
  <c r="AR131" i="2"/>
  <c r="AQ131" i="2"/>
  <c r="AP131" i="2"/>
  <c r="AO131" i="2"/>
  <c r="AN131" i="2"/>
  <c r="AM131" i="2"/>
  <c r="AL131" i="2"/>
  <c r="AK131" i="2"/>
  <c r="AJ131" i="2"/>
  <c r="K131" i="2"/>
  <c r="G131" i="2"/>
  <c r="F131" i="2"/>
  <c r="BB130" i="2"/>
  <c r="BA130" i="2"/>
  <c r="AZ130" i="2"/>
  <c r="AY130" i="2"/>
  <c r="AX130" i="2"/>
  <c r="AW130" i="2"/>
  <c r="AV130" i="2"/>
  <c r="AU130" i="2"/>
  <c r="H130" i="2" s="1"/>
  <c r="J130" i="2" s="1"/>
  <c r="AT130" i="2"/>
  <c r="AS130" i="2"/>
  <c r="AR130" i="2"/>
  <c r="AQ130" i="2"/>
  <c r="AP130" i="2"/>
  <c r="AO130" i="2"/>
  <c r="AN130" i="2"/>
  <c r="AM130" i="2"/>
  <c r="AL130" i="2"/>
  <c r="AK130" i="2"/>
  <c r="AJ130" i="2"/>
  <c r="K130" i="2"/>
  <c r="I130" i="2"/>
  <c r="G130" i="2"/>
  <c r="G338" i="2" s="1"/>
  <c r="F130" i="2"/>
  <c r="BB129" i="2"/>
  <c r="I129" i="2" s="1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K129" i="2" s="1"/>
  <c r="AO129" i="2"/>
  <c r="AN129" i="2"/>
  <c r="AM129" i="2"/>
  <c r="AL129" i="2"/>
  <c r="AK129" i="2"/>
  <c r="AJ129" i="2"/>
  <c r="H129" i="2"/>
  <c r="G129" i="2"/>
  <c r="F129" i="2"/>
  <c r="BB128" i="2"/>
  <c r="BA128" i="2"/>
  <c r="AZ128" i="2"/>
  <c r="AY128" i="2"/>
  <c r="AX128" i="2"/>
  <c r="AW128" i="2"/>
  <c r="AV128" i="2"/>
  <c r="AU128" i="2"/>
  <c r="H128" i="2" s="1"/>
  <c r="J128" i="2" s="1"/>
  <c r="AT128" i="2"/>
  <c r="AS128" i="2"/>
  <c r="AR128" i="2"/>
  <c r="AQ128" i="2"/>
  <c r="AP128" i="2"/>
  <c r="K128" i="2" s="1"/>
  <c r="AO128" i="2"/>
  <c r="AN128" i="2"/>
  <c r="AM128" i="2"/>
  <c r="AL128" i="2"/>
  <c r="AK128" i="2"/>
  <c r="AJ128" i="2"/>
  <c r="I128" i="2"/>
  <c r="G128" i="2"/>
  <c r="F128" i="2"/>
  <c r="BB127" i="2"/>
  <c r="I127" i="2" s="1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K127" i="2" s="1"/>
  <c r="AO127" i="2"/>
  <c r="AN127" i="2"/>
  <c r="AM127" i="2"/>
  <c r="AL127" i="2"/>
  <c r="AK127" i="2"/>
  <c r="AJ127" i="2"/>
  <c r="H127" i="2"/>
  <c r="J127" i="2" s="1"/>
  <c r="G127" i="2"/>
  <c r="F127" i="2"/>
  <c r="BB126" i="2"/>
  <c r="I126" i="2" s="1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K126" i="2" s="1"/>
  <c r="AO126" i="2"/>
  <c r="AN126" i="2"/>
  <c r="AM126" i="2"/>
  <c r="AL126" i="2"/>
  <c r="AK126" i="2"/>
  <c r="AJ126" i="2"/>
  <c r="H126" i="2"/>
  <c r="G126" i="2"/>
  <c r="F126" i="2"/>
  <c r="BB125" i="2"/>
  <c r="I125" i="2" s="1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K125" i="2" s="1"/>
  <c r="AO125" i="2"/>
  <c r="AN125" i="2"/>
  <c r="AM125" i="2"/>
  <c r="AL125" i="2"/>
  <c r="AK125" i="2"/>
  <c r="AJ125" i="2"/>
  <c r="H125" i="2"/>
  <c r="J125" i="2" s="1"/>
  <c r="G125" i="2"/>
  <c r="F125" i="2"/>
  <c r="BB124" i="2"/>
  <c r="BA124" i="2"/>
  <c r="AZ124" i="2"/>
  <c r="AY124" i="2"/>
  <c r="AX124" i="2"/>
  <c r="AW124" i="2"/>
  <c r="AV124" i="2"/>
  <c r="AU124" i="2"/>
  <c r="H124" i="2" s="1"/>
  <c r="J124" i="2" s="1"/>
  <c r="AT124" i="2"/>
  <c r="AS124" i="2"/>
  <c r="AR124" i="2"/>
  <c r="AQ124" i="2"/>
  <c r="AP124" i="2"/>
  <c r="K124" i="2" s="1"/>
  <c r="AO124" i="2"/>
  <c r="AN124" i="2"/>
  <c r="AM124" i="2"/>
  <c r="AL124" i="2"/>
  <c r="AK124" i="2"/>
  <c r="AJ124" i="2"/>
  <c r="I124" i="2"/>
  <c r="G124" i="2"/>
  <c r="F124" i="2"/>
  <c r="BB123" i="2"/>
  <c r="I123" i="2" s="1"/>
  <c r="J123" i="2" s="1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K123" i="2" s="1"/>
  <c r="AO123" i="2"/>
  <c r="AN123" i="2"/>
  <c r="AM123" i="2"/>
  <c r="AL123" i="2"/>
  <c r="AK123" i="2"/>
  <c r="AJ123" i="2"/>
  <c r="H123" i="2"/>
  <c r="G123" i="2"/>
  <c r="F123" i="2"/>
  <c r="BB122" i="2"/>
  <c r="BA122" i="2"/>
  <c r="AZ122" i="2"/>
  <c r="AY122" i="2"/>
  <c r="AX122" i="2"/>
  <c r="AW122" i="2"/>
  <c r="AV122" i="2"/>
  <c r="AU122" i="2"/>
  <c r="H122" i="2" s="1"/>
  <c r="J122" i="2" s="1"/>
  <c r="AT122" i="2"/>
  <c r="AS122" i="2"/>
  <c r="AR122" i="2"/>
  <c r="AQ122" i="2"/>
  <c r="AP122" i="2"/>
  <c r="AO122" i="2"/>
  <c r="AN122" i="2"/>
  <c r="AM122" i="2"/>
  <c r="AL122" i="2"/>
  <c r="AK122" i="2"/>
  <c r="AJ122" i="2"/>
  <c r="K122" i="2"/>
  <c r="I122" i="2"/>
  <c r="G122" i="2"/>
  <c r="F122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K121" i="2" s="1"/>
  <c r="AO121" i="2"/>
  <c r="AN121" i="2"/>
  <c r="AM121" i="2"/>
  <c r="AL121" i="2"/>
  <c r="AK121" i="2"/>
  <c r="AJ121" i="2"/>
  <c r="J121" i="2"/>
  <c r="I121" i="2"/>
  <c r="H121" i="2"/>
  <c r="G121" i="2"/>
  <c r="F121" i="2"/>
  <c r="BB120" i="2"/>
  <c r="I120" i="2" s="1"/>
  <c r="BA120" i="2"/>
  <c r="AZ120" i="2"/>
  <c r="AY120" i="2"/>
  <c r="AX120" i="2"/>
  <c r="AW120" i="2"/>
  <c r="AV120" i="2"/>
  <c r="AU120" i="2"/>
  <c r="H120" i="2" s="1"/>
  <c r="AT120" i="2"/>
  <c r="AS120" i="2"/>
  <c r="AR120" i="2"/>
  <c r="AQ120" i="2"/>
  <c r="AP120" i="2"/>
  <c r="K120" i="2" s="1"/>
  <c r="AO120" i="2"/>
  <c r="AN120" i="2"/>
  <c r="AM120" i="2"/>
  <c r="AL120" i="2"/>
  <c r="AK120" i="2"/>
  <c r="AJ120" i="2"/>
  <c r="G120" i="2"/>
  <c r="F120" i="2"/>
  <c r="BB119" i="2"/>
  <c r="I119" i="2" s="1"/>
  <c r="BA119" i="2"/>
  <c r="AZ119" i="2"/>
  <c r="AY119" i="2"/>
  <c r="AX119" i="2"/>
  <c r="AW119" i="2"/>
  <c r="AV119" i="2"/>
  <c r="AU119" i="2"/>
  <c r="H119" i="2" s="1"/>
  <c r="J119" i="2" s="1"/>
  <c r="AT119" i="2"/>
  <c r="AS119" i="2"/>
  <c r="AR119" i="2"/>
  <c r="AQ119" i="2"/>
  <c r="AP119" i="2"/>
  <c r="K119" i="2" s="1"/>
  <c r="AO119" i="2"/>
  <c r="AN119" i="2"/>
  <c r="AM119" i="2"/>
  <c r="AL119" i="2"/>
  <c r="AK119" i="2"/>
  <c r="AJ119" i="2"/>
  <c r="G119" i="2"/>
  <c r="F119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K118" i="2"/>
  <c r="I118" i="2"/>
  <c r="H118" i="2"/>
  <c r="J118" i="2" s="1"/>
  <c r="G118" i="2"/>
  <c r="F118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K117" i="2" s="1"/>
  <c r="AO117" i="2"/>
  <c r="AN117" i="2"/>
  <c r="AM117" i="2"/>
  <c r="AL117" i="2"/>
  <c r="AK117" i="2"/>
  <c r="AJ117" i="2"/>
  <c r="I117" i="2"/>
  <c r="H117" i="2"/>
  <c r="J117" i="2" s="1"/>
  <c r="G117" i="2"/>
  <c r="F117" i="2"/>
  <c r="BB116" i="2"/>
  <c r="BA116" i="2"/>
  <c r="AZ116" i="2"/>
  <c r="AY116" i="2"/>
  <c r="AX116" i="2"/>
  <c r="AW116" i="2"/>
  <c r="AV116" i="2"/>
  <c r="AU116" i="2"/>
  <c r="H116" i="2" s="1"/>
  <c r="AT116" i="2"/>
  <c r="AS116" i="2"/>
  <c r="AR116" i="2"/>
  <c r="AQ116" i="2"/>
  <c r="AP116" i="2"/>
  <c r="AO116" i="2"/>
  <c r="AN116" i="2"/>
  <c r="AM116" i="2"/>
  <c r="AL116" i="2"/>
  <c r="AK116" i="2"/>
  <c r="AJ116" i="2"/>
  <c r="K116" i="2"/>
  <c r="I116" i="2"/>
  <c r="J116" i="2" s="1"/>
  <c r="G116" i="2"/>
  <c r="F116" i="2"/>
  <c r="BB115" i="2"/>
  <c r="I115" i="2" s="1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K115" i="2"/>
  <c r="H115" i="2"/>
  <c r="J115" i="2" s="1"/>
  <c r="G115" i="2"/>
  <c r="F115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K114" i="2"/>
  <c r="I114" i="2"/>
  <c r="H114" i="2"/>
  <c r="J114" i="2" s="1"/>
  <c r="G114" i="2"/>
  <c r="F114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K113" i="2" s="1"/>
  <c r="AO113" i="2"/>
  <c r="AN113" i="2"/>
  <c r="AM113" i="2"/>
  <c r="AL113" i="2"/>
  <c r="AK113" i="2"/>
  <c r="AJ113" i="2"/>
  <c r="I113" i="2"/>
  <c r="H113" i="2"/>
  <c r="J113" i="2" s="1"/>
  <c r="G113" i="2"/>
  <c r="F113" i="2"/>
  <c r="BB112" i="2"/>
  <c r="BA112" i="2"/>
  <c r="AZ112" i="2"/>
  <c r="AY112" i="2"/>
  <c r="AX112" i="2"/>
  <c r="AW112" i="2"/>
  <c r="AV112" i="2"/>
  <c r="AU112" i="2"/>
  <c r="H112" i="2" s="1"/>
  <c r="J112" i="2" s="1"/>
  <c r="AT112" i="2"/>
  <c r="AS112" i="2"/>
  <c r="AR112" i="2"/>
  <c r="AQ112" i="2"/>
  <c r="AP112" i="2"/>
  <c r="K112" i="2" s="1"/>
  <c r="AO112" i="2"/>
  <c r="AN112" i="2"/>
  <c r="AM112" i="2"/>
  <c r="AL112" i="2"/>
  <c r="AK112" i="2"/>
  <c r="AJ112" i="2"/>
  <c r="I112" i="2"/>
  <c r="G112" i="2"/>
  <c r="F112" i="2"/>
  <c r="BB111" i="2"/>
  <c r="I111" i="2" s="1"/>
  <c r="BA111" i="2"/>
  <c r="AZ111" i="2"/>
  <c r="AY111" i="2"/>
  <c r="AX111" i="2"/>
  <c r="AW111" i="2"/>
  <c r="AV111" i="2"/>
  <c r="AU111" i="2"/>
  <c r="H111" i="2" s="1"/>
  <c r="AT111" i="2"/>
  <c r="AS111" i="2"/>
  <c r="AR111" i="2"/>
  <c r="AQ111" i="2"/>
  <c r="AP111" i="2"/>
  <c r="AO111" i="2"/>
  <c r="AN111" i="2"/>
  <c r="AM111" i="2"/>
  <c r="AL111" i="2"/>
  <c r="AK111" i="2"/>
  <c r="AJ111" i="2"/>
  <c r="K111" i="2"/>
  <c r="G111" i="2"/>
  <c r="F111" i="2"/>
  <c r="BB110" i="2"/>
  <c r="BA110" i="2"/>
  <c r="AZ110" i="2"/>
  <c r="AY110" i="2"/>
  <c r="AX110" i="2"/>
  <c r="AW110" i="2"/>
  <c r="AV110" i="2"/>
  <c r="AU110" i="2"/>
  <c r="H110" i="2" s="1"/>
  <c r="J110" i="2" s="1"/>
  <c r="AT110" i="2"/>
  <c r="AS110" i="2"/>
  <c r="AR110" i="2"/>
  <c r="AQ110" i="2"/>
  <c r="AP110" i="2"/>
  <c r="AO110" i="2"/>
  <c r="AN110" i="2"/>
  <c r="AM110" i="2"/>
  <c r="AL110" i="2"/>
  <c r="AK110" i="2"/>
  <c r="AJ110" i="2"/>
  <c r="K110" i="2"/>
  <c r="I110" i="2"/>
  <c r="G110" i="2"/>
  <c r="F110" i="2"/>
  <c r="BB109" i="2"/>
  <c r="I109" i="2" s="1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K109" i="2" s="1"/>
  <c r="AO109" i="2"/>
  <c r="AN109" i="2"/>
  <c r="AM109" i="2"/>
  <c r="AL109" i="2"/>
  <c r="AK109" i="2"/>
  <c r="AJ109" i="2"/>
  <c r="H109" i="2"/>
  <c r="J109" i="2" s="1"/>
  <c r="G109" i="2"/>
  <c r="F109" i="2"/>
  <c r="BB108" i="2"/>
  <c r="BA108" i="2"/>
  <c r="AZ108" i="2"/>
  <c r="AY108" i="2"/>
  <c r="AX108" i="2"/>
  <c r="AW108" i="2"/>
  <c r="AV108" i="2"/>
  <c r="AU108" i="2"/>
  <c r="H108" i="2" s="1"/>
  <c r="J108" i="2" s="1"/>
  <c r="AT108" i="2"/>
  <c r="AS108" i="2"/>
  <c r="AR108" i="2"/>
  <c r="AQ108" i="2"/>
  <c r="AP108" i="2"/>
  <c r="K108" i="2" s="1"/>
  <c r="AO108" i="2"/>
  <c r="AN108" i="2"/>
  <c r="AM108" i="2"/>
  <c r="AL108" i="2"/>
  <c r="AK108" i="2"/>
  <c r="AJ108" i="2"/>
  <c r="I108" i="2"/>
  <c r="G108" i="2"/>
  <c r="F108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K107" i="2" s="1"/>
  <c r="AO107" i="2"/>
  <c r="AN107" i="2"/>
  <c r="AM107" i="2"/>
  <c r="AL107" i="2"/>
  <c r="AK107" i="2"/>
  <c r="AJ107" i="2"/>
  <c r="J107" i="2"/>
  <c r="I107" i="2"/>
  <c r="H107" i="2"/>
  <c r="G107" i="2"/>
  <c r="F107" i="2"/>
  <c r="BB106" i="2"/>
  <c r="BA106" i="2"/>
  <c r="AZ106" i="2"/>
  <c r="AY106" i="2"/>
  <c r="AX106" i="2"/>
  <c r="AW106" i="2"/>
  <c r="AV106" i="2"/>
  <c r="AU106" i="2"/>
  <c r="H106" i="2" s="1"/>
  <c r="J106" i="2" s="1"/>
  <c r="AT106" i="2"/>
  <c r="AS106" i="2"/>
  <c r="AR106" i="2"/>
  <c r="AQ106" i="2"/>
  <c r="AP106" i="2"/>
  <c r="AO106" i="2"/>
  <c r="AN106" i="2"/>
  <c r="AM106" i="2"/>
  <c r="AL106" i="2"/>
  <c r="AK106" i="2"/>
  <c r="AJ106" i="2"/>
  <c r="K106" i="2"/>
  <c r="I106" i="2"/>
  <c r="G106" i="2"/>
  <c r="F106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K105" i="2" s="1"/>
  <c r="AO105" i="2"/>
  <c r="AN105" i="2"/>
  <c r="AM105" i="2"/>
  <c r="AL105" i="2"/>
  <c r="AK105" i="2"/>
  <c r="AJ105" i="2"/>
  <c r="J105" i="2"/>
  <c r="I105" i="2"/>
  <c r="H105" i="2"/>
  <c r="G105" i="2"/>
  <c r="BB104" i="2"/>
  <c r="BA104" i="2"/>
  <c r="AZ104" i="2"/>
  <c r="AY104" i="2"/>
  <c r="AX104" i="2"/>
  <c r="AW104" i="2"/>
  <c r="AV104" i="2"/>
  <c r="AN104" i="2"/>
  <c r="AM104" i="2"/>
  <c r="AL104" i="2"/>
  <c r="AK104" i="2"/>
  <c r="AJ104" i="2"/>
  <c r="K104" i="2"/>
  <c r="I104" i="2"/>
  <c r="J104" i="2" s="1"/>
  <c r="H104" i="2"/>
  <c r="G104" i="2"/>
  <c r="F104" i="2"/>
  <c r="BB103" i="2"/>
  <c r="I103" i="2" s="1"/>
  <c r="BA103" i="2"/>
  <c r="AZ103" i="2"/>
  <c r="AY103" i="2"/>
  <c r="AX103" i="2"/>
  <c r="AW103" i="2"/>
  <c r="AV103" i="2"/>
  <c r="AU103" i="2"/>
  <c r="H103" i="2" s="1"/>
  <c r="J103" i="2" s="1"/>
  <c r="AT103" i="2"/>
  <c r="AS103" i="2"/>
  <c r="AR103" i="2"/>
  <c r="AQ103" i="2"/>
  <c r="AP103" i="2"/>
  <c r="AO103" i="2"/>
  <c r="AN103" i="2"/>
  <c r="AM103" i="2"/>
  <c r="AL103" i="2"/>
  <c r="AK103" i="2"/>
  <c r="AJ103" i="2"/>
  <c r="K103" i="2"/>
  <c r="G103" i="2"/>
  <c r="F103" i="2"/>
  <c r="BB102" i="2"/>
  <c r="BA102" i="2"/>
  <c r="AZ102" i="2"/>
  <c r="AY102" i="2"/>
  <c r="AX102" i="2"/>
  <c r="AW102" i="2"/>
  <c r="AV102" i="2"/>
  <c r="AU102" i="2"/>
  <c r="H102" i="2" s="1"/>
  <c r="J102" i="2" s="1"/>
  <c r="AT102" i="2"/>
  <c r="AS102" i="2"/>
  <c r="AR102" i="2"/>
  <c r="AQ102" i="2"/>
  <c r="AP102" i="2"/>
  <c r="AO102" i="2"/>
  <c r="AN102" i="2"/>
  <c r="AM102" i="2"/>
  <c r="AL102" i="2"/>
  <c r="AK102" i="2"/>
  <c r="AJ102" i="2"/>
  <c r="K102" i="2"/>
  <c r="I102" i="2"/>
  <c r="G102" i="2"/>
  <c r="F102" i="2"/>
  <c r="BB101" i="2"/>
  <c r="I101" i="2" s="1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K101" i="2" s="1"/>
  <c r="AO101" i="2"/>
  <c r="AN101" i="2"/>
  <c r="AM101" i="2"/>
  <c r="AL101" i="2"/>
  <c r="AK101" i="2"/>
  <c r="AJ101" i="2"/>
  <c r="H101" i="2"/>
  <c r="J101" i="2" s="1"/>
  <c r="G101" i="2"/>
  <c r="F101" i="2"/>
  <c r="BB100" i="2"/>
  <c r="BA100" i="2"/>
  <c r="AZ100" i="2"/>
  <c r="AY100" i="2"/>
  <c r="AX100" i="2"/>
  <c r="AW100" i="2"/>
  <c r="AV100" i="2"/>
  <c r="AU100" i="2"/>
  <c r="H100" i="2" s="1"/>
  <c r="J100" i="2" s="1"/>
  <c r="AT100" i="2"/>
  <c r="AS100" i="2"/>
  <c r="AR100" i="2"/>
  <c r="AQ100" i="2"/>
  <c r="AP100" i="2"/>
  <c r="K100" i="2" s="1"/>
  <c r="AO100" i="2"/>
  <c r="AN100" i="2"/>
  <c r="AM100" i="2"/>
  <c r="AL100" i="2"/>
  <c r="AK100" i="2"/>
  <c r="AJ100" i="2"/>
  <c r="I100" i="2"/>
  <c r="G100" i="2"/>
  <c r="F100" i="2"/>
  <c r="BB99" i="2"/>
  <c r="I99" i="2" s="1"/>
  <c r="J99" i="2" s="1"/>
  <c r="BA99" i="2"/>
  <c r="AZ99" i="2"/>
  <c r="AY99" i="2"/>
  <c r="AX99" i="2"/>
  <c r="AW99" i="2"/>
  <c r="AV99" i="2"/>
  <c r="AU99" i="2"/>
  <c r="AT99" i="2"/>
  <c r="AS99" i="2"/>
  <c r="AR99" i="2"/>
  <c r="AQ99" i="2"/>
  <c r="AP99" i="2"/>
  <c r="K99" i="2" s="1"/>
  <c r="AO99" i="2"/>
  <c r="AN99" i="2"/>
  <c r="AM99" i="2"/>
  <c r="AL99" i="2"/>
  <c r="AK99" i="2"/>
  <c r="AJ99" i="2"/>
  <c r="H99" i="2"/>
  <c r="G99" i="2"/>
  <c r="F99" i="2"/>
  <c r="BB98" i="2"/>
  <c r="BA98" i="2"/>
  <c r="AZ98" i="2"/>
  <c r="AY98" i="2"/>
  <c r="AX98" i="2"/>
  <c r="AW98" i="2"/>
  <c r="AV98" i="2"/>
  <c r="AU98" i="2"/>
  <c r="H98" i="2" s="1"/>
  <c r="J98" i="2" s="1"/>
  <c r="AT98" i="2"/>
  <c r="AS98" i="2"/>
  <c r="AR98" i="2"/>
  <c r="AQ98" i="2"/>
  <c r="AP98" i="2"/>
  <c r="AO98" i="2"/>
  <c r="AN98" i="2"/>
  <c r="AM98" i="2"/>
  <c r="AL98" i="2"/>
  <c r="AK98" i="2"/>
  <c r="AJ98" i="2"/>
  <c r="K98" i="2"/>
  <c r="I98" i="2"/>
  <c r="G98" i="2"/>
  <c r="F98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K97" i="2" s="1"/>
  <c r="AO97" i="2"/>
  <c r="AN97" i="2"/>
  <c r="AM97" i="2"/>
  <c r="AL97" i="2"/>
  <c r="AK97" i="2"/>
  <c r="AJ97" i="2"/>
  <c r="J97" i="2"/>
  <c r="I97" i="2"/>
  <c r="H97" i="2"/>
  <c r="G97" i="2"/>
  <c r="F97" i="2"/>
  <c r="BB96" i="2"/>
  <c r="I96" i="2" s="1"/>
  <c r="BA96" i="2"/>
  <c r="AZ96" i="2"/>
  <c r="AY96" i="2"/>
  <c r="AX96" i="2"/>
  <c r="AW96" i="2"/>
  <c r="AV96" i="2"/>
  <c r="AU96" i="2"/>
  <c r="H96" i="2" s="1"/>
  <c r="J96" i="2" s="1"/>
  <c r="AT96" i="2"/>
  <c r="AS96" i="2"/>
  <c r="AR96" i="2"/>
  <c r="AQ96" i="2"/>
  <c r="AP96" i="2"/>
  <c r="K96" i="2" s="1"/>
  <c r="AO96" i="2"/>
  <c r="AN96" i="2"/>
  <c r="AM96" i="2"/>
  <c r="AL96" i="2"/>
  <c r="AK96" i="2"/>
  <c r="AJ96" i="2"/>
  <c r="G96" i="2"/>
  <c r="F96" i="2"/>
  <c r="BB95" i="2"/>
  <c r="I95" i="2" s="1"/>
  <c r="BA95" i="2"/>
  <c r="AZ95" i="2"/>
  <c r="AY95" i="2"/>
  <c r="AX95" i="2"/>
  <c r="AW95" i="2"/>
  <c r="AV95" i="2"/>
  <c r="AU95" i="2"/>
  <c r="H95" i="2" s="1"/>
  <c r="J95" i="2" s="1"/>
  <c r="AT95" i="2"/>
  <c r="AS95" i="2"/>
  <c r="AR95" i="2"/>
  <c r="AQ95" i="2"/>
  <c r="AP95" i="2"/>
  <c r="K95" i="2" s="1"/>
  <c r="AO95" i="2"/>
  <c r="AN95" i="2"/>
  <c r="AM95" i="2"/>
  <c r="AL95" i="2"/>
  <c r="AK95" i="2"/>
  <c r="AJ95" i="2"/>
  <c r="G95" i="2"/>
  <c r="F95" i="2"/>
  <c r="BB94" i="2"/>
  <c r="I94" i="2" s="1"/>
  <c r="BA94" i="2"/>
  <c r="AZ94" i="2"/>
  <c r="AY94" i="2"/>
  <c r="AX94" i="2"/>
  <c r="AW94" i="2"/>
  <c r="AV94" i="2"/>
  <c r="AU94" i="2"/>
  <c r="H94" i="2" s="1"/>
  <c r="J94" i="2" s="1"/>
  <c r="AT94" i="2"/>
  <c r="AS94" i="2"/>
  <c r="AR94" i="2"/>
  <c r="AQ94" i="2"/>
  <c r="AP94" i="2"/>
  <c r="K94" i="2" s="1"/>
  <c r="AO94" i="2"/>
  <c r="AN94" i="2"/>
  <c r="AM94" i="2"/>
  <c r="AL94" i="2"/>
  <c r="AK94" i="2"/>
  <c r="AJ94" i="2"/>
  <c r="G94" i="2"/>
  <c r="F94" i="2"/>
  <c r="BB93" i="2"/>
  <c r="I93" i="2" s="1"/>
  <c r="BA93" i="2"/>
  <c r="AZ93" i="2"/>
  <c r="AY93" i="2"/>
  <c r="AX93" i="2"/>
  <c r="AW93" i="2"/>
  <c r="AV93" i="2"/>
  <c r="AU93" i="2"/>
  <c r="AT93" i="2"/>
  <c r="AS93" i="2"/>
  <c r="AR93" i="2"/>
  <c r="AQ93" i="2"/>
  <c r="AP93" i="2"/>
  <c r="K93" i="2" s="1"/>
  <c r="AO93" i="2"/>
  <c r="AN93" i="2"/>
  <c r="AM93" i="2"/>
  <c r="AL93" i="2"/>
  <c r="AK93" i="2"/>
  <c r="AJ93" i="2"/>
  <c r="H93" i="2"/>
  <c r="G93" i="2"/>
  <c r="F93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K92" i="2" s="1"/>
  <c r="AO92" i="2"/>
  <c r="AN92" i="2"/>
  <c r="AM92" i="2"/>
  <c r="AL92" i="2"/>
  <c r="AK92" i="2"/>
  <c r="AJ92" i="2"/>
  <c r="I92" i="2"/>
  <c r="H92" i="2"/>
  <c r="G92" i="2"/>
  <c r="F92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K91" i="2" s="1"/>
  <c r="AO91" i="2"/>
  <c r="AN91" i="2"/>
  <c r="AM91" i="2"/>
  <c r="AL91" i="2"/>
  <c r="AK91" i="2"/>
  <c r="AJ91" i="2"/>
  <c r="I91" i="2"/>
  <c r="H91" i="2"/>
  <c r="G91" i="2"/>
  <c r="F91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K90" i="2" s="1"/>
  <c r="AO90" i="2"/>
  <c r="AN90" i="2"/>
  <c r="AM90" i="2"/>
  <c r="AL90" i="2"/>
  <c r="AK90" i="2"/>
  <c r="AJ90" i="2"/>
  <c r="I90" i="2"/>
  <c r="H90" i="2"/>
  <c r="G90" i="2"/>
  <c r="F90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K89" i="2" s="1"/>
  <c r="AO89" i="2"/>
  <c r="AN89" i="2"/>
  <c r="AM89" i="2"/>
  <c r="AL89" i="2"/>
  <c r="AK89" i="2"/>
  <c r="AJ89" i="2"/>
  <c r="I89" i="2"/>
  <c r="H89" i="2"/>
  <c r="G89" i="2"/>
  <c r="F89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K88" i="2" s="1"/>
  <c r="AO88" i="2"/>
  <c r="AN88" i="2"/>
  <c r="AM88" i="2"/>
  <c r="AL88" i="2"/>
  <c r="AK88" i="2"/>
  <c r="AJ88" i="2"/>
  <c r="I88" i="2"/>
  <c r="H88" i="2"/>
  <c r="G88" i="2"/>
  <c r="F88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K87" i="2" s="1"/>
  <c r="AO87" i="2"/>
  <c r="AN87" i="2"/>
  <c r="AM87" i="2"/>
  <c r="AL87" i="2"/>
  <c r="AK87" i="2"/>
  <c r="AJ87" i="2"/>
  <c r="I87" i="2"/>
  <c r="H87" i="2"/>
  <c r="G87" i="2"/>
  <c r="F87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K86" i="2" s="1"/>
  <c r="AO86" i="2"/>
  <c r="AN86" i="2"/>
  <c r="AM86" i="2"/>
  <c r="AL86" i="2"/>
  <c r="AK86" i="2"/>
  <c r="AJ86" i="2"/>
  <c r="I86" i="2"/>
  <c r="H86" i="2"/>
  <c r="G86" i="2"/>
  <c r="F86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K85" i="2" s="1"/>
  <c r="AO85" i="2"/>
  <c r="AN85" i="2"/>
  <c r="AM85" i="2"/>
  <c r="AL85" i="2"/>
  <c r="AK85" i="2"/>
  <c r="AJ85" i="2"/>
  <c r="I85" i="2"/>
  <c r="H85" i="2"/>
  <c r="G85" i="2"/>
  <c r="F85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K84" i="2" s="1"/>
  <c r="AO84" i="2"/>
  <c r="AN84" i="2"/>
  <c r="AM84" i="2"/>
  <c r="AL84" i="2"/>
  <c r="AK84" i="2"/>
  <c r="AJ84" i="2"/>
  <c r="I84" i="2"/>
  <c r="H84" i="2"/>
  <c r="G84" i="2"/>
  <c r="F84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K83" i="2" s="1"/>
  <c r="AO83" i="2"/>
  <c r="AN83" i="2"/>
  <c r="AM83" i="2"/>
  <c r="AL83" i="2"/>
  <c r="AK83" i="2"/>
  <c r="AJ83" i="2"/>
  <c r="I83" i="2"/>
  <c r="H83" i="2"/>
  <c r="G83" i="2"/>
  <c r="F83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K82" i="2" s="1"/>
  <c r="AO82" i="2"/>
  <c r="AN82" i="2"/>
  <c r="AM82" i="2"/>
  <c r="AL82" i="2"/>
  <c r="AK82" i="2"/>
  <c r="AJ82" i="2"/>
  <c r="I82" i="2"/>
  <c r="H82" i="2"/>
  <c r="G82" i="2"/>
  <c r="F82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K81" i="2" s="1"/>
  <c r="AO81" i="2"/>
  <c r="AN81" i="2"/>
  <c r="AM81" i="2"/>
  <c r="AL81" i="2"/>
  <c r="AK81" i="2"/>
  <c r="AJ81" i="2"/>
  <c r="I81" i="2"/>
  <c r="H81" i="2"/>
  <c r="G81" i="2"/>
  <c r="F81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K80" i="2" s="1"/>
  <c r="AO80" i="2"/>
  <c r="AN80" i="2"/>
  <c r="AM80" i="2"/>
  <c r="AL80" i="2"/>
  <c r="AK80" i="2"/>
  <c r="AJ80" i="2"/>
  <c r="I80" i="2"/>
  <c r="H80" i="2"/>
  <c r="G80" i="2"/>
  <c r="F80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K79" i="2" s="1"/>
  <c r="AO79" i="2"/>
  <c r="AN79" i="2"/>
  <c r="AM79" i="2"/>
  <c r="AL79" i="2"/>
  <c r="AK79" i="2"/>
  <c r="AJ79" i="2"/>
  <c r="I79" i="2"/>
  <c r="H79" i="2"/>
  <c r="G79" i="2"/>
  <c r="F79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K78" i="2" s="1"/>
  <c r="AO78" i="2"/>
  <c r="AN78" i="2"/>
  <c r="AM78" i="2"/>
  <c r="AL78" i="2"/>
  <c r="AK78" i="2"/>
  <c r="AJ78" i="2"/>
  <c r="I78" i="2"/>
  <c r="H78" i="2"/>
  <c r="G78" i="2"/>
  <c r="F78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K77" i="2" s="1"/>
  <c r="AO77" i="2"/>
  <c r="AN77" i="2"/>
  <c r="AM77" i="2"/>
  <c r="AL77" i="2"/>
  <c r="AK77" i="2"/>
  <c r="AJ77" i="2"/>
  <c r="I77" i="2"/>
  <c r="H77" i="2"/>
  <c r="G77" i="2"/>
  <c r="F77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K76" i="2" s="1"/>
  <c r="AO76" i="2"/>
  <c r="AN76" i="2"/>
  <c r="AM76" i="2"/>
  <c r="AL76" i="2"/>
  <c r="AK76" i="2"/>
  <c r="AJ76" i="2"/>
  <c r="I76" i="2"/>
  <c r="H76" i="2"/>
  <c r="G76" i="2"/>
  <c r="F76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K75" i="2" s="1"/>
  <c r="AO75" i="2"/>
  <c r="AN75" i="2"/>
  <c r="AM75" i="2"/>
  <c r="AL75" i="2"/>
  <c r="AK75" i="2"/>
  <c r="AJ75" i="2"/>
  <c r="I75" i="2"/>
  <c r="H75" i="2"/>
  <c r="G75" i="2"/>
  <c r="F75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K74" i="2" s="1"/>
  <c r="AO74" i="2"/>
  <c r="AN74" i="2"/>
  <c r="AM74" i="2"/>
  <c r="AL74" i="2"/>
  <c r="AK74" i="2"/>
  <c r="AJ74" i="2"/>
  <c r="I74" i="2"/>
  <c r="H74" i="2"/>
  <c r="G74" i="2"/>
  <c r="F74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K73" i="2" s="1"/>
  <c r="AO73" i="2"/>
  <c r="AN73" i="2"/>
  <c r="AM73" i="2"/>
  <c r="AL73" i="2"/>
  <c r="AK73" i="2"/>
  <c r="AJ73" i="2"/>
  <c r="I73" i="2"/>
  <c r="H73" i="2"/>
  <c r="G73" i="2"/>
  <c r="F73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K72" i="2" s="1"/>
  <c r="AO72" i="2"/>
  <c r="AN72" i="2"/>
  <c r="AM72" i="2"/>
  <c r="AL72" i="2"/>
  <c r="AK72" i="2"/>
  <c r="AJ72" i="2"/>
  <c r="I72" i="2"/>
  <c r="H72" i="2"/>
  <c r="G72" i="2"/>
  <c r="F72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K71" i="2" s="1"/>
  <c r="AO71" i="2"/>
  <c r="AN71" i="2"/>
  <c r="AM71" i="2"/>
  <c r="AL71" i="2"/>
  <c r="AK71" i="2"/>
  <c r="AJ71" i="2"/>
  <c r="I71" i="2"/>
  <c r="H71" i="2"/>
  <c r="G71" i="2"/>
  <c r="F71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K70" i="2" s="1"/>
  <c r="AO70" i="2"/>
  <c r="AN70" i="2"/>
  <c r="AM70" i="2"/>
  <c r="AL70" i="2"/>
  <c r="AK70" i="2"/>
  <c r="AJ70" i="2"/>
  <c r="I70" i="2"/>
  <c r="H70" i="2"/>
  <c r="G70" i="2"/>
  <c r="F70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K69" i="2" s="1"/>
  <c r="AO69" i="2"/>
  <c r="AN69" i="2"/>
  <c r="AM69" i="2"/>
  <c r="AL69" i="2"/>
  <c r="AK69" i="2"/>
  <c r="AJ69" i="2"/>
  <c r="I69" i="2"/>
  <c r="H69" i="2"/>
  <c r="G69" i="2"/>
  <c r="F69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K68" i="2" s="1"/>
  <c r="AO68" i="2"/>
  <c r="AN68" i="2"/>
  <c r="AM68" i="2"/>
  <c r="AL68" i="2"/>
  <c r="AK68" i="2"/>
  <c r="AJ68" i="2"/>
  <c r="I68" i="2"/>
  <c r="H68" i="2"/>
  <c r="G68" i="2"/>
  <c r="F68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K67" i="2" s="1"/>
  <c r="AO67" i="2"/>
  <c r="AN67" i="2"/>
  <c r="AM67" i="2"/>
  <c r="AL67" i="2"/>
  <c r="AK67" i="2"/>
  <c r="AJ67" i="2"/>
  <c r="I67" i="2"/>
  <c r="H67" i="2"/>
  <c r="G67" i="2"/>
  <c r="F67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K66" i="2" s="1"/>
  <c r="AO66" i="2"/>
  <c r="AN66" i="2"/>
  <c r="AM66" i="2"/>
  <c r="AL66" i="2"/>
  <c r="AK66" i="2"/>
  <c r="AJ66" i="2"/>
  <c r="I66" i="2"/>
  <c r="H66" i="2"/>
  <c r="G66" i="2"/>
  <c r="F66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K65" i="2" s="1"/>
  <c r="AO65" i="2"/>
  <c r="AN65" i="2"/>
  <c r="AM65" i="2"/>
  <c r="AL65" i="2"/>
  <c r="AK65" i="2"/>
  <c r="AJ65" i="2"/>
  <c r="I65" i="2"/>
  <c r="H65" i="2"/>
  <c r="G65" i="2"/>
  <c r="F65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K64" i="2" s="1"/>
  <c r="AO64" i="2"/>
  <c r="AN64" i="2"/>
  <c r="AM64" i="2"/>
  <c r="AL64" i="2"/>
  <c r="AK64" i="2"/>
  <c r="AJ64" i="2"/>
  <c r="I64" i="2"/>
  <c r="H64" i="2"/>
  <c r="G64" i="2"/>
  <c r="F64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K63" i="2" s="1"/>
  <c r="AO63" i="2"/>
  <c r="AN63" i="2"/>
  <c r="AM63" i="2"/>
  <c r="AL63" i="2"/>
  <c r="AK63" i="2"/>
  <c r="AJ63" i="2"/>
  <c r="I63" i="2"/>
  <c r="H63" i="2"/>
  <c r="G63" i="2"/>
  <c r="F63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K62" i="2" s="1"/>
  <c r="AO62" i="2"/>
  <c r="AN62" i="2"/>
  <c r="AM62" i="2"/>
  <c r="AL62" i="2"/>
  <c r="AK62" i="2"/>
  <c r="AJ62" i="2"/>
  <c r="I62" i="2"/>
  <c r="H62" i="2"/>
  <c r="G62" i="2"/>
  <c r="F62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K61" i="2" s="1"/>
  <c r="AO61" i="2"/>
  <c r="AN61" i="2"/>
  <c r="AM61" i="2"/>
  <c r="AL61" i="2"/>
  <c r="AK61" i="2"/>
  <c r="AJ61" i="2"/>
  <c r="I61" i="2"/>
  <c r="H61" i="2"/>
  <c r="G61" i="2"/>
  <c r="F61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K60" i="2" s="1"/>
  <c r="AO60" i="2"/>
  <c r="AN60" i="2"/>
  <c r="AM60" i="2"/>
  <c r="AL60" i="2"/>
  <c r="AK60" i="2"/>
  <c r="AJ60" i="2"/>
  <c r="I60" i="2"/>
  <c r="H60" i="2"/>
  <c r="G60" i="2"/>
  <c r="F60" i="2"/>
  <c r="BB59" i="2"/>
  <c r="I59" i="2" s="1"/>
  <c r="BA59" i="2"/>
  <c r="AZ59" i="2"/>
  <c r="AY59" i="2"/>
  <c r="AX59" i="2"/>
  <c r="AW59" i="2"/>
  <c r="AV59" i="2"/>
  <c r="AU59" i="2"/>
  <c r="AT59" i="2"/>
  <c r="AS59" i="2"/>
  <c r="AR59" i="2"/>
  <c r="AQ59" i="2"/>
  <c r="AP59" i="2"/>
  <c r="K59" i="2" s="1"/>
  <c r="AO59" i="2"/>
  <c r="AN59" i="2"/>
  <c r="AM59" i="2"/>
  <c r="AL59" i="2"/>
  <c r="AK59" i="2"/>
  <c r="AJ59" i="2"/>
  <c r="H59" i="2"/>
  <c r="G59" i="2"/>
  <c r="F59" i="2"/>
  <c r="BB58" i="2"/>
  <c r="I58" i="2" s="1"/>
  <c r="BA58" i="2"/>
  <c r="AZ58" i="2"/>
  <c r="AY58" i="2"/>
  <c r="AX58" i="2"/>
  <c r="AW58" i="2"/>
  <c r="AV58" i="2"/>
  <c r="AU58" i="2"/>
  <c r="AT58" i="2"/>
  <c r="AS58" i="2"/>
  <c r="AR58" i="2"/>
  <c r="AQ58" i="2"/>
  <c r="AP58" i="2"/>
  <c r="K58" i="2" s="1"/>
  <c r="AO58" i="2"/>
  <c r="AN58" i="2"/>
  <c r="AM58" i="2"/>
  <c r="AL58" i="2"/>
  <c r="AK58" i="2"/>
  <c r="AJ58" i="2"/>
  <c r="H58" i="2"/>
  <c r="G58" i="2"/>
  <c r="F58" i="2"/>
  <c r="BB57" i="2"/>
  <c r="I57" i="2" s="1"/>
  <c r="BA57" i="2"/>
  <c r="AZ57" i="2"/>
  <c r="AY57" i="2"/>
  <c r="AX57" i="2"/>
  <c r="AW57" i="2"/>
  <c r="AV57" i="2"/>
  <c r="AU57" i="2"/>
  <c r="AT57" i="2"/>
  <c r="AS57" i="2"/>
  <c r="AR57" i="2"/>
  <c r="AQ57" i="2"/>
  <c r="AP57" i="2"/>
  <c r="K57" i="2" s="1"/>
  <c r="AO57" i="2"/>
  <c r="AN57" i="2"/>
  <c r="AM57" i="2"/>
  <c r="AL57" i="2"/>
  <c r="AK57" i="2"/>
  <c r="AJ57" i="2"/>
  <c r="H57" i="2"/>
  <c r="G57" i="2"/>
  <c r="F57" i="2"/>
  <c r="BB56" i="2"/>
  <c r="I56" i="2" s="1"/>
  <c r="BA56" i="2"/>
  <c r="AZ56" i="2"/>
  <c r="AY56" i="2"/>
  <c r="AX56" i="2"/>
  <c r="AW56" i="2"/>
  <c r="AV56" i="2"/>
  <c r="AU56" i="2"/>
  <c r="AT56" i="2"/>
  <c r="AS56" i="2"/>
  <c r="AR56" i="2"/>
  <c r="AQ56" i="2"/>
  <c r="AP56" i="2"/>
  <c r="K56" i="2" s="1"/>
  <c r="AO56" i="2"/>
  <c r="AN56" i="2"/>
  <c r="AM56" i="2"/>
  <c r="AL56" i="2"/>
  <c r="AK56" i="2"/>
  <c r="AJ56" i="2"/>
  <c r="H56" i="2"/>
  <c r="G56" i="2"/>
  <c r="F56" i="2"/>
  <c r="BB55" i="2"/>
  <c r="I55" i="2" s="1"/>
  <c r="BA55" i="2"/>
  <c r="AZ55" i="2"/>
  <c r="AY55" i="2"/>
  <c r="AX55" i="2"/>
  <c r="AW55" i="2"/>
  <c r="AV55" i="2"/>
  <c r="AU55" i="2"/>
  <c r="AT55" i="2"/>
  <c r="AS55" i="2"/>
  <c r="AR55" i="2"/>
  <c r="AQ55" i="2"/>
  <c r="AP55" i="2"/>
  <c r="K55" i="2" s="1"/>
  <c r="AO55" i="2"/>
  <c r="AN55" i="2"/>
  <c r="AM55" i="2"/>
  <c r="AL55" i="2"/>
  <c r="AK55" i="2"/>
  <c r="AJ55" i="2"/>
  <c r="H55" i="2"/>
  <c r="G55" i="2"/>
  <c r="F55" i="2"/>
  <c r="BB54" i="2"/>
  <c r="I54" i="2" s="1"/>
  <c r="BA54" i="2"/>
  <c r="AZ54" i="2"/>
  <c r="AY54" i="2"/>
  <c r="AX54" i="2"/>
  <c r="AW54" i="2"/>
  <c r="AV54" i="2"/>
  <c r="AU54" i="2"/>
  <c r="AT54" i="2"/>
  <c r="AS54" i="2"/>
  <c r="AR54" i="2"/>
  <c r="AQ54" i="2"/>
  <c r="AP54" i="2"/>
  <c r="K54" i="2" s="1"/>
  <c r="AO54" i="2"/>
  <c r="AN54" i="2"/>
  <c r="AM54" i="2"/>
  <c r="AL54" i="2"/>
  <c r="AK54" i="2"/>
  <c r="AJ54" i="2"/>
  <c r="H54" i="2"/>
  <c r="G54" i="2"/>
  <c r="F54" i="2"/>
  <c r="BB53" i="2"/>
  <c r="I53" i="2" s="1"/>
  <c r="BA53" i="2"/>
  <c r="AZ53" i="2"/>
  <c r="AY53" i="2"/>
  <c r="AX53" i="2"/>
  <c r="AW53" i="2"/>
  <c r="AV53" i="2"/>
  <c r="AU53" i="2"/>
  <c r="AT53" i="2"/>
  <c r="AS53" i="2"/>
  <c r="AR53" i="2"/>
  <c r="AQ53" i="2"/>
  <c r="AP53" i="2"/>
  <c r="K53" i="2" s="1"/>
  <c r="AO53" i="2"/>
  <c r="AN53" i="2"/>
  <c r="AM53" i="2"/>
  <c r="AL53" i="2"/>
  <c r="AK53" i="2"/>
  <c r="AJ53" i="2"/>
  <c r="H53" i="2"/>
  <c r="G53" i="2"/>
  <c r="F53" i="2"/>
  <c r="BB52" i="2"/>
  <c r="I52" i="2" s="1"/>
  <c r="BA52" i="2"/>
  <c r="AZ52" i="2"/>
  <c r="AY52" i="2"/>
  <c r="AX52" i="2"/>
  <c r="AW52" i="2"/>
  <c r="AV52" i="2"/>
  <c r="AU52" i="2"/>
  <c r="AT52" i="2"/>
  <c r="AS52" i="2"/>
  <c r="AR52" i="2"/>
  <c r="AQ52" i="2"/>
  <c r="AP52" i="2"/>
  <c r="K52" i="2" s="1"/>
  <c r="AO52" i="2"/>
  <c r="AN52" i="2"/>
  <c r="AM52" i="2"/>
  <c r="AL52" i="2"/>
  <c r="AK52" i="2"/>
  <c r="AJ52" i="2"/>
  <c r="H52" i="2"/>
  <c r="G52" i="2"/>
  <c r="F52" i="2"/>
  <c r="BB51" i="2"/>
  <c r="I51" i="2" s="1"/>
  <c r="BA51" i="2"/>
  <c r="AZ51" i="2"/>
  <c r="AY51" i="2"/>
  <c r="AX51" i="2"/>
  <c r="AW51" i="2"/>
  <c r="AV51" i="2"/>
  <c r="AU51" i="2"/>
  <c r="AT51" i="2"/>
  <c r="AS51" i="2"/>
  <c r="AR51" i="2"/>
  <c r="AQ51" i="2"/>
  <c r="AP51" i="2"/>
  <c r="K51" i="2" s="1"/>
  <c r="AO51" i="2"/>
  <c r="AN51" i="2"/>
  <c r="AM51" i="2"/>
  <c r="AL51" i="2"/>
  <c r="AK51" i="2"/>
  <c r="AJ51" i="2"/>
  <c r="H51" i="2"/>
  <c r="G51" i="2"/>
  <c r="F51" i="2"/>
  <c r="BB50" i="2"/>
  <c r="I50" i="2" s="1"/>
  <c r="BA50" i="2"/>
  <c r="AZ50" i="2"/>
  <c r="AY50" i="2"/>
  <c r="AX50" i="2"/>
  <c r="AW50" i="2"/>
  <c r="AV50" i="2"/>
  <c r="AU50" i="2"/>
  <c r="AT50" i="2"/>
  <c r="AS50" i="2"/>
  <c r="AR50" i="2"/>
  <c r="AQ50" i="2"/>
  <c r="AP50" i="2"/>
  <c r="K50" i="2" s="1"/>
  <c r="AO50" i="2"/>
  <c r="AN50" i="2"/>
  <c r="AM50" i="2"/>
  <c r="AL50" i="2"/>
  <c r="AK50" i="2"/>
  <c r="AJ50" i="2"/>
  <c r="H50" i="2"/>
  <c r="G50" i="2"/>
  <c r="F50" i="2"/>
  <c r="BB49" i="2"/>
  <c r="I49" i="2" s="1"/>
  <c r="BA49" i="2"/>
  <c r="AZ49" i="2"/>
  <c r="AY49" i="2"/>
  <c r="AX49" i="2"/>
  <c r="AW49" i="2"/>
  <c r="AV49" i="2"/>
  <c r="AU49" i="2"/>
  <c r="AT49" i="2"/>
  <c r="AS49" i="2"/>
  <c r="AR49" i="2"/>
  <c r="AQ49" i="2"/>
  <c r="AP49" i="2"/>
  <c r="K49" i="2" s="1"/>
  <c r="AO49" i="2"/>
  <c r="AN49" i="2"/>
  <c r="AM49" i="2"/>
  <c r="AL49" i="2"/>
  <c r="AK49" i="2"/>
  <c r="AJ49" i="2"/>
  <c r="H49" i="2"/>
  <c r="G49" i="2"/>
  <c r="F49" i="2"/>
  <c r="BB48" i="2"/>
  <c r="I48" i="2" s="1"/>
  <c r="BA48" i="2"/>
  <c r="AZ48" i="2"/>
  <c r="AY48" i="2"/>
  <c r="AX48" i="2"/>
  <c r="AW48" i="2"/>
  <c r="AV48" i="2"/>
  <c r="AU48" i="2"/>
  <c r="AT48" i="2"/>
  <c r="AS48" i="2"/>
  <c r="AR48" i="2"/>
  <c r="AQ48" i="2"/>
  <c r="AP48" i="2"/>
  <c r="K48" i="2" s="1"/>
  <c r="AO48" i="2"/>
  <c r="AN48" i="2"/>
  <c r="AM48" i="2"/>
  <c r="AL48" i="2"/>
  <c r="AK48" i="2"/>
  <c r="AJ48" i="2"/>
  <c r="H48" i="2"/>
  <c r="G48" i="2"/>
  <c r="F48" i="2"/>
  <c r="BB47" i="2"/>
  <c r="I47" i="2" s="1"/>
  <c r="BA47" i="2"/>
  <c r="AZ47" i="2"/>
  <c r="AY47" i="2"/>
  <c r="AX47" i="2"/>
  <c r="AW47" i="2"/>
  <c r="AV47" i="2"/>
  <c r="AU47" i="2"/>
  <c r="AT47" i="2"/>
  <c r="AS47" i="2"/>
  <c r="AR47" i="2"/>
  <c r="AQ47" i="2"/>
  <c r="AP47" i="2"/>
  <c r="K47" i="2" s="1"/>
  <c r="AO47" i="2"/>
  <c r="AN47" i="2"/>
  <c r="AM47" i="2"/>
  <c r="AL47" i="2"/>
  <c r="AK47" i="2"/>
  <c r="AJ47" i="2"/>
  <c r="H47" i="2"/>
  <c r="G47" i="2"/>
  <c r="F47" i="2"/>
  <c r="BB46" i="2"/>
  <c r="I46" i="2" s="1"/>
  <c r="BA46" i="2"/>
  <c r="AZ46" i="2"/>
  <c r="AY46" i="2"/>
  <c r="AX46" i="2"/>
  <c r="AW46" i="2"/>
  <c r="AV46" i="2"/>
  <c r="AU46" i="2"/>
  <c r="AT46" i="2"/>
  <c r="AS46" i="2"/>
  <c r="AR46" i="2"/>
  <c r="AQ46" i="2"/>
  <c r="AP46" i="2"/>
  <c r="K46" i="2" s="1"/>
  <c r="AO46" i="2"/>
  <c r="AN46" i="2"/>
  <c r="AM46" i="2"/>
  <c r="AL46" i="2"/>
  <c r="AK46" i="2"/>
  <c r="AJ46" i="2"/>
  <c r="H46" i="2"/>
  <c r="G46" i="2"/>
  <c r="F46" i="2"/>
  <c r="BB45" i="2"/>
  <c r="I45" i="2" s="1"/>
  <c r="BA45" i="2"/>
  <c r="AZ45" i="2"/>
  <c r="AY45" i="2"/>
  <c r="AX45" i="2"/>
  <c r="AW45" i="2"/>
  <c r="AV45" i="2"/>
  <c r="AU45" i="2"/>
  <c r="AT45" i="2"/>
  <c r="AS45" i="2"/>
  <c r="AR45" i="2"/>
  <c r="AQ45" i="2"/>
  <c r="AP45" i="2"/>
  <c r="K45" i="2" s="1"/>
  <c r="AO45" i="2"/>
  <c r="AN45" i="2"/>
  <c r="AM45" i="2"/>
  <c r="AL45" i="2"/>
  <c r="AK45" i="2"/>
  <c r="AJ45" i="2"/>
  <c r="H45" i="2"/>
  <c r="G45" i="2"/>
  <c r="F45" i="2"/>
  <c r="BB44" i="2"/>
  <c r="I44" i="2" s="1"/>
  <c r="BA44" i="2"/>
  <c r="AZ44" i="2"/>
  <c r="AY44" i="2"/>
  <c r="AX44" i="2"/>
  <c r="AW44" i="2"/>
  <c r="AV44" i="2"/>
  <c r="AU44" i="2"/>
  <c r="AT44" i="2"/>
  <c r="AS44" i="2"/>
  <c r="AR44" i="2"/>
  <c r="AQ44" i="2"/>
  <c r="AP44" i="2"/>
  <c r="K44" i="2" s="1"/>
  <c r="AO44" i="2"/>
  <c r="AN44" i="2"/>
  <c r="AM44" i="2"/>
  <c r="AL44" i="2"/>
  <c r="AK44" i="2"/>
  <c r="AJ44" i="2"/>
  <c r="H44" i="2"/>
  <c r="G44" i="2"/>
  <c r="F44" i="2"/>
  <c r="BB43" i="2"/>
  <c r="I43" i="2" s="1"/>
  <c r="BA43" i="2"/>
  <c r="AZ43" i="2"/>
  <c r="AY43" i="2"/>
  <c r="AX43" i="2"/>
  <c r="AW43" i="2"/>
  <c r="AV43" i="2"/>
  <c r="AU43" i="2"/>
  <c r="AT43" i="2"/>
  <c r="AS43" i="2"/>
  <c r="AR43" i="2"/>
  <c r="AQ43" i="2"/>
  <c r="AP43" i="2"/>
  <c r="K43" i="2" s="1"/>
  <c r="AO43" i="2"/>
  <c r="AN43" i="2"/>
  <c r="AM43" i="2"/>
  <c r="AL43" i="2"/>
  <c r="AK43" i="2"/>
  <c r="AJ43" i="2"/>
  <c r="H43" i="2"/>
  <c r="G43" i="2"/>
  <c r="F43" i="2"/>
  <c r="BB42" i="2"/>
  <c r="I42" i="2" s="1"/>
  <c r="BA42" i="2"/>
  <c r="AZ42" i="2"/>
  <c r="AY42" i="2"/>
  <c r="AX42" i="2"/>
  <c r="AW42" i="2"/>
  <c r="AV42" i="2"/>
  <c r="AU42" i="2"/>
  <c r="AT42" i="2"/>
  <c r="AS42" i="2"/>
  <c r="AR42" i="2"/>
  <c r="AQ42" i="2"/>
  <c r="AP42" i="2"/>
  <c r="K42" i="2" s="1"/>
  <c r="AO42" i="2"/>
  <c r="AN42" i="2"/>
  <c r="AM42" i="2"/>
  <c r="AL42" i="2"/>
  <c r="AK42" i="2"/>
  <c r="AJ42" i="2"/>
  <c r="H42" i="2"/>
  <c r="G42" i="2"/>
  <c r="F42" i="2"/>
  <c r="BB41" i="2"/>
  <c r="I41" i="2" s="1"/>
  <c r="BA41" i="2"/>
  <c r="AZ41" i="2"/>
  <c r="AY41" i="2"/>
  <c r="AX41" i="2"/>
  <c r="AW41" i="2"/>
  <c r="AV41" i="2"/>
  <c r="AU41" i="2"/>
  <c r="AT41" i="2"/>
  <c r="AS41" i="2"/>
  <c r="AR41" i="2"/>
  <c r="AQ41" i="2"/>
  <c r="AP41" i="2"/>
  <c r="K41" i="2" s="1"/>
  <c r="AO41" i="2"/>
  <c r="AN41" i="2"/>
  <c r="AM41" i="2"/>
  <c r="AL41" i="2"/>
  <c r="AK41" i="2"/>
  <c r="AJ41" i="2"/>
  <c r="H41" i="2"/>
  <c r="G41" i="2"/>
  <c r="F41" i="2"/>
  <c r="BB40" i="2"/>
  <c r="I40" i="2" s="1"/>
  <c r="BA40" i="2"/>
  <c r="AZ40" i="2"/>
  <c r="AY40" i="2"/>
  <c r="AX40" i="2"/>
  <c r="AW40" i="2"/>
  <c r="AV40" i="2"/>
  <c r="AU40" i="2"/>
  <c r="AT40" i="2"/>
  <c r="AS40" i="2"/>
  <c r="AR40" i="2"/>
  <c r="AQ40" i="2"/>
  <c r="AP40" i="2"/>
  <c r="K40" i="2" s="1"/>
  <c r="AO40" i="2"/>
  <c r="AN40" i="2"/>
  <c r="AM40" i="2"/>
  <c r="AL40" i="2"/>
  <c r="AK40" i="2"/>
  <c r="AJ40" i="2"/>
  <c r="H40" i="2"/>
  <c r="G40" i="2"/>
  <c r="F40" i="2"/>
  <c r="BB39" i="2"/>
  <c r="I39" i="2" s="1"/>
  <c r="BA39" i="2"/>
  <c r="AZ39" i="2"/>
  <c r="AY39" i="2"/>
  <c r="AX39" i="2"/>
  <c r="AW39" i="2"/>
  <c r="AV39" i="2"/>
  <c r="AU39" i="2"/>
  <c r="AT39" i="2"/>
  <c r="AS39" i="2"/>
  <c r="AR39" i="2"/>
  <c r="AQ39" i="2"/>
  <c r="AP39" i="2"/>
  <c r="K39" i="2" s="1"/>
  <c r="AO39" i="2"/>
  <c r="AN39" i="2"/>
  <c r="AM39" i="2"/>
  <c r="AL39" i="2"/>
  <c r="AK39" i="2"/>
  <c r="AJ39" i="2"/>
  <c r="H39" i="2"/>
  <c r="G39" i="2"/>
  <c r="F39" i="2"/>
  <c r="BB38" i="2"/>
  <c r="I38" i="2" s="1"/>
  <c r="BA38" i="2"/>
  <c r="AZ38" i="2"/>
  <c r="AY38" i="2"/>
  <c r="AX38" i="2"/>
  <c r="AW38" i="2"/>
  <c r="AV38" i="2"/>
  <c r="AU38" i="2"/>
  <c r="AT38" i="2"/>
  <c r="AS38" i="2"/>
  <c r="AR38" i="2"/>
  <c r="AQ38" i="2"/>
  <c r="AP38" i="2"/>
  <c r="K38" i="2" s="1"/>
  <c r="AO38" i="2"/>
  <c r="AN38" i="2"/>
  <c r="AM38" i="2"/>
  <c r="AL38" i="2"/>
  <c r="AK38" i="2"/>
  <c r="AJ38" i="2"/>
  <c r="H38" i="2"/>
  <c r="G38" i="2"/>
  <c r="F38" i="2"/>
  <c r="BB37" i="2"/>
  <c r="I37" i="2" s="1"/>
  <c r="BA37" i="2"/>
  <c r="AZ37" i="2"/>
  <c r="AY37" i="2"/>
  <c r="AX37" i="2"/>
  <c r="AW37" i="2"/>
  <c r="AV37" i="2"/>
  <c r="AU37" i="2"/>
  <c r="AT37" i="2"/>
  <c r="AS37" i="2"/>
  <c r="AR37" i="2"/>
  <c r="AQ37" i="2"/>
  <c r="AP37" i="2"/>
  <c r="K37" i="2" s="1"/>
  <c r="AO37" i="2"/>
  <c r="AN37" i="2"/>
  <c r="AM37" i="2"/>
  <c r="AL37" i="2"/>
  <c r="AK37" i="2"/>
  <c r="AJ37" i="2"/>
  <c r="H37" i="2"/>
  <c r="G37" i="2"/>
  <c r="F37" i="2"/>
  <c r="BB36" i="2"/>
  <c r="I36" i="2" s="1"/>
  <c r="BA36" i="2"/>
  <c r="AZ36" i="2"/>
  <c r="AY36" i="2"/>
  <c r="AX36" i="2"/>
  <c r="AW36" i="2"/>
  <c r="AV36" i="2"/>
  <c r="AU36" i="2"/>
  <c r="AT36" i="2"/>
  <c r="AS36" i="2"/>
  <c r="AR36" i="2"/>
  <c r="AQ36" i="2"/>
  <c r="AP36" i="2"/>
  <c r="K36" i="2" s="1"/>
  <c r="AO36" i="2"/>
  <c r="AN36" i="2"/>
  <c r="AM36" i="2"/>
  <c r="AL36" i="2"/>
  <c r="AK36" i="2"/>
  <c r="AJ36" i="2"/>
  <c r="H36" i="2"/>
  <c r="G36" i="2"/>
  <c r="F36" i="2"/>
  <c r="BB35" i="2"/>
  <c r="I35" i="2" s="1"/>
  <c r="BA35" i="2"/>
  <c r="AZ35" i="2"/>
  <c r="AY35" i="2"/>
  <c r="AX35" i="2"/>
  <c r="AW35" i="2"/>
  <c r="AV35" i="2"/>
  <c r="AU35" i="2"/>
  <c r="AT35" i="2"/>
  <c r="AS35" i="2"/>
  <c r="AR35" i="2"/>
  <c r="AQ35" i="2"/>
  <c r="AP35" i="2"/>
  <c r="K35" i="2" s="1"/>
  <c r="AO35" i="2"/>
  <c r="AN35" i="2"/>
  <c r="AM35" i="2"/>
  <c r="AL35" i="2"/>
  <c r="AK35" i="2"/>
  <c r="AJ35" i="2"/>
  <c r="H35" i="2"/>
  <c r="G35" i="2"/>
  <c r="F35" i="2"/>
  <c r="BB34" i="2"/>
  <c r="I34" i="2" s="1"/>
  <c r="BA34" i="2"/>
  <c r="AZ34" i="2"/>
  <c r="AY34" i="2"/>
  <c r="AX34" i="2"/>
  <c r="AW34" i="2"/>
  <c r="AV34" i="2"/>
  <c r="AU34" i="2"/>
  <c r="AT34" i="2"/>
  <c r="AS34" i="2"/>
  <c r="AR34" i="2"/>
  <c r="AQ34" i="2"/>
  <c r="AP34" i="2"/>
  <c r="K34" i="2" s="1"/>
  <c r="AO34" i="2"/>
  <c r="AN34" i="2"/>
  <c r="AM34" i="2"/>
  <c r="AL34" i="2"/>
  <c r="AK34" i="2"/>
  <c r="AJ34" i="2"/>
  <c r="H34" i="2"/>
  <c r="H323" i="2" s="1"/>
  <c r="G34" i="2"/>
  <c r="G323" i="2" s="1"/>
  <c r="G324" i="2" s="1"/>
  <c r="F34" i="2"/>
  <c r="F323" i="2" s="1"/>
  <c r="BB33" i="2"/>
  <c r="I33" i="2" s="1"/>
  <c r="BA33" i="2"/>
  <c r="AZ33" i="2"/>
  <c r="AY33" i="2"/>
  <c r="AX33" i="2"/>
  <c r="AW33" i="2"/>
  <c r="AV33" i="2"/>
  <c r="AU33" i="2"/>
  <c r="AT33" i="2"/>
  <c r="AS33" i="2"/>
  <c r="AR33" i="2"/>
  <c r="AQ33" i="2"/>
  <c r="AP33" i="2"/>
  <c r="K33" i="2" s="1"/>
  <c r="AO33" i="2"/>
  <c r="AN33" i="2"/>
  <c r="AM33" i="2"/>
  <c r="AL33" i="2"/>
  <c r="AK33" i="2"/>
  <c r="AJ33" i="2"/>
  <c r="H33" i="2"/>
  <c r="G33" i="2"/>
  <c r="F33" i="2"/>
  <c r="BB32" i="2"/>
  <c r="I32" i="2" s="1"/>
  <c r="BA32" i="2"/>
  <c r="AZ32" i="2"/>
  <c r="AY32" i="2"/>
  <c r="AX32" i="2"/>
  <c r="AW32" i="2"/>
  <c r="AV32" i="2"/>
  <c r="AU32" i="2"/>
  <c r="AT32" i="2"/>
  <c r="AS32" i="2"/>
  <c r="AR32" i="2"/>
  <c r="AQ32" i="2"/>
  <c r="AP32" i="2"/>
  <c r="K32" i="2" s="1"/>
  <c r="AO32" i="2"/>
  <c r="AN32" i="2"/>
  <c r="AM32" i="2"/>
  <c r="AL32" i="2"/>
  <c r="AK32" i="2"/>
  <c r="AJ32" i="2"/>
  <c r="H32" i="2"/>
  <c r="G32" i="2"/>
  <c r="F32" i="2"/>
  <c r="BB31" i="2"/>
  <c r="I31" i="2" s="1"/>
  <c r="BA31" i="2"/>
  <c r="AZ31" i="2"/>
  <c r="AY31" i="2"/>
  <c r="AX31" i="2"/>
  <c r="AW31" i="2"/>
  <c r="AV31" i="2"/>
  <c r="AU31" i="2"/>
  <c r="AT31" i="2"/>
  <c r="AS31" i="2"/>
  <c r="AR31" i="2"/>
  <c r="AQ31" i="2"/>
  <c r="AP31" i="2"/>
  <c r="K31" i="2" s="1"/>
  <c r="AO31" i="2"/>
  <c r="AN31" i="2"/>
  <c r="AM31" i="2"/>
  <c r="AL31" i="2"/>
  <c r="AK31" i="2"/>
  <c r="AJ31" i="2"/>
  <c r="H31" i="2"/>
  <c r="G31" i="2"/>
  <c r="F31" i="2"/>
  <c r="BB30" i="2"/>
  <c r="I30" i="2" s="1"/>
  <c r="BA30" i="2"/>
  <c r="AZ30" i="2"/>
  <c r="AY30" i="2"/>
  <c r="AX30" i="2"/>
  <c r="AW30" i="2"/>
  <c r="AV30" i="2"/>
  <c r="AU30" i="2"/>
  <c r="AT30" i="2"/>
  <c r="AS30" i="2"/>
  <c r="AR30" i="2"/>
  <c r="AQ30" i="2"/>
  <c r="AP30" i="2"/>
  <c r="K30" i="2" s="1"/>
  <c r="AO30" i="2"/>
  <c r="AN30" i="2"/>
  <c r="AM30" i="2"/>
  <c r="AL30" i="2"/>
  <c r="AK30" i="2"/>
  <c r="AJ30" i="2"/>
  <c r="H30" i="2"/>
  <c r="G30" i="2"/>
  <c r="F30" i="2"/>
  <c r="BB29" i="2"/>
  <c r="I29" i="2" s="1"/>
  <c r="BA29" i="2"/>
  <c r="AZ29" i="2"/>
  <c r="AY29" i="2"/>
  <c r="AX29" i="2"/>
  <c r="AW29" i="2"/>
  <c r="AV29" i="2"/>
  <c r="AU29" i="2"/>
  <c r="AT29" i="2"/>
  <c r="AS29" i="2"/>
  <c r="AR29" i="2"/>
  <c r="AQ29" i="2"/>
  <c r="AP29" i="2"/>
  <c r="K29" i="2" s="1"/>
  <c r="AO29" i="2"/>
  <c r="AN29" i="2"/>
  <c r="AM29" i="2"/>
  <c r="AL29" i="2"/>
  <c r="AK29" i="2"/>
  <c r="AJ29" i="2"/>
  <c r="H29" i="2"/>
  <c r="G29" i="2"/>
  <c r="F29" i="2"/>
  <c r="BB28" i="2"/>
  <c r="I28" i="2" s="1"/>
  <c r="BA28" i="2"/>
  <c r="AZ28" i="2"/>
  <c r="AY28" i="2"/>
  <c r="AX28" i="2"/>
  <c r="AW28" i="2"/>
  <c r="AV28" i="2"/>
  <c r="AU28" i="2"/>
  <c r="AT28" i="2"/>
  <c r="AS28" i="2"/>
  <c r="AR28" i="2"/>
  <c r="AQ28" i="2"/>
  <c r="AP28" i="2"/>
  <c r="K28" i="2" s="1"/>
  <c r="AO28" i="2"/>
  <c r="AN28" i="2"/>
  <c r="AM28" i="2"/>
  <c r="AL28" i="2"/>
  <c r="AK28" i="2"/>
  <c r="AJ28" i="2"/>
  <c r="H28" i="2"/>
  <c r="G28" i="2"/>
  <c r="F28" i="2"/>
  <c r="BB27" i="2"/>
  <c r="I27" i="2" s="1"/>
  <c r="BA27" i="2"/>
  <c r="AZ27" i="2"/>
  <c r="AY27" i="2"/>
  <c r="AX27" i="2"/>
  <c r="AW27" i="2"/>
  <c r="AV27" i="2"/>
  <c r="AU27" i="2"/>
  <c r="AT27" i="2"/>
  <c r="AS27" i="2"/>
  <c r="AR27" i="2"/>
  <c r="AQ27" i="2"/>
  <c r="AP27" i="2"/>
  <c r="K27" i="2" s="1"/>
  <c r="AO27" i="2"/>
  <c r="AN27" i="2"/>
  <c r="AM27" i="2"/>
  <c r="AL27" i="2"/>
  <c r="AK27" i="2"/>
  <c r="AJ27" i="2"/>
  <c r="H27" i="2"/>
  <c r="G27" i="2"/>
  <c r="F27" i="2"/>
  <c r="BB26" i="2"/>
  <c r="I26" i="2" s="1"/>
  <c r="BA26" i="2"/>
  <c r="AZ26" i="2"/>
  <c r="AY26" i="2"/>
  <c r="AX26" i="2"/>
  <c r="AW26" i="2"/>
  <c r="AV26" i="2"/>
  <c r="AU26" i="2"/>
  <c r="AT26" i="2"/>
  <c r="AS26" i="2"/>
  <c r="AR26" i="2"/>
  <c r="AQ26" i="2"/>
  <c r="AP26" i="2"/>
  <c r="K26" i="2" s="1"/>
  <c r="AO26" i="2"/>
  <c r="AN26" i="2"/>
  <c r="AM26" i="2"/>
  <c r="AL26" i="2"/>
  <c r="AK26" i="2"/>
  <c r="AJ26" i="2"/>
  <c r="H26" i="2"/>
  <c r="G26" i="2"/>
  <c r="F26" i="2"/>
  <c r="BB25" i="2"/>
  <c r="I25" i="2" s="1"/>
  <c r="BA25" i="2"/>
  <c r="AZ25" i="2"/>
  <c r="AY25" i="2"/>
  <c r="AX25" i="2"/>
  <c r="AW25" i="2"/>
  <c r="AV25" i="2"/>
  <c r="AU25" i="2"/>
  <c r="AT25" i="2"/>
  <c r="AS25" i="2"/>
  <c r="AR25" i="2"/>
  <c r="AQ25" i="2"/>
  <c r="AP25" i="2"/>
  <c r="K25" i="2" s="1"/>
  <c r="AO25" i="2"/>
  <c r="AN25" i="2"/>
  <c r="AM25" i="2"/>
  <c r="AL25" i="2"/>
  <c r="AK25" i="2"/>
  <c r="AJ25" i="2"/>
  <c r="H25" i="2"/>
  <c r="G25" i="2"/>
  <c r="F25" i="2"/>
  <c r="BB24" i="2"/>
  <c r="I24" i="2" s="1"/>
  <c r="BA24" i="2"/>
  <c r="AZ24" i="2"/>
  <c r="AY24" i="2"/>
  <c r="AX24" i="2"/>
  <c r="AW24" i="2"/>
  <c r="AV24" i="2"/>
  <c r="AU24" i="2"/>
  <c r="AT24" i="2"/>
  <c r="AS24" i="2"/>
  <c r="AR24" i="2"/>
  <c r="AQ24" i="2"/>
  <c r="AP24" i="2"/>
  <c r="K24" i="2" s="1"/>
  <c r="AO24" i="2"/>
  <c r="AN24" i="2"/>
  <c r="AM24" i="2"/>
  <c r="AL24" i="2"/>
  <c r="AK24" i="2"/>
  <c r="AJ24" i="2"/>
  <c r="H24" i="2"/>
  <c r="G24" i="2"/>
  <c r="F24" i="2"/>
  <c r="BB23" i="2"/>
  <c r="I23" i="2" s="1"/>
  <c r="BA23" i="2"/>
  <c r="AZ23" i="2"/>
  <c r="AY23" i="2"/>
  <c r="AX23" i="2"/>
  <c r="AW23" i="2"/>
  <c r="AV23" i="2"/>
  <c r="AU23" i="2"/>
  <c r="AT23" i="2"/>
  <c r="AS23" i="2"/>
  <c r="AR23" i="2"/>
  <c r="AQ23" i="2"/>
  <c r="AP23" i="2"/>
  <c r="K23" i="2" s="1"/>
  <c r="AO23" i="2"/>
  <c r="AN23" i="2"/>
  <c r="AM23" i="2"/>
  <c r="AL23" i="2"/>
  <c r="AK23" i="2"/>
  <c r="AJ23" i="2"/>
  <c r="H23" i="2"/>
  <c r="G23" i="2"/>
  <c r="F23" i="2"/>
  <c r="BB22" i="2"/>
  <c r="I22" i="2" s="1"/>
  <c r="BA22" i="2"/>
  <c r="AZ22" i="2"/>
  <c r="AY22" i="2"/>
  <c r="AX22" i="2"/>
  <c r="AW22" i="2"/>
  <c r="AV22" i="2"/>
  <c r="AU22" i="2"/>
  <c r="AT22" i="2"/>
  <c r="AS22" i="2"/>
  <c r="AR22" i="2"/>
  <c r="AQ22" i="2"/>
  <c r="AP22" i="2"/>
  <c r="K22" i="2" s="1"/>
  <c r="AO22" i="2"/>
  <c r="AN22" i="2"/>
  <c r="AM22" i="2"/>
  <c r="AL22" i="2"/>
  <c r="AK22" i="2"/>
  <c r="AJ22" i="2"/>
  <c r="H22" i="2"/>
  <c r="G22" i="2"/>
  <c r="F22" i="2"/>
  <c r="BB21" i="2"/>
  <c r="I21" i="2" s="1"/>
  <c r="BA21" i="2"/>
  <c r="AZ21" i="2"/>
  <c r="AY21" i="2"/>
  <c r="AX21" i="2"/>
  <c r="AW21" i="2"/>
  <c r="AV21" i="2"/>
  <c r="AU21" i="2"/>
  <c r="AT21" i="2"/>
  <c r="AS21" i="2"/>
  <c r="AR21" i="2"/>
  <c r="AQ21" i="2"/>
  <c r="AP21" i="2"/>
  <c r="K21" i="2" s="1"/>
  <c r="AO21" i="2"/>
  <c r="AN21" i="2"/>
  <c r="AM21" i="2"/>
  <c r="AL21" i="2"/>
  <c r="AK21" i="2"/>
  <c r="AJ21" i="2"/>
  <c r="H21" i="2"/>
  <c r="G21" i="2"/>
  <c r="F21" i="2"/>
  <c r="BB20" i="2"/>
  <c r="I20" i="2" s="1"/>
  <c r="BA20" i="2"/>
  <c r="AZ20" i="2"/>
  <c r="AY20" i="2"/>
  <c r="AX20" i="2"/>
  <c r="AW20" i="2"/>
  <c r="AV20" i="2"/>
  <c r="AU20" i="2"/>
  <c r="AT20" i="2"/>
  <c r="AS20" i="2"/>
  <c r="AR20" i="2"/>
  <c r="AQ20" i="2"/>
  <c r="AP20" i="2"/>
  <c r="K20" i="2" s="1"/>
  <c r="AO20" i="2"/>
  <c r="AN20" i="2"/>
  <c r="AM20" i="2"/>
  <c r="AL20" i="2"/>
  <c r="AK20" i="2"/>
  <c r="AJ20" i="2"/>
  <c r="H20" i="2"/>
  <c r="H327" i="2" s="1"/>
  <c r="I327" i="2" s="1"/>
  <c r="G20" i="2"/>
  <c r="F20" i="2"/>
  <c r="BB19" i="2"/>
  <c r="I19" i="2" s="1"/>
  <c r="BA19" i="2"/>
  <c r="AZ19" i="2"/>
  <c r="AY19" i="2"/>
  <c r="AX19" i="2"/>
  <c r="AW19" i="2"/>
  <c r="AV19" i="2"/>
  <c r="AU19" i="2"/>
  <c r="AT19" i="2"/>
  <c r="AS19" i="2"/>
  <c r="AR19" i="2"/>
  <c r="AQ19" i="2"/>
  <c r="AP19" i="2"/>
  <c r="K19" i="2" s="1"/>
  <c r="AO19" i="2"/>
  <c r="AN19" i="2"/>
  <c r="AM19" i="2"/>
  <c r="AL19" i="2"/>
  <c r="AK19" i="2"/>
  <c r="AJ19" i="2"/>
  <c r="H19" i="2"/>
  <c r="G19" i="2"/>
  <c r="F19" i="2"/>
  <c r="BB18" i="2"/>
  <c r="I18" i="2" s="1"/>
  <c r="I330" i="2" s="1"/>
  <c r="BA18" i="2"/>
  <c r="AZ18" i="2"/>
  <c r="AY18" i="2"/>
  <c r="AX18" i="2"/>
  <c r="AW18" i="2"/>
  <c r="AV18" i="2"/>
  <c r="AU18" i="2"/>
  <c r="AT18" i="2"/>
  <c r="AS18" i="2"/>
  <c r="AR18" i="2"/>
  <c r="AQ18" i="2"/>
  <c r="AP18" i="2"/>
  <c r="K18" i="2" s="1"/>
  <c r="AO18" i="2"/>
  <c r="AN18" i="2"/>
  <c r="AM18" i="2"/>
  <c r="AL18" i="2"/>
  <c r="AK18" i="2"/>
  <c r="AJ18" i="2"/>
  <c r="H18" i="2"/>
  <c r="H330" i="2" s="1"/>
  <c r="G18" i="2"/>
  <c r="G330" i="2" s="1"/>
  <c r="F18" i="2"/>
  <c r="BB17" i="2"/>
  <c r="I17" i="2" s="1"/>
  <c r="BA17" i="2"/>
  <c r="AZ17" i="2"/>
  <c r="AY17" i="2"/>
  <c r="AX17" i="2"/>
  <c r="AW17" i="2"/>
  <c r="AV17" i="2"/>
  <c r="AU17" i="2"/>
  <c r="AT17" i="2"/>
  <c r="AS17" i="2"/>
  <c r="AR17" i="2"/>
  <c r="AQ17" i="2"/>
  <c r="AP17" i="2"/>
  <c r="K17" i="2" s="1"/>
  <c r="AO17" i="2"/>
  <c r="AN17" i="2"/>
  <c r="AM17" i="2"/>
  <c r="AL17" i="2"/>
  <c r="AK17" i="2"/>
  <c r="AJ17" i="2"/>
  <c r="H17" i="2"/>
  <c r="H335" i="2" s="1"/>
  <c r="G17" i="2"/>
  <c r="F17" i="2"/>
  <c r="BB16" i="2"/>
  <c r="I16" i="2" s="1"/>
  <c r="BA16" i="2"/>
  <c r="AZ16" i="2"/>
  <c r="AY16" i="2"/>
  <c r="AX16" i="2"/>
  <c r="AW16" i="2"/>
  <c r="AV16" i="2"/>
  <c r="AU16" i="2"/>
  <c r="AT16" i="2"/>
  <c r="AS16" i="2"/>
  <c r="AR16" i="2"/>
  <c r="AQ16" i="2"/>
  <c r="AP16" i="2"/>
  <c r="K16" i="2" s="1"/>
  <c r="AO16" i="2"/>
  <c r="AN16" i="2"/>
  <c r="AM16" i="2"/>
  <c r="AL16" i="2"/>
  <c r="AK16" i="2"/>
  <c r="AJ16" i="2"/>
  <c r="H16" i="2"/>
  <c r="G16" i="2"/>
  <c r="F16" i="2"/>
  <c r="BB15" i="2"/>
  <c r="I15" i="2" s="1"/>
  <c r="BA15" i="2"/>
  <c r="AZ15" i="2"/>
  <c r="AY15" i="2"/>
  <c r="AX15" i="2"/>
  <c r="AW15" i="2"/>
  <c r="AV15" i="2"/>
  <c r="AU15" i="2"/>
  <c r="AT15" i="2"/>
  <c r="AS15" i="2"/>
  <c r="AR15" i="2"/>
  <c r="AQ15" i="2"/>
  <c r="AP15" i="2"/>
  <c r="K15" i="2" s="1"/>
  <c r="AO15" i="2"/>
  <c r="AN15" i="2"/>
  <c r="AM15" i="2"/>
  <c r="AL15" i="2"/>
  <c r="AK15" i="2"/>
  <c r="AJ15" i="2"/>
  <c r="H15" i="2"/>
  <c r="G15" i="2"/>
  <c r="F15" i="2"/>
  <c r="BB14" i="2"/>
  <c r="I14" i="2" s="1"/>
  <c r="BA14" i="2"/>
  <c r="AZ14" i="2"/>
  <c r="AY14" i="2"/>
  <c r="AX14" i="2"/>
  <c r="AW14" i="2"/>
  <c r="AV14" i="2"/>
  <c r="AU14" i="2"/>
  <c r="AT14" i="2"/>
  <c r="AS14" i="2"/>
  <c r="AR14" i="2"/>
  <c r="AQ14" i="2"/>
  <c r="AP14" i="2"/>
  <c r="K14" i="2" s="1"/>
  <c r="AO14" i="2"/>
  <c r="AN14" i="2"/>
  <c r="AM14" i="2"/>
  <c r="AL14" i="2"/>
  <c r="AK14" i="2"/>
  <c r="AJ14" i="2"/>
  <c r="H14" i="2"/>
  <c r="G14" i="2"/>
  <c r="F14" i="2"/>
  <c r="BB13" i="2"/>
  <c r="I13" i="2" s="1"/>
  <c r="BA13" i="2"/>
  <c r="AZ13" i="2"/>
  <c r="AY13" i="2"/>
  <c r="AX13" i="2"/>
  <c r="AW13" i="2"/>
  <c r="AV13" i="2"/>
  <c r="AU13" i="2"/>
  <c r="AT13" i="2"/>
  <c r="AS13" i="2"/>
  <c r="AR13" i="2"/>
  <c r="AQ13" i="2"/>
  <c r="AP13" i="2"/>
  <c r="K13" i="2" s="1"/>
  <c r="AO13" i="2"/>
  <c r="AN13" i="2"/>
  <c r="AM13" i="2"/>
  <c r="AL13" i="2"/>
  <c r="AK13" i="2"/>
  <c r="AJ13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K12" i="2"/>
  <c r="I12" i="2"/>
  <c r="H12" i="2"/>
  <c r="G12" i="2"/>
  <c r="F12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K11" i="2"/>
  <c r="I11" i="2"/>
  <c r="H11" i="2"/>
  <c r="G11" i="2"/>
  <c r="F11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K10" i="2"/>
  <c r="I10" i="2"/>
  <c r="H10" i="2"/>
  <c r="G10" i="2"/>
  <c r="F10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K9" i="2"/>
  <c r="I9" i="2"/>
  <c r="H9" i="2"/>
  <c r="G9" i="2"/>
  <c r="F9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K8" i="2"/>
  <c r="I8" i="2"/>
  <c r="H8" i="2"/>
  <c r="G8" i="2"/>
  <c r="F8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K7" i="2"/>
  <c r="I7" i="2"/>
  <c r="H7" i="2"/>
  <c r="G7" i="2"/>
  <c r="F7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K6" i="2"/>
  <c r="I6" i="2"/>
  <c r="H6" i="2"/>
  <c r="G6" i="2"/>
  <c r="F6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K5" i="2"/>
  <c r="I5" i="2"/>
  <c r="H5" i="2"/>
  <c r="G5" i="2"/>
  <c r="F5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K4" i="2"/>
  <c r="I4" i="2"/>
  <c r="H4" i="2"/>
  <c r="G4" i="2"/>
  <c r="F4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K3" i="2"/>
  <c r="I3" i="2"/>
  <c r="H3" i="2"/>
  <c r="G3" i="2"/>
  <c r="F3" i="2"/>
  <c r="BB2" i="2"/>
  <c r="BA2" i="2"/>
  <c r="AZ2" i="2"/>
  <c r="AY2" i="2"/>
  <c r="AX2" i="2"/>
  <c r="AW2" i="2"/>
  <c r="AW319" i="2" s="1"/>
  <c r="AV2" i="2"/>
  <c r="AU2" i="2"/>
  <c r="AT2" i="2"/>
  <c r="AS2" i="2"/>
  <c r="AS319" i="2" s="1"/>
  <c r="AR2" i="2"/>
  <c r="AQ2" i="2"/>
  <c r="AP2" i="2"/>
  <c r="AO2" i="2"/>
  <c r="AN2" i="2"/>
  <c r="AM2" i="2"/>
  <c r="AL2" i="2"/>
  <c r="AK2" i="2"/>
  <c r="AK319" i="2" s="1"/>
  <c r="AJ2" i="2"/>
  <c r="K2" i="2"/>
  <c r="I2" i="2"/>
  <c r="H2" i="2"/>
  <c r="G2" i="2"/>
  <c r="F2" i="2"/>
  <c r="J129" i="2" l="1"/>
  <c r="H369" i="2"/>
  <c r="J153" i="2"/>
  <c r="I433" i="2"/>
  <c r="H361" i="2"/>
  <c r="J145" i="2"/>
  <c r="J111" i="2"/>
  <c r="J319" i="2" s="1"/>
  <c r="J120" i="2"/>
  <c r="H359" i="2"/>
  <c r="J143" i="2"/>
  <c r="H366" i="2"/>
  <c r="J150" i="2"/>
  <c r="H413" i="2"/>
  <c r="J205" i="2"/>
  <c r="J229" i="2"/>
  <c r="H426" i="2"/>
  <c r="H385" i="2"/>
  <c r="J169" i="2"/>
  <c r="J147" i="2"/>
  <c r="H363" i="2"/>
  <c r="H371" i="2"/>
  <c r="J155" i="2"/>
  <c r="H373" i="2"/>
  <c r="J157" i="2"/>
  <c r="H319" i="2"/>
  <c r="AJ319" i="2"/>
  <c r="AV319" i="2"/>
  <c r="G380" i="2"/>
  <c r="J165" i="2"/>
  <c r="J166" i="2"/>
  <c r="H384" i="2"/>
  <c r="J168" i="2"/>
  <c r="J240" i="2"/>
  <c r="J135" i="2"/>
  <c r="J138" i="2"/>
  <c r="G392" i="2"/>
  <c r="H396" i="2"/>
  <c r="J180" i="2"/>
  <c r="H397" i="2"/>
  <c r="J181" i="2"/>
  <c r="G419" i="2"/>
  <c r="AM319" i="2"/>
  <c r="G340" i="2"/>
  <c r="H358" i="2"/>
  <c r="G359" i="2"/>
  <c r="G368" i="2"/>
  <c r="G371" i="2"/>
  <c r="H379" i="2"/>
  <c r="J163" i="2"/>
  <c r="J176" i="2"/>
  <c r="H392" i="2"/>
  <c r="J179" i="2"/>
  <c r="J195" i="2"/>
  <c r="G415" i="2"/>
  <c r="H419" i="2"/>
  <c r="J222" i="2"/>
  <c r="J267" i="2"/>
  <c r="J164" i="2"/>
  <c r="H380" i="2"/>
  <c r="AX319" i="2"/>
  <c r="AN319" i="2"/>
  <c r="F329" i="2"/>
  <c r="G331" i="2" s="1"/>
  <c r="H332" i="2" s="1"/>
  <c r="I333" i="2" s="1"/>
  <c r="F429" i="2"/>
  <c r="J141" i="2"/>
  <c r="G404" i="2"/>
  <c r="J189" i="2"/>
  <c r="J190" i="2"/>
  <c r="J192" i="2"/>
  <c r="G414" i="2"/>
  <c r="J264" i="2"/>
  <c r="J266" i="2"/>
  <c r="AO319" i="2"/>
  <c r="BA319" i="2"/>
  <c r="G429" i="2"/>
  <c r="J142" i="2"/>
  <c r="H360" i="2"/>
  <c r="G361" i="2"/>
  <c r="G366" i="2"/>
  <c r="J151" i="2"/>
  <c r="J152" i="2"/>
  <c r="H368" i="2"/>
  <c r="J154" i="2"/>
  <c r="H372" i="2"/>
  <c r="G373" i="2"/>
  <c r="G377" i="2"/>
  <c r="H378" i="2"/>
  <c r="J162" i="2"/>
  <c r="H391" i="2"/>
  <c r="J175" i="2"/>
  <c r="J188" i="2"/>
  <c r="H404" i="2"/>
  <c r="G413" i="2"/>
  <c r="H414" i="2"/>
  <c r="J207" i="2"/>
  <c r="H415" i="2"/>
  <c r="G416" i="2"/>
  <c r="J183" i="2"/>
  <c r="H399" i="2"/>
  <c r="J223" i="2"/>
  <c r="H420" i="2"/>
  <c r="AL319" i="2"/>
  <c r="AP319" i="2"/>
  <c r="BB319" i="2"/>
  <c r="H429" i="2"/>
  <c r="G374" i="2"/>
  <c r="G375" i="2"/>
  <c r="G376" i="2"/>
  <c r="G390" i="2"/>
  <c r="J202" i="2"/>
  <c r="H412" i="2"/>
  <c r="J204" i="2"/>
  <c r="J220" i="2"/>
  <c r="J285" i="2"/>
  <c r="J287" i="2"/>
  <c r="J302" i="2"/>
  <c r="J255" i="2"/>
  <c r="F319" i="2"/>
  <c r="I429" i="2"/>
  <c r="J159" i="2"/>
  <c r="H375" i="2"/>
  <c r="J161" i="2"/>
  <c r="H390" i="2"/>
  <c r="J174" i="2"/>
  <c r="H403" i="2"/>
  <c r="J187" i="2"/>
  <c r="J200" i="2"/>
  <c r="J203" i="2"/>
  <c r="H416" i="2"/>
  <c r="J219" i="2"/>
  <c r="J246" i="2"/>
  <c r="J259" i="2"/>
  <c r="J282" i="2"/>
  <c r="J301" i="2"/>
  <c r="AY319" i="2"/>
  <c r="AQ319" i="2"/>
  <c r="G319" i="2"/>
  <c r="AR319" i="2"/>
  <c r="G337" i="2"/>
  <c r="G341" i="2"/>
  <c r="J148" i="2"/>
  <c r="J160" i="2"/>
  <c r="H389" i="2"/>
  <c r="G402" i="2"/>
  <c r="J216" i="2"/>
  <c r="J299" i="2"/>
  <c r="J309" i="2"/>
  <c r="J316" i="2"/>
  <c r="J126" i="2"/>
  <c r="J146" i="2"/>
  <c r="J158" i="2"/>
  <c r="H402" i="2"/>
  <c r="J186" i="2"/>
  <c r="J258" i="2"/>
  <c r="I319" i="2"/>
  <c r="AT319" i="2"/>
  <c r="G386" i="2"/>
  <c r="J172" i="2"/>
  <c r="H401" i="2"/>
  <c r="G421" i="2"/>
  <c r="J225" i="2"/>
  <c r="J226" i="2"/>
  <c r="H425" i="2"/>
  <c r="J228" i="2"/>
  <c r="J295" i="2"/>
  <c r="J315" i="2"/>
  <c r="K319" i="2"/>
  <c r="AU319" i="2"/>
  <c r="G385" i="2"/>
  <c r="H386" i="2"/>
  <c r="J171" i="2"/>
  <c r="H387" i="2"/>
  <c r="G399" i="2"/>
  <c r="J224" i="2"/>
  <c r="H421" i="2"/>
  <c r="J227" i="2"/>
  <c r="J243" i="2"/>
</calcChain>
</file>

<file path=xl/sharedStrings.xml><?xml version="1.0" encoding="utf-8"?>
<sst xmlns="http://schemas.openxmlformats.org/spreadsheetml/2006/main" count="1062" uniqueCount="946">
  <si>
    <t>in EUR</t>
  </si>
  <si>
    <t>Adjusted Categorization</t>
  </si>
  <si>
    <t>FY2022</t>
  </si>
  <si>
    <t>FY2023</t>
  </si>
  <si>
    <t>FY2024</t>
  </si>
  <si>
    <t>YTD Jul25</t>
  </si>
  <si>
    <t>LTM Jul25</t>
  </si>
  <si>
    <t>YTD Jul24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</si>
  <si>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</si>
  <si>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</si>
  <si>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</si>
  <si>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</si>
  <si>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</si>
  <si>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</si>
  <si>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</si>
  <si>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</si>
  <si>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</si>
  <si>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</si>
  <si>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</si>
  <si>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</si>
  <si>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</si>
  <si>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</si>
  <si>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</si>
  <si>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</si>
  <si>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</si>
  <si>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</si>
  <si>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</si>
  <si>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</si>
  <si>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</si>
  <si>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</si>
  <si>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</si>
  <si>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</si>
  <si>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</si>
  <si>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</si>
  <si>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</si>
  <si>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</si>
  <si>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</si>
  <si>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</si>
  <si>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</si>
  <si>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</si>
  <si>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</si>
  <si>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</si>
  <si>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</si>
  <si>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</si>
  <si>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</si>
  <si>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</si>
  <si>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</si>
  <si>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</si>
  <si>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</si>
  <si>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</si>
  <si>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</si>
  <si>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25</t>
  </si>
  <si>
    <t>0 Ähnl. Rechte, Werte, entgeltl. erworben</t>
  </si>
  <si>
    <t xml:space="preserve">    0 Similar rights, values, acquired for consideration</t>
  </si>
  <si>
    <t>43</t>
  </si>
  <si>
    <t>0 Selbst geschaffene immaterielle VermG.</t>
  </si>
  <si>
    <t xml:space="preserve">    0 Self-created intangible assets.</t>
  </si>
  <si>
    <t>48</t>
  </si>
  <si>
    <t>0 Immat. Vermögensgegenst. in Entwicklung</t>
  </si>
  <si>
    <t xml:space="preserve">    0 Intangible assets under development</t>
  </si>
  <si>
    <t>230</t>
  </si>
  <si>
    <t>9 Unnamed Account</t>
  </si>
  <si>
    <t xml:space="preserve">    9 Unnamed Account</t>
  </si>
  <si>
    <t>300</t>
  </si>
  <si>
    <t>0 Betriebs- und Geschäftsausstattung</t>
  </si>
  <si>
    <t xml:space="preserve">    0 Operating and business equipment</t>
  </si>
  <si>
    <t>400</t>
  </si>
  <si>
    <t>0 Betriebsausstattung</t>
  </si>
  <si>
    <t xml:space="preserve">    0 Operating equipment</t>
  </si>
  <si>
    <t>410</t>
  </si>
  <si>
    <t>0 Geschäftsausstattung (Technik)</t>
  </si>
  <si>
    <t xml:space="preserve">    0 Office equipment (Technology)</t>
  </si>
  <si>
    <t>420</t>
  </si>
  <si>
    <t>0 Büroeinrichtung</t>
  </si>
  <si>
    <t xml:space="preserve">    0 Office furniture</t>
  </si>
  <si>
    <t>450</t>
  </si>
  <si>
    <t>0 Einbauten in fremde Grundstücke</t>
  </si>
  <si>
    <t xml:space="preserve">    0 Installations on third-party properties</t>
  </si>
  <si>
    <t>480</t>
  </si>
  <si>
    <t>0 Geringwertige Wirtschaftsgüter</t>
  </si>
  <si>
    <t xml:space="preserve">    0 Low-value assets</t>
  </si>
  <si>
    <t>1 GWG - Technik</t>
  </si>
  <si>
    <t xml:space="preserve">    1 Low-value asset - Technology</t>
  </si>
  <si>
    <t>490</t>
  </si>
  <si>
    <t>0 Sonstige Betriebs-u.Gesch.ausstattung</t>
  </si>
  <si>
    <t>540</t>
  </si>
  <si>
    <t>0 Übrige sonstige Ausleihungen</t>
  </si>
  <si>
    <t xml:space="preserve">    0 Other miscellaneous loans</t>
  </si>
  <si>
    <t>/netdebt/ausleihungen</t>
  </si>
  <si>
    <t>631</t>
  </si>
  <si>
    <t>0 Verbindlichkeiten Kreditinstitut(b.1J)</t>
  </si>
  <si>
    <t xml:space="preserve">    0 Liabilities to credit institutions (up to 1 year)</t>
  </si>
  <si>
    <t>701</t>
  </si>
  <si>
    <t>0 Cash-Pool</t>
  </si>
  <si>
    <t xml:space="preserve">    0 Cash Pool</t>
  </si>
  <si>
    <t>800</t>
  </si>
  <si>
    <t>0 Gezeichnetes Kapital</t>
  </si>
  <si>
    <t xml:space="preserve">    0 Subscribed Capital</t>
  </si>
  <si>
    <t>840</t>
  </si>
  <si>
    <t>0 Kapitalrücklage</t>
  </si>
  <si>
    <t xml:space="preserve">    0 Capital reserve</t>
  </si>
  <si>
    <t>861</t>
  </si>
  <si>
    <t>0 Unnamed Account</t>
  </si>
  <si>
    <t xml:space="preserve">    0 Unnamed Account</t>
  </si>
  <si>
    <t>868</t>
  </si>
  <si>
    <t>0 Verlustvortrag vor Verwendung</t>
  </si>
  <si>
    <t xml:space="preserve">    0 Loss carryforward before utilization</t>
  </si>
  <si>
    <t>965</t>
  </si>
  <si>
    <t>0 Rückstellungen für Personalkosten</t>
  </si>
  <si>
    <t xml:space="preserve">    0 Provisions for personnel costs</t>
  </si>
  <si>
    <t>ND (Anteil der auf Vorjahre entfällt, muss man weiter verstehen)</t>
  </si>
  <si>
    <t>966</t>
  </si>
  <si>
    <t>0 Rückstellungen für Aufbewahrungspflicht</t>
  </si>
  <si>
    <t xml:space="preserve">    0 Provisions for retention obligation</t>
  </si>
  <si>
    <t>970</t>
  </si>
  <si>
    <t>0 Sonstige Rückstellungen</t>
  </si>
  <si>
    <t xml:space="preserve">    0 Other Provisions</t>
  </si>
  <si>
    <t>ND - Aufriss abwarten</t>
  </si>
  <si>
    <t>977</t>
  </si>
  <si>
    <t>0 Rückstellungen für Abschluss u. Prüfung</t>
  </si>
  <si>
    <t xml:space="preserve">    0 Provisions for completion and audit</t>
  </si>
  <si>
    <t>980</t>
  </si>
  <si>
    <t>0 Aktive Rechnungsabgrenzung</t>
  </si>
  <si>
    <t xml:space="preserve">    0 Prepaid Expenses</t>
  </si>
  <si>
    <t>990</t>
  </si>
  <si>
    <t>0 Passive Rechnungsabgrenzung</t>
  </si>
  <si>
    <t xml:space="preserve">    0 Deferred Income</t>
  </si>
  <si>
    <t>1000</t>
  </si>
  <si>
    <t>0 Kasse</t>
  </si>
  <si>
    <t xml:space="preserve">    0 Cash</t>
  </si>
  <si>
    <t>1200</t>
  </si>
  <si>
    <t>0 Deutsche Bank # 039 175 500</t>
  </si>
  <si>
    <t xml:space="preserve">    0 Deutsche Bank # 039 175 500</t>
  </si>
  <si>
    <t>1202</t>
  </si>
  <si>
    <t>0 Deutsche Bank Kontokorrentkonto#39175501</t>
  </si>
  <si>
    <t xml:space="preserve">    0 Deutsche Bank Current Account#39175501</t>
  </si>
  <si>
    <t>1204</t>
  </si>
  <si>
    <t>0 Deutsche Bank #DE88 6007 0070 0160 6508</t>
  </si>
  <si>
    <t xml:space="preserve">    0 Deutsche Bank #DE88 6007 0070 0160 6508</t>
  </si>
  <si>
    <t>0 Olinda, Berlin #4618298725</t>
  </si>
  <si>
    <t xml:space="preserve">    0 Olinda, Berlin #4618298725</t>
  </si>
  <si>
    <t>1210</t>
  </si>
  <si>
    <t>0 Paypal</t>
  </si>
  <si>
    <t xml:space="preserve">    0 Paypal</t>
  </si>
  <si>
    <t>1 Paypal CHF</t>
  </si>
  <si>
    <t xml:space="preserve">    1 Paypal CHF</t>
  </si>
  <si>
    <t>1360</t>
  </si>
  <si>
    <t>0 Geldtransit</t>
  </si>
  <si>
    <t xml:space="preserve">    0 Cash in transit</t>
  </si>
  <si>
    <t>/netdebt/cashlike/Forderungen ggü. Finway</t>
  </si>
  <si>
    <t>1 Transit Zahlungsverkehr</t>
  </si>
  <si>
    <t xml:space="preserve">    1 Transit Payment Transactions</t>
  </si>
  <si>
    <t>1361</t>
  </si>
  <si>
    <t>6 Transit Shopify</t>
  </si>
  <si>
    <t xml:space="preserve">    6 Transit Shopify</t>
  </si>
  <si>
    <t>1363</t>
  </si>
  <si>
    <t>0 Transit PayPal</t>
  </si>
  <si>
    <t xml:space="preserve">    0 Transit PayPal</t>
  </si>
  <si>
    <t>1400</t>
  </si>
  <si>
    <t>0 Forderungen aus L+L</t>
  </si>
  <si>
    <t xml:space="preserve">    0 Trade receivables</t>
  </si>
  <si>
    <t>1500</t>
  </si>
  <si>
    <t>0 Sonstige Vermögensgegenstände</t>
  </si>
  <si>
    <t xml:space="preserve">    0 Other Assets</t>
  </si>
  <si>
    <t>1503</t>
  </si>
  <si>
    <t>0 Forderungen gg. Geschäftsf.(b.1J)</t>
  </si>
  <si>
    <t xml:space="preserve">    0 Receivables from business partners (up to 1 year)</t>
  </si>
  <si>
    <t>/netdebt/cashlike/Forderungen ggü. GF</t>
  </si>
  <si>
    <t>1510</t>
  </si>
  <si>
    <t>0 Geleistete Anzahlungen auf Vorräte</t>
  </si>
  <si>
    <t xml:space="preserve">    0 Advance payments on inventories</t>
  </si>
  <si>
    <t>1518</t>
  </si>
  <si>
    <t>0 Geleistete Anzahlungen 19% Vorsteuer</t>
  </si>
  <si>
    <t xml:space="preserve">    0 Advance payments 19% VAT</t>
  </si>
  <si>
    <t>1520</t>
  </si>
  <si>
    <t>0 Forderungen ggb. Krankenkasse aus AAG</t>
  </si>
  <si>
    <t xml:space="preserve">    0 Receivables from health insurance from AAG</t>
  </si>
  <si>
    <t>/netdebt/cashlike/Forderungen ggü. Krankenkasse</t>
  </si>
  <si>
    <t>1525</t>
  </si>
  <si>
    <t>0 Kautionen</t>
  </si>
  <si>
    <t xml:space="preserve">    0 Guarantees</t>
  </si>
  <si>
    <t>1526</t>
  </si>
  <si>
    <t>0 Kautionen (bis 1 J)</t>
  </si>
  <si>
    <t xml:space="preserve">    0 Guarantees (up to 1 year)</t>
  </si>
  <si>
    <t>1527</t>
  </si>
  <si>
    <t>0 Kautionen (größer 1 J)</t>
  </si>
  <si>
    <t xml:space="preserve">    0 Guarantees (greater than 1 year)</t>
  </si>
  <si>
    <t>1530</t>
  </si>
  <si>
    <t>0 Forderg. gg. Personal Lohn- und Gehalt</t>
  </si>
  <si>
    <t xml:space="preserve">    0 Receivables from employees - wages and salaries</t>
  </si>
  <si>
    <t>1548</t>
  </si>
  <si>
    <t>0 Vorst. in Folgeperiode /-jahr abziehbar</t>
  </si>
  <si>
    <t xml:space="preserve">    0 Carryforward deductible in subsequent period/year</t>
  </si>
  <si>
    <t>1570</t>
  </si>
  <si>
    <t>0 Abziehbare Vorsteuer</t>
  </si>
  <si>
    <t xml:space="preserve">    0 Deductible input tax</t>
  </si>
  <si>
    <t>1571</t>
  </si>
  <si>
    <t>0 Abziehbare Vorsteuer 7%</t>
  </si>
  <si>
    <t xml:space="preserve">    0 Deductible input tax 7%</t>
  </si>
  <si>
    <t>1572</t>
  </si>
  <si>
    <t>0 Abziehbare Vorsteuer aus EU-Erwerb</t>
  </si>
  <si>
    <t xml:space="preserve">    0 Deductible input tax from EU acquisition</t>
  </si>
  <si>
    <t>1574</t>
  </si>
  <si>
    <t>0 Abziehbare Vorsteuer aus EU-Erwerb 19%</t>
  </si>
  <si>
    <t xml:space="preserve">    0 Deductible input tax from EU acquisition 19%</t>
  </si>
  <si>
    <t>1575</t>
  </si>
  <si>
    <t>0 Abziehbare Vorsteuer 16%</t>
  </si>
  <si>
    <t xml:space="preserve">    0 Deductible input tax 16%</t>
  </si>
  <si>
    <t>1576</t>
  </si>
  <si>
    <t>0 Abziehbare Vorsteuer 19%</t>
  </si>
  <si>
    <t xml:space="preserve">    0 Deductible input tax 19%</t>
  </si>
  <si>
    <t>1577</t>
  </si>
  <si>
    <t>0 Abziehbare Vorsteuer § 13b UStG 19%</t>
  </si>
  <si>
    <t xml:space="preserve">    0 Deductible input tax § 13b UStG 19%</t>
  </si>
  <si>
    <t>1590</t>
  </si>
  <si>
    <t>0 Durchlaufende Posten</t>
  </si>
  <si>
    <t xml:space="preserve">    0 Transitory Items</t>
  </si>
  <si>
    <t>1593</t>
  </si>
  <si>
    <t>0 Verrechnung erhaltene Anzahlungen</t>
  </si>
  <si>
    <t xml:space="preserve">    0 Offset received advance payments</t>
  </si>
  <si>
    <t>/netdebt/cashlike/Erhaltene Anzahlung</t>
  </si>
  <si>
    <t>1600</t>
  </si>
  <si>
    <t>0 Verbindlichkeiten aus Lieferungen+Leist.</t>
  </si>
  <si>
    <t xml:space="preserve">    0 Liabilities from deliveries and services.</t>
  </si>
  <si>
    <t>1705</t>
  </si>
  <si>
    <t>0 BSH - Wandeldarlehen Cashwirksam</t>
  </si>
  <si>
    <t xml:space="preserve">    0 BSH - Convertible Loan Cash Effective</t>
  </si>
  <si>
    <t>/netdebt/debtlike/Wandeldarlehen</t>
  </si>
  <si>
    <t>1 BDH - Wandeldarlehen- Zinsen</t>
  </si>
  <si>
    <t xml:space="preserve">    1 BDH - Convertible Loan - Interest</t>
  </si>
  <si>
    <t>1710</t>
  </si>
  <si>
    <t>0 Erhalt. Anzahlungen auf Bestellungen</t>
  </si>
  <si>
    <t xml:space="preserve">    0 Received. Advance payments on orders</t>
  </si>
  <si>
    <t>1718</t>
  </si>
  <si>
    <t>0 Erhaltene Anzahlungen 19% USt</t>
  </si>
  <si>
    <t xml:space="preserve">    0 Advance payments received 19% VAT</t>
  </si>
  <si>
    <t>1725</t>
  </si>
  <si>
    <t>0 USt fällig Folg.per.§§13(1) u.13b(2)UStG</t>
  </si>
  <si>
    <t xml:space="preserve">    0 VAT due according to §§13(1) and 13b(2) UStG</t>
  </si>
  <si>
    <t>1731</t>
  </si>
  <si>
    <t>0 Kreditkartenabrechnung Mengting Gao</t>
  </si>
  <si>
    <t xml:space="preserve">    0 Credit card statement Mengting Gao</t>
  </si>
  <si>
    <t>1 Kreditkartenabrechnung Alexander Bauer</t>
  </si>
  <si>
    <t xml:space="preserve">    1 Credit card statement Alexander Bauer</t>
  </si>
  <si>
    <t>2 KK Alexander Bauer AMEX XXX41002</t>
  </si>
  <si>
    <t xml:space="preserve">    2 KK Alexander Bauer AMEX XXX41002</t>
  </si>
  <si>
    <t>/netdebt/debtlike/Kreditkarten</t>
  </si>
  <si>
    <t>5 Spendesk</t>
  </si>
  <si>
    <t xml:space="preserve">    5 Spendesk</t>
  </si>
  <si>
    <t>/netdebt/cashlike/Spendesk</t>
  </si>
  <si>
    <t>6 Shopify Payments</t>
  </si>
  <si>
    <t xml:space="preserve">    6 Shopify Payments</t>
  </si>
  <si>
    <t>/netdebt/cashlike/shopify</t>
  </si>
  <si>
    <t>7 Finway GmbH</t>
  </si>
  <si>
    <t xml:space="preserve">    7 Finway GmbH</t>
  </si>
  <si>
    <t>3 Kreditkartenabrechnung AJNS New Media Gm</t>
  </si>
  <si>
    <t xml:space="preserve">    3 Credit card statement AJNS New Media Gm</t>
  </si>
  <si>
    <t>4 KK Alexander Bauer DB XXX0125</t>
  </si>
  <si>
    <t xml:space="preserve">    4 KK Alexander Bauer DB XXX0125</t>
  </si>
  <si>
    <t>1732</t>
  </si>
  <si>
    <t>0 Erhaltene Kautionen</t>
  </si>
  <si>
    <t xml:space="preserve">    0 Received deposits</t>
  </si>
  <si>
    <t>1740</t>
  </si>
  <si>
    <t>0 Verbindlichkeiten aus Lohn und Gehalt</t>
  </si>
  <si>
    <t xml:space="preserve">    0 Liabilities from wages and salaries</t>
  </si>
  <si>
    <t>1741</t>
  </si>
  <si>
    <t>0 Verbindlichk. Lohn- und Kirchensteuer</t>
  </si>
  <si>
    <t xml:space="preserve">    0 Liabilities: Wage and Church Tax</t>
  </si>
  <si>
    <t>1742</t>
  </si>
  <si>
    <t>0 Verbindlichkeiten soziale Sicherheit</t>
  </si>
  <si>
    <t xml:space="preserve">    0 Liabilities social security</t>
  </si>
  <si>
    <t>1746</t>
  </si>
  <si>
    <t>0 Verbindlichk. a.Einbehaltung (KapESt)</t>
  </si>
  <si>
    <t xml:space="preserve">    0 Liabilities from withholding (capital gains tax)</t>
  </si>
  <si>
    <t>1748</t>
  </si>
  <si>
    <t>0 Verbindlichk. Einbehaltung Arbeitnehmer</t>
  </si>
  <si>
    <t xml:space="preserve">    0 Liabilities withholding employee</t>
  </si>
  <si>
    <t>1750</t>
  </si>
  <si>
    <t>0 Verbindlichkeiten a. Vermögensbildung</t>
  </si>
  <si>
    <t xml:space="preserve">    0 Liabilities a. Asset formation</t>
  </si>
  <si>
    <t>1755</t>
  </si>
  <si>
    <t>0 Lohn- und Gehaltsverrechnungen</t>
  </si>
  <si>
    <t xml:space="preserve">    0 Payroll and salary accounting</t>
  </si>
  <si>
    <t>1759</t>
  </si>
  <si>
    <t>0 Voraus.Beitrag ggb. Sozialversich.träger</t>
  </si>
  <si>
    <t xml:space="preserve">    0 Advance payment to social security institutions</t>
  </si>
  <si>
    <t>1771</t>
  </si>
  <si>
    <t>0 Umsatzsteuer 7%</t>
  </si>
  <si>
    <t xml:space="preserve">    0 Value Added Tax 7%</t>
  </si>
  <si>
    <t>1772</t>
  </si>
  <si>
    <t>0 Umsatzsteuer aus EU-Erwerb</t>
  </si>
  <si>
    <t xml:space="preserve">    0 Value-added tax from EU acquisition</t>
  </si>
  <si>
    <t>1774</t>
  </si>
  <si>
    <t>0 Umsatzsteuer aus EU-Erwerb 19%</t>
  </si>
  <si>
    <t xml:space="preserve">    0 VAT from EU acquisition 19%</t>
  </si>
  <si>
    <t>1776</t>
  </si>
  <si>
    <t>0 Umsatzsteuer 19%</t>
  </si>
  <si>
    <t xml:space="preserve">    0 Value Added Tax 19%</t>
  </si>
  <si>
    <t>1780</t>
  </si>
  <si>
    <t>0 Umsatzsteuer-Vorauszahlungen</t>
  </si>
  <si>
    <t xml:space="preserve">    0 Prepayments of value-added tax</t>
  </si>
  <si>
    <t>1781</t>
  </si>
  <si>
    <t>0 Umsatzsteuer-Vorauszahlungen 1/11</t>
  </si>
  <si>
    <t xml:space="preserve">    0 VAT prepayments 1/11</t>
  </si>
  <si>
    <t>1787</t>
  </si>
  <si>
    <t>0 Umsatzsteuer nach § 13b UStG 19%</t>
  </si>
  <si>
    <t xml:space="preserve">    0 VAT according to § 13b UStG 19%</t>
  </si>
  <si>
    <t>1789</t>
  </si>
  <si>
    <t>0 Umsatzsteuer laufendes Jahr</t>
  </si>
  <si>
    <t xml:space="preserve">    0 Value-added tax for the current year</t>
  </si>
  <si>
    <t>1790</t>
  </si>
  <si>
    <t>0 Umsatzsteuer Vorjahr</t>
  </si>
  <si>
    <t xml:space="preserve">    0 Sales tax previous year</t>
  </si>
  <si>
    <t>0 Umsatzsteuerverbindlichkeiten Vorjahr</t>
  </si>
  <si>
    <t xml:space="preserve">    0 VAT liabilities previous year</t>
  </si>
  <si>
    <t>1791</t>
  </si>
  <si>
    <t>0 Umsatzsteuer frühere Jahre</t>
  </si>
  <si>
    <t xml:space="preserve">    0 VAT previous years</t>
  </si>
  <si>
    <t>0 Umsatzsteuerverbindlichk. frühere Jahre</t>
  </si>
  <si>
    <t xml:space="preserve">    0 VAT liabilities previous years</t>
  </si>
  <si>
    <t>1797</t>
  </si>
  <si>
    <t>0 Verbindlichkeiten aus Umsatzsteuer-VZ</t>
  </si>
  <si>
    <t xml:space="preserve">    0 Liabilities from VAT advance payments</t>
  </si>
  <si>
    <t>2020</t>
  </si>
  <si>
    <t>0 Periodenfremde Aufwendungen</t>
  </si>
  <si>
    <t xml:space="preserve">    0 Non-period expenses</t>
  </si>
  <si>
    <t>/QoE/Periodenfremde E/A</t>
  </si>
  <si>
    <t>2103</t>
  </si>
  <si>
    <t>0 Abzugsfäh. and. Nebenleist. zu Steuern</t>
  </si>
  <si>
    <t xml:space="preserve">    0 Deductible other ancillary services to taxes</t>
  </si>
  <si>
    <t>2109</t>
  </si>
  <si>
    <t>0 Zinsaufwendungen an verbund. Unternehmen</t>
  </si>
  <si>
    <t xml:space="preserve">    0 Interest expenses to affiliated companies</t>
  </si>
  <si>
    <t>2110</t>
  </si>
  <si>
    <t>0 Zinsaufwendungen f.kfr.Verbindlichkeit.</t>
  </si>
  <si>
    <t xml:space="preserve">    0 Interest expenses for short-term liabilities.</t>
  </si>
  <si>
    <t>2119</t>
  </si>
  <si>
    <t>0 Zinsaufwend. f.kfr. Verb.an verbund. UN</t>
  </si>
  <si>
    <t xml:space="preserve">    0 Interest expenses for short-term liabilities to affiliated companies</t>
  </si>
  <si>
    <t>2140</t>
  </si>
  <si>
    <t>0 Zinsähnliche Aufwendungen</t>
  </si>
  <si>
    <t xml:space="preserve">    0 Interest-like expenses</t>
  </si>
  <si>
    <t>2144</t>
  </si>
  <si>
    <t>0 Zinsaufwand Abzinsung Rückstellungen</t>
  </si>
  <si>
    <t xml:space="preserve">    0 Interest expense discounting provisions</t>
  </si>
  <si>
    <t>2150</t>
  </si>
  <si>
    <t>0 Aufwendungen aus Währungsumrechnungen</t>
  </si>
  <si>
    <t xml:space="preserve">    0 Expenses from currency translations</t>
  </si>
  <si>
    <t>2209</t>
  </si>
  <si>
    <t>0 Solidaritätszuschlag für Vorjahre</t>
  </si>
  <si>
    <t xml:space="preserve">    0 Solidarity surcharge for previous years</t>
  </si>
  <si>
    <t>2310</t>
  </si>
  <si>
    <t>0 Abgänge Sachanlagen Restbuchwert bei BV</t>
  </si>
  <si>
    <t xml:space="preserve">    0 Disposals of tangible assets carrying amount at BV</t>
  </si>
  <si>
    <t>/QoE/Verkauf Sachanlagen</t>
  </si>
  <si>
    <t>2315</t>
  </si>
  <si>
    <t>0 Abgänge Sachanlagen Restbuchwert bei BG</t>
  </si>
  <si>
    <t xml:space="preserve">    0 Disposals of tangible assets carrying amount at BG</t>
  </si>
  <si>
    <t>2383</t>
  </si>
  <si>
    <t>0 Zuwendungen,Spenden kirchl./rel./gemein.</t>
  </si>
  <si>
    <t xml:space="preserve">    0 Donations, church/religious/community contributions</t>
  </si>
  <si>
    <t>2520</t>
  </si>
  <si>
    <t>0 Periodenfremde Erträge</t>
  </si>
  <si>
    <t xml:space="preserve">    0 Non-periodic income</t>
  </si>
  <si>
    <t>2653</t>
  </si>
  <si>
    <t>0 Zinsertr.§ 233a AO, §4 (5b) EStG, stfrei</t>
  </si>
  <si>
    <t xml:space="preserve">    0 Interest acc. to § 233a AO, §4 (5b) EStG, tax-free</t>
  </si>
  <si>
    <t>2659</t>
  </si>
  <si>
    <t>0 Sonst. Zinsen u.ä. Erträge aus verb.UN</t>
  </si>
  <si>
    <t xml:space="preserve">    0 Other interest and similar income from affiliated companies</t>
  </si>
  <si>
    <t>2660</t>
  </si>
  <si>
    <t>0 Erträge aus der Währungsumrechnung</t>
  </si>
  <si>
    <t xml:space="preserve">    0 Income from currency translation</t>
  </si>
  <si>
    <t>2684</t>
  </si>
  <si>
    <t>0 Zinsertrag Abzinsung Rückstellungen</t>
  </si>
  <si>
    <t xml:space="preserve">    0 Interest income from discounting provisions</t>
  </si>
  <si>
    <t>2707</t>
  </si>
  <si>
    <t>0 Other non-operative revenues</t>
  </si>
  <si>
    <t xml:space="preserve">    0 Sonstige nicht-operative Erträge</t>
  </si>
  <si>
    <t>/QoE/nicht-operative Erträge</t>
  </si>
  <si>
    <t>1 Other non-operative revenues- affiliates</t>
  </si>
  <si>
    <t xml:space="preserve">    1 Other non-operative revenues- affiliates</t>
  </si>
  <si>
    <t>2735</t>
  </si>
  <si>
    <t>0 Erträge Auflösung von Rückstellungen</t>
  </si>
  <si>
    <t xml:space="preserve">    0 Income from the reversal of provisions</t>
  </si>
  <si>
    <t>/QoE/Erträge Auflösung Rst.</t>
  </si>
  <si>
    <t>2742</t>
  </si>
  <si>
    <t>0 Versich.entschädigung, Schadenersatz</t>
  </si>
  <si>
    <t xml:space="preserve">    0 Insurance compensation, damages</t>
  </si>
  <si>
    <t>2749</t>
  </si>
  <si>
    <t>0 Erstattungen AufwendungsausgleichsG</t>
  </si>
  <si>
    <t xml:space="preserve">    0 Reimbursements Compensation Act</t>
  </si>
  <si>
    <t>2752</t>
  </si>
  <si>
    <t>0 Erlöse Vermietung u.Verpachtung 19% USt</t>
  </si>
  <si>
    <t xml:space="preserve">    0 Revenue from rental and leasing 19% VAT</t>
  </si>
  <si>
    <t>2868</t>
  </si>
  <si>
    <t>0 Verlustvortrag nach Verwendung</t>
  </si>
  <si>
    <t xml:space="preserve">    0 Loss carryforward after utilization</t>
  </si>
  <si>
    <t>3000</t>
  </si>
  <si>
    <t>0 Produktionskosten Lebensmittel</t>
  </si>
  <si>
    <t xml:space="preserve">    0 Production costs for food</t>
  </si>
  <si>
    <t>1 Aufwendungen RHB Gewürze</t>
  </si>
  <si>
    <t xml:space="preserve">    1 Expenses RHB Spices</t>
  </si>
  <si>
    <t>3001</t>
  </si>
  <si>
    <t>0 Produktionskosten Utensilien</t>
  </si>
  <si>
    <t xml:space="preserve">    0 Production costs utensils</t>
  </si>
  <si>
    <t>3002</t>
  </si>
  <si>
    <t>0 Produktionskosten (Lizenz,Musik,Schrift)</t>
  </si>
  <si>
    <t xml:space="preserve">    0 Production costs (license, music, font)</t>
  </si>
  <si>
    <t>3003</t>
  </si>
  <si>
    <t>0 Produktionskosten (Infrastruktur, Tech)</t>
  </si>
  <si>
    <t xml:space="preserve">    0 Production costs (infrastructure, tech)</t>
  </si>
  <si>
    <t>3004</t>
  </si>
  <si>
    <t>0 Produktionskosten (Mieten Kamera &amp; Co.)</t>
  </si>
  <si>
    <t xml:space="preserve">    0 Production costs (Camera rental &amp; Co.)</t>
  </si>
  <si>
    <t>3005</t>
  </si>
  <si>
    <t>0 Produktionskosten (Requisiten, Props)</t>
  </si>
  <si>
    <t>0 Translation</t>
  </si>
  <si>
    <t xml:space="preserve">    0 Translation</t>
  </si>
  <si>
    <t>3006</t>
  </si>
  <si>
    <t>0 Production Props</t>
  </si>
  <si>
    <t xml:space="preserve">    0 Production Props</t>
  </si>
  <si>
    <t>3100</t>
  </si>
  <si>
    <t>0 Fremdleistungen EDV Service</t>
  </si>
  <si>
    <t xml:space="preserve">    0 External services IT service</t>
  </si>
  <si>
    <t>1 Fremdleistungen Reverse Charge</t>
  </si>
  <si>
    <t xml:space="preserve">    1 External services Reverse Charge</t>
  </si>
  <si>
    <t>3106</t>
  </si>
  <si>
    <t>0 Fremdleistungen 19% Vorsteuer</t>
  </si>
  <si>
    <t xml:space="preserve">    0 External services 19% input tax</t>
  </si>
  <si>
    <t>3108</t>
  </si>
  <si>
    <t>0 Fremdleistungen 7% Vorsteuer</t>
  </si>
  <si>
    <t xml:space="preserve">    0 External services 7% input tax</t>
  </si>
  <si>
    <t>3109</t>
  </si>
  <si>
    <t>0 Fremdleistungen ohne Vorsteuer</t>
  </si>
  <si>
    <t xml:space="preserve">    0 External services without input tax</t>
  </si>
  <si>
    <t>3151</t>
  </si>
  <si>
    <t>0 Erhalt. Skonti § 13b UStG 19% Vorst./USt</t>
  </si>
  <si>
    <t xml:space="preserve">    0 Received. Discounts § 13b UStG 19% Input VAT/VAT</t>
  </si>
  <si>
    <t>3175</t>
  </si>
  <si>
    <t>0 Fremdleistung (Miet- u.Pachtz. unbew.WG)</t>
  </si>
  <si>
    <t xml:space="preserve">    0 External services (Rent and lease payments for undeveloped properties)</t>
  </si>
  <si>
    <t>3300</t>
  </si>
  <si>
    <t>0 Wareneingang 7% Vorsteuer</t>
  </si>
  <si>
    <t xml:space="preserve">    0 Goods receipt 7% input tax</t>
  </si>
  <si>
    <t>3736</t>
  </si>
  <si>
    <t>0 Erhaltene Skonti 19% Vorsteuer</t>
  </si>
  <si>
    <t xml:space="preserve">    0 Discounts received 19% input tax</t>
  </si>
  <si>
    <t>3850</t>
  </si>
  <si>
    <t>0 Zölle und Einfuhrabgaben</t>
  </si>
  <si>
    <t xml:space="preserve">    0 Customs duties and import taxes</t>
  </si>
  <si>
    <t>3950</t>
  </si>
  <si>
    <t>1 BV Kochbücher Online-Shop</t>
  </si>
  <si>
    <t xml:space="preserve">    1 BV Cookbooks Online Shop</t>
  </si>
  <si>
    <t>3960</t>
  </si>
  <si>
    <t>0 BV RHB Gewürze</t>
  </si>
  <si>
    <t xml:space="preserve">    0 BV RHB Spices</t>
  </si>
  <si>
    <t>3970</t>
  </si>
  <si>
    <t>0 Bestand RHB Gewürze</t>
  </si>
  <si>
    <t xml:space="preserve">    0 Inventory RHB Spices</t>
  </si>
  <si>
    <t>4100</t>
  </si>
  <si>
    <t>0 Löhne und Gehälter</t>
  </si>
  <si>
    <t xml:space="preserve">    0 Wages and salaries</t>
  </si>
  <si>
    <t>/Gehalt/MA</t>
  </si>
  <si>
    <t>4110</t>
  </si>
  <si>
    <t>0 Löhne</t>
  </si>
  <si>
    <t xml:space="preserve">    0 Wages</t>
  </si>
  <si>
    <t>4120</t>
  </si>
  <si>
    <t>0 Gehälter</t>
  </si>
  <si>
    <t xml:space="preserve">    0 Salaries</t>
  </si>
  <si>
    <t>2 Gehälter - Creative</t>
  </si>
  <si>
    <t xml:space="preserve">    2 Salaries - Creative</t>
  </si>
  <si>
    <t>3 Gehälter - PTD</t>
  </si>
  <si>
    <t xml:space="preserve">    3 Salaries - PTD</t>
  </si>
  <si>
    <t>4 Gehälter - Strategic Partnerships</t>
  </si>
  <si>
    <t xml:space="preserve">    4 Salaries - Strategic Partnerships</t>
  </si>
  <si>
    <t>5 Gehälter - Marketing</t>
  </si>
  <si>
    <t xml:space="preserve">    5 Salaries - Marketing</t>
  </si>
  <si>
    <t>6 Gehälter - Sales</t>
  </si>
  <si>
    <t xml:space="preserve">    6 Salaries - Sales</t>
  </si>
  <si>
    <t>7 Gehälter - Tech</t>
  </si>
  <si>
    <t xml:space="preserve">    7 Salaries - Tech</t>
  </si>
  <si>
    <t>8 Gehälter - Marketing</t>
  </si>
  <si>
    <t xml:space="preserve">    8 Salaries - Marketing</t>
  </si>
  <si>
    <t>4121</t>
  </si>
  <si>
    <t>4 Lohn Strategic Partnerships</t>
  </si>
  <si>
    <t xml:space="preserve">    4 Lohn Strategic Partnerships</t>
  </si>
  <si>
    <t>2 Lohn Creative</t>
  </si>
  <si>
    <t xml:space="preserve">    2 Wages Creative</t>
  </si>
  <si>
    <t>3 Lohn PTD</t>
  </si>
  <si>
    <t xml:space="preserve">    3 Wages PTD</t>
  </si>
  <si>
    <t>5 Lohn Marketing</t>
  </si>
  <si>
    <t xml:space="preserve">    5 Wages Marketing</t>
  </si>
  <si>
    <t>4124</t>
  </si>
  <si>
    <t>1 Gehälter- Administration</t>
  </si>
  <si>
    <t xml:space="preserve">    1 Salaries - Administration</t>
  </si>
  <si>
    <t>0 Geschäftsführergehälter GmbH-Gesells.</t>
  </si>
  <si>
    <t xml:space="preserve">    0 Managing Director Salaries GmbH Shareholders.</t>
  </si>
  <si>
    <t>/Gehalt/GF</t>
  </si>
  <si>
    <t>4127</t>
  </si>
  <si>
    <t>0 Geschäftsführergehälter</t>
  </si>
  <si>
    <t xml:space="preserve">    0 Managing Director Salaries</t>
  </si>
  <si>
    <t>4130</t>
  </si>
  <si>
    <t>0 Gesetzliche Sozialaufwendungen</t>
  </si>
  <si>
    <t xml:space="preserve">    0 Statutory social expenses</t>
  </si>
  <si>
    <t>/Sozialabgaben AG</t>
  </si>
  <si>
    <t>1 SV- Administration</t>
  </si>
  <si>
    <t xml:space="preserve">    1 SV- Administration</t>
  </si>
  <si>
    <t>2 SV- Creative</t>
  </si>
  <si>
    <t xml:space="preserve">    2 SV- Creative</t>
  </si>
  <si>
    <t>3 SV - PTD</t>
  </si>
  <si>
    <t xml:space="preserve">    3 SV - PTD</t>
  </si>
  <si>
    <t>4 SV-Strategic Partnerships</t>
  </si>
  <si>
    <t xml:space="preserve">    4 SV-Strategic Partnerships</t>
  </si>
  <si>
    <t>5 SV- Marketing</t>
  </si>
  <si>
    <t xml:space="preserve">    5 SV- Marketing</t>
  </si>
  <si>
    <t>6 SV - Sales</t>
  </si>
  <si>
    <t xml:space="preserve">    6 SV - Sales</t>
  </si>
  <si>
    <t>7 SV - Tech</t>
  </si>
  <si>
    <t xml:space="preserve">    7 SV - Tech</t>
  </si>
  <si>
    <t>8 SV - Marketing</t>
  </si>
  <si>
    <t xml:space="preserve">    8 SV - Marketing</t>
  </si>
  <si>
    <t>4138</t>
  </si>
  <si>
    <t>0 Beiträge zur Berufsgenossenschaft</t>
  </si>
  <si>
    <t xml:space="preserve">    0 Contributions to the professional association</t>
  </si>
  <si>
    <t>4139</t>
  </si>
  <si>
    <t>0 Ausgleichsabgabe n.d.SchwerbehindertenG.</t>
  </si>
  <si>
    <t xml:space="preserve">    0 Compensatory levy according to the Severely Disabled Persons Act.</t>
  </si>
  <si>
    <t>4140</t>
  </si>
  <si>
    <t>0 Freiwillige soziale Aufwendung. LSt-frei</t>
  </si>
  <si>
    <t xml:space="preserve">    0 Voluntary social expense. Tax-free</t>
  </si>
  <si>
    <t>4141</t>
  </si>
  <si>
    <t>0 Betriebsveranstaltungen</t>
  </si>
  <si>
    <t xml:space="preserve">    0 Company events</t>
  </si>
  <si>
    <t>4144</t>
  </si>
  <si>
    <t>0 Soziale Abgaben für Minijobber</t>
  </si>
  <si>
    <t xml:space="preserve">    0 Social security contributions for mini-jobbers</t>
  </si>
  <si>
    <t>4145</t>
  </si>
  <si>
    <t>0 Freiwillige soziale Aufwendung. LSt-pfl.</t>
  </si>
  <si>
    <t xml:space="preserve">    0 Voluntary social expenses. Subject to income tax.</t>
  </si>
  <si>
    <t>4 Freiw. soziale Aufw.lstpfl. Creative</t>
  </si>
  <si>
    <t xml:space="preserve">    4 Voluntary social expenses Creative</t>
  </si>
  <si>
    <t>4147</t>
  </si>
  <si>
    <t>0 Freiwillige Zuwendungen an Ges.er-GF</t>
  </si>
  <si>
    <t xml:space="preserve">    0 Voluntary contributions to partners-managing directors</t>
  </si>
  <si>
    <t>4149</t>
  </si>
  <si>
    <t>0 Pauschale Steuer auf sonstige Bezüge</t>
  </si>
  <si>
    <t xml:space="preserve">    0 Flat-rate tax on other income</t>
  </si>
  <si>
    <t>4150</t>
  </si>
  <si>
    <t>1 Zuschuss zum Mutterschaftsgeld</t>
  </si>
  <si>
    <t xml:space="preserve">    1 Grant for maternity allowance</t>
  </si>
  <si>
    <t>4152</t>
  </si>
  <si>
    <t>0 Sachzuwendungen und Dienstleistg. an AN</t>
  </si>
  <si>
    <t xml:space="preserve">    0 Benefits in kind and services to employees</t>
  </si>
  <si>
    <t>4153</t>
  </si>
  <si>
    <t>0 Sachzuwend., Dienstleistungen Ges.er-GF</t>
  </si>
  <si>
    <t xml:space="preserve">    0 Non-cash benefits, services Ges.er-GF</t>
  </si>
  <si>
    <t>4156</t>
  </si>
  <si>
    <t>0 Aufwendung Veränderung Urlaubsrückst.</t>
  </si>
  <si>
    <t xml:space="preserve">    0 Expense Change in Vacation Provisions</t>
  </si>
  <si>
    <t>4165</t>
  </si>
  <si>
    <t>0 Aufwendungen für Altersversorgung</t>
  </si>
  <si>
    <t xml:space="preserve">    0 Expenses for retirement benefits</t>
  </si>
  <si>
    <t>4166</t>
  </si>
  <si>
    <t>0 Aufwendungen Altersversorgung Ges.er-GF</t>
  </si>
  <si>
    <t xml:space="preserve">    0 Expenses for retirement benefits for managing directors</t>
  </si>
  <si>
    <t>4175</t>
  </si>
  <si>
    <t>0 Fahrtkostenerstatt. Whg./Arbeitsstätte</t>
  </si>
  <si>
    <t xml:space="preserve">    0 Travel cost reimbursement. Home/workplace</t>
  </si>
  <si>
    <t>4190</t>
  </si>
  <si>
    <t>0 Aushilfslöhne</t>
  </si>
  <si>
    <t xml:space="preserve">    0 Temporary wages</t>
  </si>
  <si>
    <t>4194</t>
  </si>
  <si>
    <t>0 Pauschale Steuer für Minijobber</t>
  </si>
  <si>
    <t xml:space="preserve">    0 Flat-rate tax for mini-jobbers</t>
  </si>
  <si>
    <t>4195</t>
  </si>
  <si>
    <t>0 Löhne für Minijobs</t>
  </si>
  <si>
    <t xml:space="preserve">    0 Wages for mini-jobs</t>
  </si>
  <si>
    <t>4196</t>
  </si>
  <si>
    <t>0 Pauschale Steuer für Gesellschafter-GF</t>
  </si>
  <si>
    <t xml:space="preserve">    0 Flat-rate tax for shareholder-managing director</t>
  </si>
  <si>
    <t>4198</t>
  </si>
  <si>
    <t>2 Pauschale Steuer Creative</t>
  </si>
  <si>
    <t xml:space="preserve">    2 Flat-rate Tax Creative</t>
  </si>
  <si>
    <t>3 Pauschale Steuer PTB</t>
  </si>
  <si>
    <t xml:space="preserve">    3 Flat-rate Tax PTB</t>
  </si>
  <si>
    <t>4 Pauschale Steuer Strategic Patnerships</t>
  </si>
  <si>
    <t xml:space="preserve">    4 Flat-rate Tax Strategic Partnerships</t>
  </si>
  <si>
    <t>0 Pauschale Steuer für Arbeitnehmer</t>
  </si>
  <si>
    <t xml:space="preserve">    0 Flat-rate tax for employees</t>
  </si>
  <si>
    <t>4210</t>
  </si>
  <si>
    <t>0 Miete, unbewegliche Wirtschaftsgüter</t>
  </si>
  <si>
    <t xml:space="preserve">    0 Rent, immovable assets</t>
  </si>
  <si>
    <t>4228</t>
  </si>
  <si>
    <t>0 Miet- und Pachtnebenkosten</t>
  </si>
  <si>
    <t xml:space="preserve">    0 Rental and lease incidental costs</t>
  </si>
  <si>
    <t>4250</t>
  </si>
  <si>
    <t>0 Reinigung</t>
  </si>
  <si>
    <t xml:space="preserve">    0 Cleaning</t>
  </si>
  <si>
    <t>4260</t>
  </si>
  <si>
    <t>0 Instandhaltung betrieblicher Räume</t>
  </si>
  <si>
    <t xml:space="preserve">    0 Maintenance of operational premises</t>
  </si>
  <si>
    <t>4360</t>
  </si>
  <si>
    <t>0 Versicherungen</t>
  </si>
  <si>
    <t xml:space="preserve">    0 Insurance</t>
  </si>
  <si>
    <t>4380</t>
  </si>
  <si>
    <t>0 Beiträge</t>
  </si>
  <si>
    <t xml:space="preserve">    0 Contributions</t>
  </si>
  <si>
    <t>1 Beiträge Künstlersozialkasse KSK</t>
  </si>
  <si>
    <t xml:space="preserve">    1 Contributions to the Artists' Social Security Fund (KSK)</t>
  </si>
  <si>
    <t>4390</t>
  </si>
  <si>
    <t>0 Sonstige Abgaben</t>
  </si>
  <si>
    <t xml:space="preserve">    0 Other Taxes</t>
  </si>
  <si>
    <t>4396</t>
  </si>
  <si>
    <t>0 Abzugsf.Verspätungszuschlag/Zwangsgeld</t>
  </si>
  <si>
    <t xml:space="preserve">    0 Deduction for late payment surcharge/penalty</t>
  </si>
  <si>
    <t>4397</t>
  </si>
  <si>
    <t>0 Nicht abzf.Verspät.zuschlag/Zwangsgeld</t>
  </si>
  <si>
    <t xml:space="preserve">    0 Not deductible: late payment penalty/compulsory fine</t>
  </si>
  <si>
    <t>4600</t>
  </si>
  <si>
    <t>0 Marketing Partner Campaigns</t>
  </si>
  <si>
    <t xml:space="preserve">    0 Marketing Partner Campaigns</t>
  </si>
  <si>
    <t>1 Stellenanzeigen</t>
  </si>
  <si>
    <t xml:space="preserve">    1 Job Advertisements</t>
  </si>
  <si>
    <t>4601</t>
  </si>
  <si>
    <t>0 Marketing User Growth B2C</t>
  </si>
  <si>
    <t xml:space="preserve">    0 Marketing User Growth B2C</t>
  </si>
  <si>
    <t>4602</t>
  </si>
  <si>
    <t xml:space="preserve">0 Marketing B2B Ads </t>
  </si>
  <si>
    <t xml:space="preserve">    0 Marketing B2B Ads</t>
  </si>
  <si>
    <t>4605</t>
  </si>
  <si>
    <t>0 Streuartikel</t>
  </si>
  <si>
    <t xml:space="preserve">    0 Promotional items</t>
  </si>
  <si>
    <t>4610</t>
  </si>
  <si>
    <t>0 Werbekosten</t>
  </si>
  <si>
    <t xml:space="preserve">    0 Advertising costs</t>
  </si>
  <si>
    <t>4630</t>
  </si>
  <si>
    <t>0 Geschenke abzugsfähig ohne § 37b EStG</t>
  </si>
  <si>
    <t xml:space="preserve">    0 Gifts deductible without § 37b EStG</t>
  </si>
  <si>
    <t>4632</t>
  </si>
  <si>
    <t>0 Pausch. Steuer Geschenke/Zuwend. abz.</t>
  </si>
  <si>
    <t xml:space="preserve">    0 Flat-rate tax gifts/donations deductible.</t>
  </si>
  <si>
    <t>4636</t>
  </si>
  <si>
    <t>0 Geschenke n. abzugsfähig mit § 37b EStG</t>
  </si>
  <si>
    <t xml:space="preserve">    0 Gifts not deductible under § 37b EStG</t>
  </si>
  <si>
    <t>4637</t>
  </si>
  <si>
    <t>0 Pausch. Steuer Geschenke/Zuwend. n.abz.</t>
  </si>
  <si>
    <t xml:space="preserve">    0 Flat-rate tax gifts/donations non-deductible.</t>
  </si>
  <si>
    <t>4640</t>
  </si>
  <si>
    <t>0 Repräsentationskosten</t>
  </si>
  <si>
    <t xml:space="preserve">    0 Representation costs</t>
  </si>
  <si>
    <t>4650</t>
  </si>
  <si>
    <t>0 Bewirtungskosten 70%</t>
  </si>
  <si>
    <t xml:space="preserve">    0 Hospitality expenses 70%</t>
  </si>
  <si>
    <t>0 Bewirtungskosten intern</t>
  </si>
  <si>
    <t xml:space="preserve">    0 Internal hospitality expenses</t>
  </si>
  <si>
    <t>4653</t>
  </si>
  <si>
    <t>0 Aufmerksamkeiten</t>
  </si>
  <si>
    <t xml:space="preserve">    0 attentions</t>
  </si>
  <si>
    <t>4654</t>
  </si>
  <si>
    <t>0 Nicht abzugsfähige Bewirtungskosten 30%</t>
  </si>
  <si>
    <t xml:space="preserve">    0 Non-deductible entertainment expenses 30%</t>
  </si>
  <si>
    <t>0 Bewirtungskosten extern 70%</t>
  </si>
  <si>
    <t xml:space="preserve">    0 External hospitality expenses 70%</t>
  </si>
  <si>
    <t>4655</t>
  </si>
  <si>
    <t>0 n. abz. Bewirtungskosten extern 30%</t>
  </si>
  <si>
    <t xml:space="preserve">    0 n. abz. Entertainment expenses external 30%</t>
  </si>
  <si>
    <t>4660</t>
  </si>
  <si>
    <t>0 Reisekosten Arbeitnehmer</t>
  </si>
  <si>
    <t xml:space="preserve">    0 Travel expenses employees</t>
  </si>
  <si>
    <t>4663</t>
  </si>
  <si>
    <t>0 Reisekosten Arbeitnehmer, Fahrtkosten</t>
  </si>
  <si>
    <t xml:space="preserve">    0 Travel expenses employees, travel costs</t>
  </si>
  <si>
    <t>2 Reisekosten AN Fahrtkosten externe Proje</t>
  </si>
  <si>
    <t xml:space="preserve">    2 Travel expenses for employee travel costs external projects</t>
  </si>
  <si>
    <t>1 Reisekosten AN Fahrtkosten Team</t>
  </si>
  <si>
    <t xml:space="preserve">    1 Travel expenses employee travel costs team</t>
  </si>
  <si>
    <t>9 Reisekosten Recruiting</t>
  </si>
  <si>
    <t xml:space="preserve">    9 Travel Expenses Recruiting</t>
  </si>
  <si>
    <t>4664</t>
  </si>
  <si>
    <t>1 Reisekosten AN VMA Team</t>
  </si>
  <si>
    <t xml:space="preserve">    1 Travel expenses for VMA team</t>
  </si>
  <si>
    <t>0 Reisekosten AN Verpfleg.mehraufwand</t>
  </si>
  <si>
    <t xml:space="preserve">    0 Travel expenses for additional meal allowance</t>
  </si>
  <si>
    <t>2 Reisekosten AN VMA externe Projekte</t>
  </si>
  <si>
    <t xml:space="preserve">    2 Travel expenses for employees on external projects</t>
  </si>
  <si>
    <t>4666</t>
  </si>
  <si>
    <t>0 Reisekosten AN Übernachtungsaufwand</t>
  </si>
  <si>
    <t xml:space="preserve">    0 Travel expenses to overnight accommodation expenses</t>
  </si>
  <si>
    <t>2 Reisekosten AN Übernachtung externe Proj</t>
  </si>
  <si>
    <t xml:space="preserve">    2 Travel expenses EE Overnight external proj</t>
  </si>
  <si>
    <t>1 Reisekosten AN Übernachtung Team</t>
  </si>
  <si>
    <t xml:space="preserve">    1 Travel expenses EE Overnight stay Team</t>
  </si>
  <si>
    <t>4668</t>
  </si>
  <si>
    <t>0 Kilometergelderstattung Arbeitnehmer</t>
  </si>
  <si>
    <t xml:space="preserve">    0 Kilometer reimbursement employee</t>
  </si>
  <si>
    <t>4801</t>
  </si>
  <si>
    <t>0 Reparatur u.Instandhaltung von Bauten</t>
  </si>
  <si>
    <t xml:space="preserve">    0 Repair and maintenance of buildings</t>
  </si>
  <si>
    <t>4805</t>
  </si>
  <si>
    <t>0 Reparatur/Instandh.v.and.Anlagen u. BGA</t>
  </si>
  <si>
    <t xml:space="preserve">    0 Repair/Maintenance of other equipment and BGA</t>
  </si>
  <si>
    <t>4806</t>
  </si>
  <si>
    <t>0 Wartungskosten für Hard- und Software</t>
  </si>
  <si>
    <t xml:space="preserve">    0 Maintenance costs for hardware and software</t>
  </si>
  <si>
    <t>4809</t>
  </si>
  <si>
    <t>0 Sonstige Reparaturen u.Instandhaltungen</t>
  </si>
  <si>
    <t xml:space="preserve">    0 Other repairs and maintenance</t>
  </si>
  <si>
    <t>4810</t>
  </si>
  <si>
    <t>0 Mietleasing bewegl. WG techn. Anlagen</t>
  </si>
  <si>
    <t xml:space="preserve">    0 Rental leasing of movable tangible assets technical equipment</t>
  </si>
  <si>
    <t>4822</t>
  </si>
  <si>
    <t>0 Abschreibung immaterielle VermG</t>
  </si>
  <si>
    <t xml:space="preserve">    0 Amortization of intangible assets</t>
  </si>
  <si>
    <t>4823</t>
  </si>
  <si>
    <t>0 Abschreibung selbst geschaffene imm. VG</t>
  </si>
  <si>
    <t xml:space="preserve">    0 Amortization of self-created intangible assets</t>
  </si>
  <si>
    <t>4830</t>
  </si>
  <si>
    <t>0 Abschreibungen auf Sachanlagen</t>
  </si>
  <si>
    <t xml:space="preserve">    0 Depreciation on tangible assets</t>
  </si>
  <si>
    <t>4855</t>
  </si>
  <si>
    <t>0 Sofortabschreibung GWG</t>
  </si>
  <si>
    <t xml:space="preserve">    0 Immediate depreciation of low-value assets</t>
  </si>
  <si>
    <t>4860</t>
  </si>
  <si>
    <t>0 Abschreibungen auf aktivierte GWG</t>
  </si>
  <si>
    <t xml:space="preserve">    0 Depreciation on capitalized low-value assets</t>
  </si>
  <si>
    <t>4900</t>
  </si>
  <si>
    <t>0 Sonstige betriebliche Aufwendungen</t>
  </si>
  <si>
    <t xml:space="preserve">    0 Other operating expenses</t>
  </si>
  <si>
    <t>4909</t>
  </si>
  <si>
    <t>1 Headhunter</t>
  </si>
  <si>
    <t xml:space="preserve">    1 Headhunter</t>
  </si>
  <si>
    <t>4910</t>
  </si>
  <si>
    <t>0 Porto</t>
  </si>
  <si>
    <t xml:space="preserve">    0 Postage</t>
  </si>
  <si>
    <t>4920</t>
  </si>
  <si>
    <t>0 Telefon</t>
  </si>
  <si>
    <t xml:space="preserve">    0 Telephone</t>
  </si>
  <si>
    <t>4925</t>
  </si>
  <si>
    <t>0 Telefax und Internetkosten</t>
  </si>
  <si>
    <t xml:space="preserve">    0 Fax and internet costs</t>
  </si>
  <si>
    <t>0 Internetkosten</t>
  </si>
  <si>
    <t xml:space="preserve">    0 Internet costs</t>
  </si>
  <si>
    <t>4930</t>
  </si>
  <si>
    <t>0 Bürobedarf</t>
  </si>
  <si>
    <t xml:space="preserve">    0 Office supplies</t>
  </si>
  <si>
    <t>4940</t>
  </si>
  <si>
    <t>0 Zeitschriften, Bücher (Fachliteratur)</t>
  </si>
  <si>
    <t xml:space="preserve">    0 Magazines, books (specialist literature)</t>
  </si>
  <si>
    <t>0 Zeitschrift./Bücher/dig.Medien(Fachlit.)</t>
  </si>
  <si>
    <t xml:space="preserve">    0 Journals/Books/Digital Media (Technical Literature)</t>
  </si>
  <si>
    <t>4945</t>
  </si>
  <si>
    <t>0 Fortbildungskosten</t>
  </si>
  <si>
    <t xml:space="preserve">    0 Training costs</t>
  </si>
  <si>
    <t>4946</t>
  </si>
  <si>
    <t>0 Freiwillige Sozialleistungen</t>
  </si>
  <si>
    <t xml:space="preserve">    0 Voluntary social benefits</t>
  </si>
  <si>
    <t>4950</t>
  </si>
  <si>
    <t>0 Rechts- und Beratungskosten</t>
  </si>
  <si>
    <t xml:space="preserve">    0 Legal and consulting fees</t>
  </si>
  <si>
    <t>4955</t>
  </si>
  <si>
    <t>0 Buchführungskosten</t>
  </si>
  <si>
    <t xml:space="preserve">    0 Accounting costs</t>
  </si>
  <si>
    <t>4956</t>
  </si>
  <si>
    <t>0 Lohnführungskosten</t>
  </si>
  <si>
    <t xml:space="preserve">    0 Wage management costs</t>
  </si>
  <si>
    <t>4957</t>
  </si>
  <si>
    <t>0 Abschluss- und Prüfungskosten</t>
  </si>
  <si>
    <t xml:space="preserve">    0 Financial statement and audit costs</t>
  </si>
  <si>
    <t>4960</t>
  </si>
  <si>
    <t>0 Mieten für Einrichtungen bewegliche WG</t>
  </si>
  <si>
    <t xml:space="preserve">    0 Rents for movable asset facilities</t>
  </si>
  <si>
    <t>4969</t>
  </si>
  <si>
    <t>0 Aufwand Abraum-/Abfallbeseitigung</t>
  </si>
  <si>
    <t xml:space="preserve">    0 Expense for overburden/waste disposal</t>
  </si>
  <si>
    <t>4970</t>
  </si>
  <si>
    <t>0 Nebenkosten des Geldverkehrs</t>
  </si>
  <si>
    <t xml:space="preserve">    0 Incidental costs of monetary transactions</t>
  </si>
  <si>
    <t>1 Gebühren PayPal</t>
  </si>
  <si>
    <t xml:space="preserve">    1 PayPal fees</t>
  </si>
  <si>
    <t>6 Gebühren Shopify</t>
  </si>
  <si>
    <t xml:space="preserve">    6 Fees Shopify</t>
  </si>
  <si>
    <t>4980</t>
  </si>
  <si>
    <t>0 EDV Hardware</t>
  </si>
  <si>
    <t xml:space="preserve">    0 IT Hardware</t>
  </si>
  <si>
    <t>4981</t>
  </si>
  <si>
    <t>0 sonst. Betriebsbedarf - Kleinmöbel</t>
  </si>
  <si>
    <t xml:space="preserve">    0 other operating expenses - small furniture</t>
  </si>
  <si>
    <t>7000</t>
  </si>
  <si>
    <t>0 Unfertige Erzeugnisse und Leistungen</t>
  </si>
  <si>
    <t xml:space="preserve">    0 Work in progress and services</t>
  </si>
  <si>
    <t>7080</t>
  </si>
  <si>
    <t>0 Unfertige Leistungen</t>
  </si>
  <si>
    <t xml:space="preserve">    0 Unfinished services</t>
  </si>
  <si>
    <t>/WC-Bereinigung/UL</t>
  </si>
  <si>
    <t>1 Unfertige Leistungen - Foodfittery</t>
  </si>
  <si>
    <t xml:space="preserve">    1 Unfinished services - Foodfittery</t>
  </si>
  <si>
    <t>7100</t>
  </si>
  <si>
    <t>1 Bestand Sets Online-Shop</t>
  </si>
  <si>
    <t xml:space="preserve">    1 Inventory Sets Online Shop</t>
  </si>
  <si>
    <t>7110</t>
  </si>
  <si>
    <t>1 Bestand Gewürzmischungen Online-Shop</t>
  </si>
  <si>
    <t xml:space="preserve">    1 Inventory Spice Mixes Online Shop</t>
  </si>
  <si>
    <t>7140</t>
  </si>
  <si>
    <t>1 Bestand Kochbücher Online-Shop</t>
  </si>
  <si>
    <t xml:space="preserve">    1 Inventory Cookbooks Online Shop</t>
  </si>
  <si>
    <t>8300</t>
  </si>
  <si>
    <t>0 Other Operative Revenues 7%</t>
  </si>
  <si>
    <t xml:space="preserve">    0 Other Operative Revenues 7%</t>
  </si>
  <si>
    <t>8301</t>
  </si>
  <si>
    <t>0 Erlöse 7% USt - Verkauf Bücher</t>
  </si>
  <si>
    <t xml:space="preserve">    0 Revenue 7% VAT - Sale of Books</t>
  </si>
  <si>
    <t>8302</t>
  </si>
  <si>
    <t>0 Erlöse Online-Shop 7%</t>
  </si>
  <si>
    <t xml:space="preserve">    0 Revenue Online Shop 7%</t>
  </si>
  <si>
    <t>8305</t>
  </si>
  <si>
    <t>0 Other B2B Revenues 7%</t>
  </si>
  <si>
    <t xml:space="preserve">    0 Other B2B Revenues 7%</t>
  </si>
  <si>
    <t>8336</t>
  </si>
  <si>
    <t>7 Display Adverstising EU</t>
  </si>
  <si>
    <t xml:space="preserve">    7 Display Advertising EU</t>
  </si>
  <si>
    <t>1 Native Advertising EU</t>
  </si>
  <si>
    <t xml:space="preserve">    1 Native Advertising EU</t>
  </si>
  <si>
    <t>9 Native Production EU</t>
  </si>
  <si>
    <t xml:space="preserve">    9 Native Production EU</t>
  </si>
  <si>
    <t>0 Other operative revenues EU</t>
  </si>
  <si>
    <t xml:space="preserve">    0 Other operative revenues EU</t>
  </si>
  <si>
    <t>8337</t>
  </si>
  <si>
    <t>1 B2C Revenues §13b UStG</t>
  </si>
  <si>
    <t xml:space="preserve">    1 B2C Revenues §13b German VAT Act</t>
  </si>
  <si>
    <t>3 B2C Revenues App Stores §13b UStG</t>
  </si>
  <si>
    <t xml:space="preserve">    3 B2C Revenues App Stores §13b German VAT Act</t>
  </si>
  <si>
    <t>8338</t>
  </si>
  <si>
    <t>7 Display Advertising Drittland</t>
  </si>
  <si>
    <t xml:space="preserve">    7 Display Advertising Third Country</t>
  </si>
  <si>
    <t>5 Other B2B  Revenue Drittland</t>
  </si>
  <si>
    <t xml:space="preserve">    5 Other B2B Revenue Third Country</t>
  </si>
  <si>
    <t>9 Native Production Drittland</t>
  </si>
  <si>
    <t xml:space="preserve">    9 Native Production Third Country</t>
  </si>
  <si>
    <t>1 Erlöse Online-Shop Drittland</t>
  </si>
  <si>
    <t xml:space="preserve">    1 Revenues Online Shop Third Country</t>
  </si>
  <si>
    <t xml:space="preserve">0 Other Revenue Drittland </t>
  </si>
  <si>
    <t xml:space="preserve">    0 Other Revenue Third Country</t>
  </si>
  <si>
    <t>8400</t>
  </si>
  <si>
    <t>0 Other Operative Revenues 19% USt</t>
  </si>
  <si>
    <t xml:space="preserve">    0 Other Operative Revenues 19% VAT</t>
  </si>
  <si>
    <t>1 Other Operative Revenues 19% -Affiliates</t>
  </si>
  <si>
    <t xml:space="preserve">    1 Other Operative Revenues 19% -Affiliates</t>
  </si>
  <si>
    <t>2 Erlöse Online-Shop 19%</t>
  </si>
  <si>
    <t xml:space="preserve">    2 Revenue Online Shop 19%</t>
  </si>
  <si>
    <t>8402</t>
  </si>
  <si>
    <t xml:space="preserve">1 Native Adverstising 19% USt </t>
  </si>
  <si>
    <t xml:space="preserve">    1 Native Advertising 19% VAT</t>
  </si>
  <si>
    <t>0 Native Adverstising19% USt</t>
  </si>
  <si>
    <t xml:space="preserve">    0 Native Advertising 19% VAT</t>
  </si>
  <si>
    <t>8404</t>
  </si>
  <si>
    <t>0 Market research 19% USt</t>
  </si>
  <si>
    <t xml:space="preserve">    0 Market research 19% VAT</t>
  </si>
  <si>
    <t>8405</t>
  </si>
  <si>
    <t>0 Other B2B Revenues19% USt</t>
  </si>
  <si>
    <t xml:space="preserve">    0 Other B2B Revenues19% VAT</t>
  </si>
  <si>
    <t>8406</t>
  </si>
  <si>
    <t>0 Service Production19% USt</t>
  </si>
  <si>
    <t xml:space="preserve">    0 Service Production19% VAT</t>
  </si>
  <si>
    <t>1 Service Production19% USt - Affiliates</t>
  </si>
  <si>
    <t xml:space="preserve">    1 Service Production19% VAT - Affiliates</t>
  </si>
  <si>
    <t>2 Native Advertising 19% USt - Affiliates</t>
  </si>
  <si>
    <t xml:space="preserve">    2 Native Advertising 19% VAT - Affiliates</t>
  </si>
  <si>
    <t>8407</t>
  </si>
  <si>
    <t>0 Display Adverstising19% USt</t>
  </si>
  <si>
    <t xml:space="preserve">    0 Display Advertising 19% VAT</t>
  </si>
  <si>
    <t>8409</t>
  </si>
  <si>
    <t>0 Native Production 19% USt</t>
  </si>
  <si>
    <t xml:space="preserve">    0 Native Production 19% VAT</t>
  </si>
  <si>
    <t>1 Native Production 19% USt - Affiliates</t>
  </si>
  <si>
    <t xml:space="preserve">    1 Native Production 19% VAT - Affiliates</t>
  </si>
  <si>
    <t>8603</t>
  </si>
  <si>
    <t>0 Sonstige betriebliche Erträge</t>
  </si>
  <si>
    <t xml:space="preserve">    0 Other operating income</t>
  </si>
  <si>
    <t>8610</t>
  </si>
  <si>
    <t>0 Verrechnete sonstige Sachbezüge</t>
  </si>
  <si>
    <t xml:space="preserve">    0 Offset other non-cash benefits</t>
  </si>
  <si>
    <t>8611</t>
  </si>
  <si>
    <t>0 Verrech. sonstige Sachbezüge Fzg 19% USt</t>
  </si>
  <si>
    <t xml:space="preserve">    0 Offset. other benefits in kind vehicle 19% VAT</t>
  </si>
  <si>
    <t>8613</t>
  </si>
  <si>
    <t>0 Verrechn. sonstige Sachbezüge 19% USt</t>
  </si>
  <si>
    <t xml:space="preserve">    0 Offsetting other benefits in kind 19% VAT</t>
  </si>
  <si>
    <t>8736</t>
  </si>
  <si>
    <t>0 Gewährte Skonti 19 % USt</t>
  </si>
  <si>
    <t xml:space="preserve">    0 Discounts Granted 19% VAT</t>
  </si>
  <si>
    <t>8790</t>
  </si>
  <si>
    <t>0 Gewährte Rabatte 19 % USt</t>
  </si>
  <si>
    <t xml:space="preserve">    0 Granted Discounts 19% VAT</t>
  </si>
  <si>
    <t>8820</t>
  </si>
  <si>
    <t>0 Erlöse Sachanlageverkäufe 19% USt, BG</t>
  </si>
  <si>
    <t xml:space="preserve">    0 Revenue from sale of fixed assets 19% VAT, BG</t>
  </si>
  <si>
    <t>8970</t>
  </si>
  <si>
    <t>2 BV UFL - Native Advertising</t>
  </si>
  <si>
    <t xml:space="preserve">    2 BV UFL - Native Advertising</t>
  </si>
  <si>
    <t>5 BV UFL - Other B2B Revenues</t>
  </si>
  <si>
    <t xml:space="preserve">    5 BV UFL - Other B2B Revenues</t>
  </si>
  <si>
    <t>6 BV UFL - Service Production</t>
  </si>
  <si>
    <t xml:space="preserve">    6 BV UFL - Service Production</t>
  </si>
  <si>
    <t>7 BV UFL - Display Advertising</t>
  </si>
  <si>
    <t xml:space="preserve">    7 BV UFL - Display Advertising</t>
  </si>
  <si>
    <t>9 BV UFL - Native Production</t>
  </si>
  <si>
    <t xml:space="preserve">    9 BV UFL - Native Production</t>
  </si>
  <si>
    <t>0 BV UFL - Other Operative Revenues</t>
  </si>
  <si>
    <t xml:space="preserve">    0 BV UFL - Other Operative Revenues</t>
  </si>
  <si>
    <t>8971</t>
  </si>
  <si>
    <t>0 BV UFL - Foodfittery</t>
  </si>
  <si>
    <t xml:space="preserve">    0 BV UFL - Foodfittery</t>
  </si>
  <si>
    <t>8980</t>
  </si>
  <si>
    <t>1 BV Gewürzmischungen Online-Shop</t>
  </si>
  <si>
    <t xml:space="preserve">    1 BV Spice Blends Online Shop</t>
  </si>
  <si>
    <t>2 BV Sets Online-Shop</t>
  </si>
  <si>
    <t xml:space="preserve">    2 BV Sets Online Shop</t>
  </si>
  <si>
    <t>9000</t>
  </si>
  <si>
    <t>0 Saldenvorträge Sachkonten</t>
  </si>
  <si>
    <t xml:space="preserve">    0 Balance carryforwards general ledger accounts</t>
  </si>
  <si>
    <t>9008</t>
  </si>
  <si>
    <t>0 Saldenvorträge Debitoren</t>
  </si>
  <si>
    <t xml:space="preserve">    0 Balance carried forward debtors</t>
  </si>
  <si>
    <t>9009</t>
  </si>
  <si>
    <t>0 Saldenvorträge Kreditoren</t>
  </si>
  <si>
    <t xml:space="preserve">    0 Balance carryforward creditors</t>
  </si>
  <si>
    <t>9140</t>
  </si>
  <si>
    <t>0 Auftragsbestand</t>
  </si>
  <si>
    <t xml:space="preserve">    0 Order Backlog</t>
  </si>
  <si>
    <t>9199</t>
  </si>
  <si>
    <t>0 Gegenkonto zu Konten 9120, 9135-9140</t>
  </si>
  <si>
    <t xml:space="preserve">    0 Offset account to accounts 9120, 9135-9140</t>
  </si>
  <si>
    <t>9960</t>
  </si>
  <si>
    <t>0 Bewertungskorrektur zu Forderungen L+L</t>
  </si>
  <si>
    <t xml:space="preserve">    0 Valuation adjustment to accounts receivable L+L</t>
  </si>
  <si>
    <t>Trial Balance</t>
  </si>
  <si>
    <t>Sonstige VG</t>
  </si>
  <si>
    <t>sonstige VG + debitorische Kreditoren</t>
  </si>
  <si>
    <t>Verlustvortrag</t>
  </si>
  <si>
    <t>JÜ</t>
  </si>
  <si>
    <t>EK Jahresende 2022</t>
  </si>
  <si>
    <t>Veränderung Kapitalrücklage</t>
  </si>
  <si>
    <t>EK Jahresende 2023</t>
  </si>
  <si>
    <t>EK Jahresende 2024</t>
  </si>
  <si>
    <t>EK Jahresende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</si>
</sst>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9BAA9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4" fillId="4" borderId="0" xfId="0" applyFont="1" applyFill="1" applyAlignment="1">
      <alignment horizontal="left"/>
    </xf>
    <xf numFmtId="0" fontId="0" fillId="4" borderId="0" xfId="0" applyFill="1"/>
    <xf numFmtId="165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0" fillId="0" borderId="1" xfId="1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4" fillId="0" borderId="0" xfId="0" applyFont="1"/>
  </cellXfs>
  <cellStyles count="2">
    <cellStyle name="Comma 2" xfId="1" xr:uid="{C5BEFFD2-00C0-47F4-AC2B-A8D811573D4D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Project_Kitchenstories_databook_v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Cockpit"/>
      <sheetName val="Datengrundlage"/>
      <sheetName val="Think Cell"/>
      <sheetName val="Trial Balance (Susa)"/>
      <sheetName val="Lead &gt;&gt;"/>
      <sheetName val="Lead PL"/>
      <sheetName val="Lead NA"/>
      <sheetName val="Lead CF"/>
      <sheetName val="PL &gt;&gt;"/>
      <sheetName val="PL_PEX"/>
      <sheetName val="PL_Top customer"/>
      <sheetName val="PL_oOPEX"/>
      <sheetName val="PL_YTD"/>
      <sheetName val="PL_QoE"/>
      <sheetName val="NA &gt;&gt;"/>
      <sheetName val="NA_Ford LuL"/>
      <sheetName val="NA_Verb LuL"/>
      <sheetName val="NA_TWC"/>
      <sheetName val="NA_Net Debt"/>
      <sheetName val="NA_monthly"/>
      <sheetName val="NA_CAPEX"/>
      <sheetName val="NA_Vorräte"/>
      <sheetName val="Weitere Vorlagen &gt;&gt;"/>
      <sheetName val="PL_monthly"/>
      <sheetName val="PL_Dummy"/>
      <sheetName val="PL_Rohergebnis"/>
      <sheetName val="PL_Preis_Menge"/>
      <sheetName val="CF_monthly"/>
      <sheetName val="NA_Dummy"/>
      <sheetName val="NA_Sachanlagen"/>
      <sheetName val="NA_Cons"/>
      <sheetName val="PL_Cons"/>
      <sheetName val="Delta_JA_SuSa"/>
      <sheetName val="Plan_IST_Vergleich"/>
      <sheetName val="&gt;&gt; Input"/>
      <sheetName val="&gt;&gt; Personal"/>
      <sheetName val="Heads"/>
      <sheetName val="&gt;&gt; SuSa_JA"/>
      <sheetName val="Balance Sheet (Annual Report)"/>
      <sheetName val="P&amp;L (Annual Report)"/>
      <sheetName val="P&amp;L (Susa)"/>
      <sheetName val="Balance Sheet (Susa)"/>
      <sheetName val="Recon"/>
      <sheetName val="Business Plan &gt;&gt;"/>
      <sheetName val="PnL"/>
      <sheetName val="Rückstellungen &gt;&gt;"/>
      <sheetName val="Kontoblatt  WJ 2024"/>
      <sheetName val="Management Reporting&gt;&gt;"/>
      <sheetName val="PnL Act 2024"/>
      <sheetName val="P&amp;L Act - AJNS 2023"/>
      <sheetName val="P&amp;L - Act_BSH (IFRS) 2022"/>
      <sheetName val="Debitoren Kreditoren Analyse&gt;&gt;"/>
      <sheetName val="2024 Debitoren"/>
      <sheetName val="2025 Debitoren"/>
      <sheetName val="2024 Kreditoren"/>
      <sheetName val="2025 Kreditoren"/>
      <sheetName val="Rst-Aufrisse&gt;&gt;"/>
      <sheetName val="2022 Rst.Personal"/>
      <sheetName val="2023 Rst.Personal"/>
      <sheetName val="2024 Rst.Personal"/>
      <sheetName val="2025 Rst.Personal"/>
      <sheetName val="2022 Erträge Aufl. Rst"/>
      <sheetName val="2023 Erträge Aufl. Rst"/>
      <sheetName val="2024 Erträge Aufl. Rst"/>
      <sheetName val="Umsatzzuordnung&gt;&gt;"/>
      <sheetName val="Umsatzzuordn."/>
      <sheetName val="Susas 04.10.25&gt;&gt;"/>
      <sheetName val="Sheet4"/>
      <sheetName val="SuSa_2024"/>
      <sheetName val="SuSa_2025"/>
      <sheetName val="--&gt; sbE"/>
      <sheetName val="Kontoblatt  WJ 2024 (2)"/>
      <sheetName val="PEX Analyse&gt;&gt;"/>
      <sheetName val="4127 GF-Gehälter 2024"/>
      <sheetName val="4127 GF-Gehälter 2025"/>
      <sheetName val="4120 Gehälter 2024"/>
      <sheetName val="4120 Gehälter 2025"/>
      <sheetName val="4110 Löhne 2024"/>
      <sheetName val="--&gt; Sonstiges"/>
      <sheetName val="Trial Balance Dropdown"/>
      <sheetName val="Abkürzungsverzeichnis"/>
      <sheetName val="UPSLIDE_UndoFormatting"/>
      <sheetName val="UPSLIDE_Undo"/>
      <sheetName val="DS_INTERNAL_DOCUMENT_STORAGE"/>
      <sheetName val="DS_INTERNAL_SETTINGS_STORAGE"/>
      <sheetName val="DS_INTERNAL_DOCGROUP_STORAGE"/>
      <sheetName val="DS_INTERNAL_SNIP_STORAGE"/>
    </sheetNames>
    <sheetDataSet>
      <sheetData sheetId="0"/>
      <sheetData sheetId="1"/>
      <sheetData sheetId="2"/>
      <sheetData sheetId="3"/>
      <sheetData sheetId="4"/>
      <sheetData sheetId="5"/>
      <sheetData sheetId="6">
        <row r="54">
          <cell r="F54">
            <v>2038.9128799999999</v>
          </cell>
          <cell r="G54">
            <v>5245.6886000000004</v>
          </cell>
          <cell r="H54">
            <v>2236.2310400000001</v>
          </cell>
          <cell r="J54">
            <v>1039.5310100000002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">
          <cell r="C1" t="str">
            <v>in EUR</v>
          </cell>
          <cell r="J1" t="str">
            <v>Rev Stream lt Businessplan</v>
          </cell>
        </row>
        <row r="2">
          <cell r="C2" t="str">
            <v>0 Other Operative Revenues 7%</v>
          </cell>
          <cell r="J2" t="str">
            <v>/profit and loss/income/sales/other</v>
          </cell>
        </row>
        <row r="3">
          <cell r="C3" t="str">
            <v>0 Erlöse 7% USt - Verkauf Bücher</v>
          </cell>
          <cell r="J3" t="str">
            <v>/profit and loss/income/sales/other</v>
          </cell>
        </row>
        <row r="4">
          <cell r="C4" t="str">
            <v>0 Erlöse Online-Shop 7%</v>
          </cell>
          <cell r="J4" t="str">
            <v>/profit and loss/income/sales/B2C</v>
          </cell>
        </row>
        <row r="5">
          <cell r="C5" t="str">
            <v>0 Other B2B Revenues 7%</v>
          </cell>
          <cell r="J5" t="str">
            <v>/profit and loss/income/sales/B2B</v>
          </cell>
        </row>
        <row r="6">
          <cell r="C6" t="str">
            <v>7 Display Adverstising EU</v>
          </cell>
          <cell r="J6" t="str">
            <v>/profit and loss/income/sales/B2B</v>
          </cell>
        </row>
        <row r="7">
          <cell r="C7" t="str">
            <v>1 Native Advertising EU</v>
          </cell>
          <cell r="J7" t="str">
            <v>/profit and loss/income/sales/B2B</v>
          </cell>
        </row>
        <row r="8">
          <cell r="C8" t="str">
            <v>9 Native Production EU</v>
          </cell>
          <cell r="J8" t="str">
            <v>/profit and loss/income/sales/B2B</v>
          </cell>
        </row>
        <row r="9">
          <cell r="C9" t="str">
            <v>0 Other operative revenues EU</v>
          </cell>
          <cell r="J9" t="str">
            <v>/profit and loss/income/sales/other</v>
          </cell>
        </row>
        <row r="10">
          <cell r="C10" t="str">
            <v>1 B2C Revenues §13b UStG</v>
          </cell>
          <cell r="J10" t="str">
            <v>/profit and loss/income/sales/B2C</v>
          </cell>
        </row>
        <row r="11">
          <cell r="C11" t="str">
            <v>3 B2C Revenues App Stores §13b UStG</v>
          </cell>
          <cell r="J11" t="str">
            <v>/profit and loss/income/sales/B2C</v>
          </cell>
        </row>
        <row r="12">
          <cell r="C12" t="str">
            <v>7 Display Advertising Drittland</v>
          </cell>
          <cell r="J12" t="str">
            <v>/profit and loss/income/sales/B2B</v>
          </cell>
        </row>
        <row r="13">
          <cell r="C13" t="str">
            <v>5 Other B2B  Revenue Drittland</v>
          </cell>
          <cell r="J13" t="str">
            <v>/profit and loss/income/sales/B2B</v>
          </cell>
        </row>
        <row r="14">
          <cell r="C14" t="str">
            <v>9 Native Production Drittland</v>
          </cell>
          <cell r="J14" t="str">
            <v>/profit and loss/income/sales/B2B</v>
          </cell>
        </row>
        <row r="15">
          <cell r="C15" t="str">
            <v>1 Erlöse Online-Shop Drittland</v>
          </cell>
          <cell r="J15" t="str">
            <v>/profit and loss/income/sales/B2C</v>
          </cell>
        </row>
        <row r="16">
          <cell r="C16" t="str">
            <v xml:space="preserve">0 Other Revenue Drittland </v>
          </cell>
          <cell r="J16" t="str">
            <v>/profit and loss/income/sales/other</v>
          </cell>
        </row>
        <row r="17">
          <cell r="C17" t="str">
            <v>0 Other Operative Revenues 19% USt</v>
          </cell>
          <cell r="J17" t="str">
            <v>/profit and loss/income/sales/B2B</v>
          </cell>
        </row>
        <row r="18">
          <cell r="C18" t="str">
            <v>1 Other Operative Revenues 19% -Affiliates</v>
          </cell>
          <cell r="J18" t="str">
            <v>/profit and loss/income/sales/BSH</v>
          </cell>
        </row>
        <row r="19">
          <cell r="C19" t="str">
            <v>2 Erlöse Online-Shop 19%</v>
          </cell>
          <cell r="J19" t="str">
            <v>/profit and loss/income/sales/B2C</v>
          </cell>
        </row>
        <row r="20">
          <cell r="C20" t="str">
            <v xml:space="preserve">1 Native Adverstising 19% USt </v>
          </cell>
          <cell r="J20" t="str">
            <v>/profit and loss/income/sales/B2B</v>
          </cell>
        </row>
        <row r="21">
          <cell r="C21" t="str">
            <v>0 Native Adverstising19% USt</v>
          </cell>
          <cell r="J21" t="str">
            <v>/profit and loss/income/sales/B2B</v>
          </cell>
        </row>
        <row r="22">
          <cell r="C22" t="str">
            <v>0 Market research 19% USt</v>
          </cell>
          <cell r="J22" t="str">
            <v>/profit and loss/income/sales/other</v>
          </cell>
        </row>
        <row r="23">
          <cell r="C23" t="str">
            <v>0 Other B2B Revenues19% USt</v>
          </cell>
          <cell r="J23" t="str">
            <v>/profit and loss/income/sales/B2B</v>
          </cell>
        </row>
        <row r="24">
          <cell r="C24" t="str">
            <v>0 Service Production19% USt</v>
          </cell>
          <cell r="J24" t="str">
            <v>/profit and loss/income/sales/B2B</v>
          </cell>
        </row>
        <row r="25">
          <cell r="C25" t="str">
            <v>1 Service Production19% USt - Affiliates</v>
          </cell>
          <cell r="J25" t="str">
            <v>/profit and loss/income/sales/BSH</v>
          </cell>
        </row>
        <row r="26">
          <cell r="C26" t="str">
            <v>2 Native Advertising 19% USt - Affiliates</v>
          </cell>
          <cell r="J26" t="str">
            <v>/profit and loss/income/sales/BSH</v>
          </cell>
        </row>
        <row r="27">
          <cell r="C27" t="str">
            <v>0 Display Adverstising19% USt</v>
          </cell>
          <cell r="J27" t="str">
            <v>/profit and loss/income/sales/B2B</v>
          </cell>
        </row>
        <row r="28">
          <cell r="C28" t="str">
            <v>0 Native Production 19% USt</v>
          </cell>
          <cell r="J28" t="str">
            <v>/profit and loss/income/sales/B2B</v>
          </cell>
        </row>
        <row r="29">
          <cell r="C29" t="str">
            <v>1 Native Production 19% USt - Affiliates</v>
          </cell>
          <cell r="J29" t="str">
            <v>/profit and loss/income/sales/BSH</v>
          </cell>
        </row>
        <row r="30">
          <cell r="C30" t="str">
            <v>0 Gewährte Skonti 19 % USt</v>
          </cell>
          <cell r="J30" t="str">
            <v>/profit and loss/income/sales/B2B</v>
          </cell>
        </row>
        <row r="31">
          <cell r="C31" t="str">
            <v>0 Gewährte Rabatte 19 % USt</v>
          </cell>
          <cell r="J31" t="str">
            <v>/profit and loss/income/sales/B2B</v>
          </cell>
        </row>
      </sheetData>
      <sheetData sheetId="67"/>
      <sheetData sheetId="68"/>
      <sheetData sheetId="69">
        <row r="2">
          <cell r="B2" t="str">
            <v>Beschriftung</v>
          </cell>
          <cell r="BN2" t="str">
            <v>Jan/2024</v>
          </cell>
          <cell r="BO2" t="str">
            <v>Feb/2024</v>
          </cell>
          <cell r="BP2" t="str">
            <v>Mrz/2024</v>
          </cell>
          <cell r="BQ2" t="str">
            <v>Apr/2024</v>
          </cell>
          <cell r="BR2" t="str">
            <v>Mai/2024</v>
          </cell>
          <cell r="BS2" t="str">
            <v>Jun/2024</v>
          </cell>
          <cell r="BT2" t="str">
            <v>Jul/2024</v>
          </cell>
          <cell r="BU2" t="str">
            <v>Aug/2024</v>
          </cell>
          <cell r="BV2" t="str">
            <v>Sep/2024</v>
          </cell>
          <cell r="BW2" t="str">
            <v>Okt/2024</v>
          </cell>
          <cell r="BX2" t="str">
            <v>Nov/2024</v>
          </cell>
          <cell r="BY2" t="str">
            <v>Dez/2024</v>
          </cell>
        </row>
        <row r="3">
          <cell r="B3" t="str">
            <v>0 Ähnl. Rechte, Werte, entgeltl. erworben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</row>
        <row r="4">
          <cell r="B4" t="str">
            <v>0 Selbst geschaffene immaterielle VermG.</v>
          </cell>
          <cell r="BN4">
            <v>8</v>
          </cell>
          <cell r="BO4">
            <v>8</v>
          </cell>
          <cell r="BP4">
            <v>8</v>
          </cell>
          <cell r="BQ4">
            <v>8</v>
          </cell>
          <cell r="BR4">
            <v>8</v>
          </cell>
          <cell r="BS4">
            <v>8</v>
          </cell>
          <cell r="BT4">
            <v>8</v>
          </cell>
          <cell r="BU4">
            <v>8</v>
          </cell>
          <cell r="BV4">
            <v>8</v>
          </cell>
          <cell r="BW4">
            <v>8</v>
          </cell>
          <cell r="BX4">
            <v>8</v>
          </cell>
          <cell r="BY4">
            <v>8</v>
          </cell>
        </row>
        <row r="5">
          <cell r="B5" t="str">
            <v>9 Unnamed Account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</row>
        <row r="6">
          <cell r="B6" t="str">
            <v>0 Betriebs- und Geschäftsausstattung</v>
          </cell>
          <cell r="BN6">
            <v>4615.22</v>
          </cell>
          <cell r="BO6">
            <v>4512.42</v>
          </cell>
          <cell r="BP6">
            <v>4409.6400000000003</v>
          </cell>
          <cell r="BQ6">
            <v>4306.8200000000006</v>
          </cell>
          <cell r="BR6">
            <v>4204.0200000000004</v>
          </cell>
          <cell r="BS6">
            <v>4126.0400000000009</v>
          </cell>
          <cell r="BT6">
            <v>4048.0200000000009</v>
          </cell>
          <cell r="BU6">
            <v>3970.0200000000009</v>
          </cell>
          <cell r="BV6">
            <v>3892.0400000000009</v>
          </cell>
          <cell r="BW6">
            <v>3814.0200000000009</v>
          </cell>
          <cell r="BX6">
            <v>3736.0200000000009</v>
          </cell>
          <cell r="BY6">
            <v>3658.0000000000009</v>
          </cell>
        </row>
        <row r="7">
          <cell r="B7" t="str">
            <v>0 Betriebsausstattung</v>
          </cell>
          <cell r="BN7">
            <v>54061.279999999999</v>
          </cell>
          <cell r="BO7">
            <v>52155.53</v>
          </cell>
          <cell r="BP7">
            <v>50249.81</v>
          </cell>
          <cell r="BQ7">
            <v>48344.03</v>
          </cell>
          <cell r="BR7">
            <v>50858.28</v>
          </cell>
          <cell r="BS7">
            <v>49836.56</v>
          </cell>
          <cell r="BT7">
            <v>48814.78</v>
          </cell>
          <cell r="BU7">
            <v>47793.03</v>
          </cell>
          <cell r="BV7">
            <v>46771.31</v>
          </cell>
          <cell r="BW7">
            <v>45749.53</v>
          </cell>
          <cell r="BX7">
            <v>44727.78</v>
          </cell>
          <cell r="BY7">
            <v>43706</v>
          </cell>
        </row>
        <row r="8">
          <cell r="B8" t="str">
            <v>0 Geschäftsausstattung (Technik)</v>
          </cell>
          <cell r="BN8">
            <v>45240.35</v>
          </cell>
          <cell r="BO8">
            <v>44743.82</v>
          </cell>
          <cell r="BP8">
            <v>45407.71</v>
          </cell>
          <cell r="BQ8">
            <v>42705.51</v>
          </cell>
          <cell r="BR8">
            <v>42070.490000000005</v>
          </cell>
          <cell r="BS8">
            <v>37133.210000000006</v>
          </cell>
          <cell r="BT8">
            <v>35232.140000000007</v>
          </cell>
          <cell r="BU8">
            <v>33331.260000000009</v>
          </cell>
          <cell r="BV8">
            <v>31448.720000000008</v>
          </cell>
          <cell r="BW8">
            <v>29571.540000000008</v>
          </cell>
          <cell r="BX8">
            <v>27795.380000000008</v>
          </cell>
          <cell r="BY8">
            <v>26193.000000000007</v>
          </cell>
        </row>
        <row r="9">
          <cell r="B9" t="str">
            <v>0 Büroeinrichtung</v>
          </cell>
          <cell r="BN9">
            <v>132024.73000000001</v>
          </cell>
          <cell r="BO9">
            <v>130042.41</v>
          </cell>
          <cell r="BP9">
            <v>128060.14</v>
          </cell>
          <cell r="BQ9">
            <v>126075.77</v>
          </cell>
          <cell r="BR9">
            <v>124093.45</v>
          </cell>
          <cell r="BS9">
            <v>122111.18</v>
          </cell>
          <cell r="BT9">
            <v>120128.81</v>
          </cell>
          <cell r="BU9">
            <v>118176.05</v>
          </cell>
          <cell r="BV9">
            <v>116223.35</v>
          </cell>
          <cell r="BW9">
            <v>114270.55</v>
          </cell>
          <cell r="BX9">
            <v>112317.8</v>
          </cell>
          <cell r="BY9">
            <v>110365</v>
          </cell>
        </row>
        <row r="10">
          <cell r="B10" t="str">
            <v>0 Einbauten in fremde Grundstücke</v>
          </cell>
          <cell r="BN10">
            <v>22425.84</v>
          </cell>
          <cell r="BO10">
            <v>22055.68</v>
          </cell>
          <cell r="BP10">
            <v>21685.52</v>
          </cell>
          <cell r="BQ10">
            <v>21315.34</v>
          </cell>
          <cell r="BR10">
            <v>20945.18</v>
          </cell>
          <cell r="BS10">
            <v>20575.02</v>
          </cell>
          <cell r="BT10">
            <v>20204.84</v>
          </cell>
          <cell r="BU10">
            <v>19834.68</v>
          </cell>
          <cell r="BV10">
            <v>19464.52</v>
          </cell>
          <cell r="BW10">
            <v>19094.34</v>
          </cell>
          <cell r="BX10">
            <v>18724.18</v>
          </cell>
          <cell r="BY10">
            <v>18354</v>
          </cell>
        </row>
        <row r="11">
          <cell r="B11" t="str">
            <v>0 Geringwertige Wirtschaftsgüter</v>
          </cell>
          <cell r="BN11">
            <v>2940.69</v>
          </cell>
          <cell r="BO11">
            <v>2818.35</v>
          </cell>
          <cell r="BP11">
            <v>3319.27</v>
          </cell>
          <cell r="BQ11">
            <v>3152.77</v>
          </cell>
          <cell r="BR11">
            <v>2998.54</v>
          </cell>
          <cell r="BS11">
            <v>2885.94</v>
          </cell>
          <cell r="BT11">
            <v>2773.29</v>
          </cell>
          <cell r="BU11">
            <v>2660.66</v>
          </cell>
          <cell r="BV11">
            <v>2548.0699999999997</v>
          </cell>
          <cell r="BW11">
            <v>2439.85</v>
          </cell>
          <cell r="BX11">
            <v>2331.67</v>
          </cell>
          <cell r="BY11">
            <v>2120</v>
          </cell>
        </row>
        <row r="12">
          <cell r="B12" t="str">
            <v>1 GWG - Technik</v>
          </cell>
          <cell r="BN12">
            <v>403.09</v>
          </cell>
          <cell r="BO12">
            <v>387.17999999999995</v>
          </cell>
          <cell r="BP12">
            <v>371.26999999999992</v>
          </cell>
          <cell r="BQ12">
            <v>355.33999999999992</v>
          </cell>
          <cell r="BR12">
            <v>339.42999999999989</v>
          </cell>
          <cell r="BS12">
            <v>323.51999999999987</v>
          </cell>
          <cell r="BT12">
            <v>307.58999999999986</v>
          </cell>
          <cell r="BU12">
            <v>291.67999999999984</v>
          </cell>
          <cell r="BV12">
            <v>275.76999999999981</v>
          </cell>
          <cell r="BW12">
            <v>259.8399999999998</v>
          </cell>
          <cell r="BX12">
            <v>243.92999999999981</v>
          </cell>
          <cell r="BY12">
            <v>227.9999999999998</v>
          </cell>
        </row>
        <row r="13">
          <cell r="B13" t="str">
            <v>0 Übrige sonstige Ausleihungen</v>
          </cell>
          <cell r="BN13">
            <v>48138.76</v>
          </cell>
          <cell r="BO13">
            <v>48138.76</v>
          </cell>
          <cell r="BP13">
            <v>48138.76</v>
          </cell>
          <cell r="BQ13">
            <v>48138.76</v>
          </cell>
          <cell r="BR13">
            <v>48138.76</v>
          </cell>
          <cell r="BS13">
            <v>48138.76</v>
          </cell>
          <cell r="BT13">
            <v>48138.76</v>
          </cell>
          <cell r="BU13">
            <v>48138.76</v>
          </cell>
          <cell r="BV13">
            <v>48138.76</v>
          </cell>
          <cell r="BW13">
            <v>48138.76</v>
          </cell>
          <cell r="BX13">
            <v>48138.76</v>
          </cell>
          <cell r="BY13">
            <v>48138.76</v>
          </cell>
        </row>
        <row r="14">
          <cell r="B14" t="str">
            <v>0 Cash-Pool</v>
          </cell>
          <cell r="BN14">
            <v>-302445.36</v>
          </cell>
          <cell r="BO14">
            <v>-520357.08999999997</v>
          </cell>
          <cell r="BP14">
            <v>-746228.52</v>
          </cell>
          <cell r="BQ14">
            <v>-1292727.57</v>
          </cell>
          <cell r="BR14">
            <v>-2250903.6100000003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5">
          <cell r="B15" t="str">
            <v>0 Gezeichnetes Kapital</v>
          </cell>
          <cell r="BN15">
            <v>-90355</v>
          </cell>
          <cell r="BO15">
            <v>-90355</v>
          </cell>
          <cell r="BP15">
            <v>-90355</v>
          </cell>
          <cell r="BQ15">
            <v>-90355</v>
          </cell>
          <cell r="BR15">
            <v>-90355</v>
          </cell>
          <cell r="BS15">
            <v>-90355</v>
          </cell>
          <cell r="BT15">
            <v>-90355</v>
          </cell>
          <cell r="BU15">
            <v>-90355</v>
          </cell>
          <cell r="BV15">
            <v>-90355</v>
          </cell>
          <cell r="BW15">
            <v>-90355</v>
          </cell>
          <cell r="BX15">
            <v>-90355</v>
          </cell>
          <cell r="BY15">
            <v>-90355</v>
          </cell>
        </row>
        <row r="16">
          <cell r="B16" t="str">
            <v>0 Kapitalrücklage</v>
          </cell>
          <cell r="BN16">
            <v>-20872625.34</v>
          </cell>
          <cell r="BO16">
            <v>-20872625.34</v>
          </cell>
          <cell r="BP16">
            <v>-20872625.34</v>
          </cell>
          <cell r="BQ16">
            <v>-20872625.34</v>
          </cell>
          <cell r="BR16">
            <v>-20872625.34</v>
          </cell>
          <cell r="BS16">
            <v>-24184071.600000001</v>
          </cell>
          <cell r="BT16">
            <v>-24184071.600000001</v>
          </cell>
          <cell r="BU16">
            <v>-24184071.600000001</v>
          </cell>
          <cell r="BV16">
            <v>-24184071.600000001</v>
          </cell>
          <cell r="BW16">
            <v>-24184071.600000001</v>
          </cell>
          <cell r="BX16">
            <v>-24184071.600000001</v>
          </cell>
          <cell r="BY16">
            <v>-24184071.600000001</v>
          </cell>
        </row>
        <row r="17">
          <cell r="B17" t="str">
            <v>0 Verlustvortrag vor Verwendung</v>
          </cell>
          <cell r="BN17">
            <v>20956901.109999999</v>
          </cell>
          <cell r="BO17">
            <v>20956901.109999999</v>
          </cell>
          <cell r="BP17">
            <v>20956901.109999999</v>
          </cell>
          <cell r="BQ17">
            <v>20956901.109999999</v>
          </cell>
          <cell r="BR17">
            <v>20956901.109999999</v>
          </cell>
          <cell r="BS17">
            <v>20956901.109999999</v>
          </cell>
          <cell r="BT17">
            <v>20956901.109999999</v>
          </cell>
          <cell r="BU17">
            <v>20956901.109999999</v>
          </cell>
          <cell r="BV17">
            <v>20956901.109999999</v>
          </cell>
          <cell r="BW17">
            <v>20956901.109999999</v>
          </cell>
          <cell r="BX17">
            <v>20956901.109999999</v>
          </cell>
          <cell r="BY17">
            <v>20956901.109999999</v>
          </cell>
        </row>
        <row r="18">
          <cell r="B18" t="str">
            <v>0 Rückstellungen für Personalkosten</v>
          </cell>
          <cell r="BN18">
            <v>-697581.5</v>
          </cell>
          <cell r="BO18">
            <v>-620314.84</v>
          </cell>
          <cell r="BP18">
            <v>-640364.72</v>
          </cell>
          <cell r="BQ18">
            <v>-115708.28000000003</v>
          </cell>
          <cell r="BR18">
            <v>-140758.16000000003</v>
          </cell>
          <cell r="BS18">
            <v>-165808.04000000004</v>
          </cell>
          <cell r="BT18">
            <v>-165808.04000000004</v>
          </cell>
          <cell r="BU18">
            <v>-215907.80000000005</v>
          </cell>
          <cell r="BV18">
            <v>-240957.68000000005</v>
          </cell>
          <cell r="BW18">
            <v>-266007.56000000006</v>
          </cell>
          <cell r="BX18">
            <v>-291057.44000000006</v>
          </cell>
          <cell r="BY18">
            <v>-78836.000000000058</v>
          </cell>
        </row>
        <row r="19">
          <cell r="B19" t="str">
            <v>0 Rückstellungen für Aufbewahrungspflicht</v>
          </cell>
          <cell r="BN19">
            <v>-1033.81</v>
          </cell>
          <cell r="BO19">
            <v>-1033.81</v>
          </cell>
          <cell r="BP19">
            <v>-1033.81</v>
          </cell>
          <cell r="BQ19">
            <v>-1033.81</v>
          </cell>
          <cell r="BR19">
            <v>-1033.81</v>
          </cell>
          <cell r="BS19">
            <v>-1033.81</v>
          </cell>
          <cell r="BT19">
            <v>-1033.81</v>
          </cell>
          <cell r="BU19">
            <v>-1033.81</v>
          </cell>
          <cell r="BV19">
            <v>-1033.81</v>
          </cell>
          <cell r="BW19">
            <v>-1033.81</v>
          </cell>
          <cell r="BX19">
            <v>-1033.81</v>
          </cell>
          <cell r="BY19">
            <v>-1033.81</v>
          </cell>
        </row>
        <row r="20">
          <cell r="B20" t="str">
            <v>0 Sonstige Rückstellungen</v>
          </cell>
          <cell r="BN20">
            <v>-135754.78</v>
          </cell>
          <cell r="BO20">
            <v>-106274.73</v>
          </cell>
          <cell r="BP20">
            <v>-94730.559999999998</v>
          </cell>
          <cell r="BQ20">
            <v>-99412.78</v>
          </cell>
          <cell r="BR20">
            <v>-98480.069999999992</v>
          </cell>
          <cell r="BS20">
            <v>-86511.76999999999</v>
          </cell>
          <cell r="BT20">
            <v>-86511.76999999999</v>
          </cell>
          <cell r="BU20">
            <v>-87511.76999999999</v>
          </cell>
          <cell r="BV20">
            <v>-88011.76999999999</v>
          </cell>
          <cell r="BW20">
            <v>-88511.76999999999</v>
          </cell>
          <cell r="BX20">
            <v>-89011.76999999999</v>
          </cell>
          <cell r="BY20">
            <v>-14349.999999999985</v>
          </cell>
        </row>
        <row r="21">
          <cell r="B21" t="str">
            <v>0 Rückstellungen für Abschluss u. Prüfung</v>
          </cell>
          <cell r="BN21">
            <v>-49962.37</v>
          </cell>
          <cell r="BO21">
            <v>-53295.700000000004</v>
          </cell>
          <cell r="BP21">
            <v>-56629.030000000006</v>
          </cell>
          <cell r="BQ21">
            <v>-59962.360000000008</v>
          </cell>
          <cell r="BR21">
            <v>-63295.69000000001</v>
          </cell>
          <cell r="BS21">
            <v>-35807.98000000001</v>
          </cell>
          <cell r="BT21">
            <v>-35807.98000000001</v>
          </cell>
          <cell r="BU21">
            <v>-42474.640000000014</v>
          </cell>
          <cell r="BV21">
            <v>-45807.970000000016</v>
          </cell>
          <cell r="BW21">
            <v>-49141.300000000017</v>
          </cell>
          <cell r="BX21">
            <v>-52474.630000000019</v>
          </cell>
          <cell r="BY21">
            <v>-11300.000000000022</v>
          </cell>
        </row>
        <row r="22">
          <cell r="B22" t="str">
            <v>0 Aktive Rechnungsabgrenzung</v>
          </cell>
          <cell r="BN22">
            <v>107754.84</v>
          </cell>
          <cell r="BO22">
            <v>104112.4</v>
          </cell>
          <cell r="BP22">
            <v>95404.28</v>
          </cell>
          <cell r="BQ22">
            <v>89307.19</v>
          </cell>
          <cell r="BR22">
            <v>103363.55</v>
          </cell>
          <cell r="BS22">
            <v>65096.12</v>
          </cell>
          <cell r="BT22">
            <v>68348.62</v>
          </cell>
          <cell r="BU22">
            <v>47837.59</v>
          </cell>
          <cell r="BV22">
            <v>37031.06</v>
          </cell>
          <cell r="BW22">
            <v>26811.85</v>
          </cell>
          <cell r="BX22">
            <v>19391.53</v>
          </cell>
          <cell r="BY22">
            <v>14418.289999999999</v>
          </cell>
        </row>
        <row r="23">
          <cell r="B23" t="str">
            <v>0 Passive Rechnungsabgrenzung</v>
          </cell>
          <cell r="BN23">
            <v>0</v>
          </cell>
          <cell r="BO23">
            <v>0</v>
          </cell>
          <cell r="BP23">
            <v>-3150</v>
          </cell>
          <cell r="BQ23">
            <v>31326.17</v>
          </cell>
          <cell r="BR23">
            <v>20550</v>
          </cell>
          <cell r="BS23">
            <v>-31287.379999999997</v>
          </cell>
          <cell r="BT23">
            <v>-30593.21</v>
          </cell>
          <cell r="BU23">
            <v>-17359.43</v>
          </cell>
          <cell r="BV23">
            <v>-14949.79</v>
          </cell>
          <cell r="BW23">
            <v>-12540.150000000001</v>
          </cell>
          <cell r="BX23">
            <v>-10130.510000000002</v>
          </cell>
          <cell r="BY23">
            <v>-29637.86</v>
          </cell>
        </row>
        <row r="24">
          <cell r="B24" t="str">
            <v>0 Kasse</v>
          </cell>
          <cell r="BN24">
            <v>1762.87</v>
          </cell>
          <cell r="BO24">
            <v>1762.87</v>
          </cell>
          <cell r="BP24">
            <v>1762.87</v>
          </cell>
          <cell r="BQ24">
            <v>1762.87</v>
          </cell>
          <cell r="BR24">
            <v>1762.87</v>
          </cell>
          <cell r="BS24">
            <v>1762.87</v>
          </cell>
          <cell r="BT24">
            <v>1762.87</v>
          </cell>
          <cell r="BU24">
            <v>1762.87</v>
          </cell>
          <cell r="BV24">
            <v>1762.87</v>
          </cell>
          <cell r="BW24">
            <v>1762.87</v>
          </cell>
          <cell r="BX24">
            <v>1762.87</v>
          </cell>
          <cell r="BY24">
            <v>1762.87</v>
          </cell>
        </row>
        <row r="25">
          <cell r="B25" t="str">
            <v>0 Deutsche Bank # 039 175 500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</row>
        <row r="26">
          <cell r="B26" t="str">
            <v>0 Deutsche Bank Kontokorrentkonto#39175501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</row>
        <row r="27">
          <cell r="B27" t="str">
            <v>0 Deutsche Bank #DE88 6007 0070 0160 6508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920960.81</v>
          </cell>
          <cell r="BT27">
            <v>734511.60000000009</v>
          </cell>
          <cell r="BU27">
            <v>494958.60000000009</v>
          </cell>
          <cell r="BV27">
            <v>212127.5500000001</v>
          </cell>
          <cell r="BW27">
            <v>211439.7600000001</v>
          </cell>
          <cell r="BX27">
            <v>49657.69000000009</v>
          </cell>
          <cell r="BY27">
            <v>12935.200000000092</v>
          </cell>
        </row>
        <row r="28">
          <cell r="B28" t="str">
            <v>0 Olinda, Berlin #4618298725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17565.25</v>
          </cell>
          <cell r="BY28">
            <v>319750.68</v>
          </cell>
        </row>
        <row r="29">
          <cell r="B29" t="str">
            <v>0 Paypal</v>
          </cell>
          <cell r="BN29">
            <v>1031.6999999999998</v>
          </cell>
          <cell r="BO29">
            <v>899.47999999999979</v>
          </cell>
          <cell r="BP29">
            <v>748.29999999999973</v>
          </cell>
          <cell r="BQ29">
            <v>609.80999999999972</v>
          </cell>
          <cell r="BR29">
            <v>1065.4199999999996</v>
          </cell>
          <cell r="BS29">
            <v>657.0699999999996</v>
          </cell>
          <cell r="BT29">
            <v>412.89999999999964</v>
          </cell>
          <cell r="BU29">
            <v>741.56999999999971</v>
          </cell>
          <cell r="BV29">
            <v>475.5799999999997</v>
          </cell>
          <cell r="BW29">
            <v>544.92999999999972</v>
          </cell>
          <cell r="BX29">
            <v>886.64999999999975</v>
          </cell>
          <cell r="BY29">
            <v>685.27999999999975</v>
          </cell>
        </row>
        <row r="30">
          <cell r="B30" t="str">
            <v>1 Paypal CHF</v>
          </cell>
          <cell r="BN30">
            <v>677.18</v>
          </cell>
          <cell r="BO30">
            <v>810.45999999999992</v>
          </cell>
          <cell r="BP30">
            <v>851.1099999999999</v>
          </cell>
          <cell r="BQ30">
            <v>851.1099999999999</v>
          </cell>
          <cell r="BR30">
            <v>913.59999999999991</v>
          </cell>
          <cell r="BS30">
            <v>913.59999999999991</v>
          </cell>
          <cell r="BT30">
            <v>913.59999999999991</v>
          </cell>
          <cell r="BU30">
            <v>913.59999999999991</v>
          </cell>
          <cell r="BV30">
            <v>913.59999999999991</v>
          </cell>
          <cell r="BW30">
            <v>913.59999999999991</v>
          </cell>
          <cell r="BX30">
            <v>913.59999999999991</v>
          </cell>
          <cell r="BY30">
            <v>953.8599999999999</v>
          </cell>
        </row>
        <row r="31">
          <cell r="B31" t="str">
            <v>0 Geldtransit</v>
          </cell>
          <cell r="BN31">
            <v>0</v>
          </cell>
          <cell r="BO31">
            <v>0</v>
          </cell>
          <cell r="BP31">
            <v>-11772.47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-85000</v>
          </cell>
          <cell r="BX31">
            <v>-85000</v>
          </cell>
          <cell r="BY31">
            <v>0</v>
          </cell>
        </row>
        <row r="32">
          <cell r="B32" t="str">
            <v>1 Transit Zahlungsverkehr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</row>
        <row r="33">
          <cell r="B33" t="str">
            <v>6 Transit Shopify</v>
          </cell>
          <cell r="BN33">
            <v>0</v>
          </cell>
          <cell r="BO33">
            <v>256.13</v>
          </cell>
          <cell r="BP33">
            <v>0</v>
          </cell>
          <cell r="BQ33">
            <v>194.05</v>
          </cell>
          <cell r="BR33">
            <v>0</v>
          </cell>
          <cell r="BS33">
            <v>-21.39</v>
          </cell>
          <cell r="BT33">
            <v>-58.230000000000004</v>
          </cell>
          <cell r="BU33">
            <v>-30.830000000000005</v>
          </cell>
          <cell r="BV33">
            <v>-78.7</v>
          </cell>
          <cell r="BW33">
            <v>-34.46</v>
          </cell>
          <cell r="BX33">
            <v>364.5</v>
          </cell>
          <cell r="BY33">
            <v>143.94999999999999</v>
          </cell>
        </row>
        <row r="34">
          <cell r="B34" t="str">
            <v>0 Transit PayPal</v>
          </cell>
          <cell r="BN34">
            <v>0</v>
          </cell>
          <cell r="BO34">
            <v>-20.85</v>
          </cell>
          <cell r="BP34">
            <v>-61.58</v>
          </cell>
          <cell r="BQ34">
            <v>-12.899999999999999</v>
          </cell>
          <cell r="BR34">
            <v>-36.75</v>
          </cell>
          <cell r="BS34">
            <v>4.9500000000000028</v>
          </cell>
          <cell r="BT34">
            <v>-0.22999999999999687</v>
          </cell>
          <cell r="BU34">
            <v>54.370000000000005</v>
          </cell>
          <cell r="BV34">
            <v>-1.279999999999994</v>
          </cell>
          <cell r="BW34">
            <v>54.370000000000005</v>
          </cell>
          <cell r="BX34">
            <v>-61.789999999999992</v>
          </cell>
          <cell r="BY34">
            <v>-26.379999999999995</v>
          </cell>
        </row>
        <row r="35">
          <cell r="B35" t="str">
            <v>0 Forderungen aus L+L</v>
          </cell>
          <cell r="BN35">
            <v>548227.79999999993</v>
          </cell>
          <cell r="BO35">
            <v>543319.37999999989</v>
          </cell>
          <cell r="BP35">
            <v>516167.9499999999</v>
          </cell>
          <cell r="BQ35">
            <v>439259.78999999992</v>
          </cell>
          <cell r="BR35">
            <v>600732.12999999989</v>
          </cell>
          <cell r="BS35">
            <v>527305.87999999989</v>
          </cell>
          <cell r="BT35">
            <v>375906.18999999989</v>
          </cell>
          <cell r="BU35">
            <v>329334.40999999992</v>
          </cell>
          <cell r="BV35">
            <v>390108.53999999992</v>
          </cell>
          <cell r="BW35">
            <v>473263.53999999992</v>
          </cell>
          <cell r="BX35">
            <v>543948.14999999991</v>
          </cell>
          <cell r="BY35">
            <v>122130.6399999999</v>
          </cell>
        </row>
        <row r="36">
          <cell r="B36" t="str">
            <v>0 Sonstige Vermögensgegenstände</v>
          </cell>
          <cell r="BN36">
            <v>0</v>
          </cell>
          <cell r="BO36">
            <v>13239</v>
          </cell>
          <cell r="BP36">
            <v>6410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</row>
        <row r="37">
          <cell r="B37" t="str">
            <v>0 Geleistete Anzahlungen auf Vorräte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</row>
        <row r="38">
          <cell r="B38" t="str">
            <v>0 Geleistete Anzahlungen 19% Vorsteuer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</row>
        <row r="39">
          <cell r="B39" t="str">
            <v>0 Forderungen ggb. Krankenkasse aus AAG</v>
          </cell>
          <cell r="BN39">
            <v>0</v>
          </cell>
          <cell r="BO39">
            <v>4860.3999999999996</v>
          </cell>
          <cell r="BP39">
            <v>13874.27</v>
          </cell>
          <cell r="BQ39">
            <v>15084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-35.89</v>
          </cell>
          <cell r="BY39">
            <v>0</v>
          </cell>
        </row>
        <row r="40">
          <cell r="B40" t="str">
            <v>0 Kautionen (bis 1 J)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</row>
        <row r="41">
          <cell r="B41" t="str">
            <v>0 Kautionen (größer 1 J)</v>
          </cell>
          <cell r="BN41">
            <v>127.86</v>
          </cell>
          <cell r="BO41">
            <v>127.86</v>
          </cell>
          <cell r="BP41">
            <v>127.86</v>
          </cell>
          <cell r="BQ41">
            <v>127.86</v>
          </cell>
          <cell r="BR41">
            <v>127.86</v>
          </cell>
          <cell r="BS41">
            <v>127.86</v>
          </cell>
          <cell r="BT41">
            <v>127.86</v>
          </cell>
          <cell r="BU41">
            <v>127.86</v>
          </cell>
          <cell r="BV41">
            <v>127.86</v>
          </cell>
          <cell r="BW41">
            <v>127.86</v>
          </cell>
          <cell r="BX41">
            <v>127.86</v>
          </cell>
          <cell r="BY41">
            <v>127.86</v>
          </cell>
        </row>
        <row r="42">
          <cell r="B42" t="str">
            <v>0 Forderg. gg. Personal Lohn- und Gehalt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2473.84</v>
          </cell>
          <cell r="BY42">
            <v>2473.84</v>
          </cell>
        </row>
        <row r="43">
          <cell r="B43" t="str">
            <v>0 Vorst. in Folgeperiode /-jahr abziehbar</v>
          </cell>
          <cell r="BN43">
            <v>0</v>
          </cell>
          <cell r="BO43">
            <v>39.869999999999997</v>
          </cell>
          <cell r="BP43">
            <v>1.1799999999999997</v>
          </cell>
          <cell r="BQ43">
            <v>133</v>
          </cell>
          <cell r="BR43">
            <v>621.48</v>
          </cell>
          <cell r="BS43">
            <v>0</v>
          </cell>
          <cell r="BT43">
            <v>1.88</v>
          </cell>
          <cell r="BU43">
            <v>1.88</v>
          </cell>
          <cell r="BV43">
            <v>328.69</v>
          </cell>
          <cell r="BW43">
            <v>365.43</v>
          </cell>
          <cell r="BX43">
            <v>1778.5</v>
          </cell>
          <cell r="BY43">
            <v>2513.81</v>
          </cell>
        </row>
        <row r="44">
          <cell r="B44" t="str">
            <v>0 Abziehbare Vorsteuer 7%</v>
          </cell>
          <cell r="BN44">
            <v>307.05</v>
          </cell>
          <cell r="BO44">
            <v>565.64</v>
          </cell>
          <cell r="BP44">
            <v>1615.8000000000002</v>
          </cell>
          <cell r="BQ44">
            <v>2060</v>
          </cell>
          <cell r="BR44">
            <v>2671.02</v>
          </cell>
          <cell r="BS44">
            <v>2894.14</v>
          </cell>
          <cell r="BT44">
            <v>3115.7799999999997</v>
          </cell>
          <cell r="BU44">
            <v>3229.24</v>
          </cell>
          <cell r="BV44">
            <v>3229.24</v>
          </cell>
          <cell r="BW44">
            <v>3229.24</v>
          </cell>
          <cell r="BX44">
            <v>3229.24</v>
          </cell>
          <cell r="BY44">
            <v>3283.7</v>
          </cell>
        </row>
        <row r="45">
          <cell r="B45" t="str">
            <v>0 Abziehbare Vorsteuer aus EU-Erwerb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</row>
        <row r="46">
          <cell r="B46" t="str">
            <v>0 Abziehbare Vorsteuer aus EU-Erwerb 19%</v>
          </cell>
          <cell r="BN46">
            <v>566.49</v>
          </cell>
          <cell r="BO46">
            <v>601.43000000000006</v>
          </cell>
          <cell r="BP46">
            <v>616.87000000000012</v>
          </cell>
          <cell r="BQ46">
            <v>624.82000000000016</v>
          </cell>
          <cell r="BR46">
            <v>624.82000000000016</v>
          </cell>
          <cell r="BS46">
            <v>639.37000000000012</v>
          </cell>
          <cell r="BT46">
            <v>639.37000000000012</v>
          </cell>
          <cell r="BU46">
            <v>639.37000000000012</v>
          </cell>
          <cell r="BV46">
            <v>639.37000000000012</v>
          </cell>
          <cell r="BW46">
            <v>639.37000000000012</v>
          </cell>
          <cell r="BX46">
            <v>639.37000000000012</v>
          </cell>
          <cell r="BY46">
            <v>2498.12</v>
          </cell>
        </row>
        <row r="47">
          <cell r="B47" t="str">
            <v>0 Abziehbare Vorsteuer 16%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</row>
        <row r="48">
          <cell r="B48" t="str">
            <v>0 Abziehbare Vorsteuer 19%</v>
          </cell>
          <cell r="BN48">
            <v>34419.65</v>
          </cell>
          <cell r="BO48">
            <v>43879.21</v>
          </cell>
          <cell r="BP48">
            <v>56077.14</v>
          </cell>
          <cell r="BQ48">
            <v>70064.209999999992</v>
          </cell>
          <cell r="BR48">
            <v>82777.359999999986</v>
          </cell>
          <cell r="BS48">
            <v>91421.599999999991</v>
          </cell>
          <cell r="BT48">
            <v>98796.59</v>
          </cell>
          <cell r="BU48">
            <v>106805.26999999999</v>
          </cell>
          <cell r="BV48">
            <v>106904.01999999999</v>
          </cell>
          <cell r="BW48">
            <v>110868.01999999999</v>
          </cell>
          <cell r="BX48">
            <v>113951.32999999999</v>
          </cell>
          <cell r="BY48">
            <v>134066.97999999998</v>
          </cell>
        </row>
        <row r="49">
          <cell r="B49" t="str">
            <v>0 Abziehbare Vorsteuer § 13b UStG 19%</v>
          </cell>
          <cell r="BN49">
            <v>14061.55</v>
          </cell>
          <cell r="BO49">
            <v>16140.64</v>
          </cell>
          <cell r="BP49">
            <v>18708.96</v>
          </cell>
          <cell r="BQ49">
            <v>23867.07</v>
          </cell>
          <cell r="BR49">
            <v>28819.94</v>
          </cell>
          <cell r="BS49">
            <v>31416.51</v>
          </cell>
          <cell r="BT49">
            <v>32496.109999999997</v>
          </cell>
          <cell r="BU49">
            <v>32366.17</v>
          </cell>
          <cell r="BV49">
            <v>32575.919999999998</v>
          </cell>
          <cell r="BW49">
            <v>32924.339999999997</v>
          </cell>
          <cell r="BX49">
            <v>32924.339999999997</v>
          </cell>
          <cell r="BY49">
            <v>69606.820000000007</v>
          </cell>
        </row>
        <row r="50">
          <cell r="B50" t="str">
            <v>0 Durchlaufende Posten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-47.91</v>
          </cell>
          <cell r="BS50">
            <v>0</v>
          </cell>
          <cell r="BT50">
            <v>78.010000000000005</v>
          </cell>
          <cell r="BU50">
            <v>-6.1099999999999994</v>
          </cell>
          <cell r="BV50">
            <v>10760.599999999999</v>
          </cell>
          <cell r="BW50">
            <v>43399.38</v>
          </cell>
          <cell r="BX50">
            <v>58105.06</v>
          </cell>
          <cell r="BY50">
            <v>0</v>
          </cell>
        </row>
        <row r="51">
          <cell r="B51" t="str">
            <v>0 Verrechnung erhaltene Anzahlungen</v>
          </cell>
          <cell r="BN51">
            <v>0</v>
          </cell>
          <cell r="BO51">
            <v>-105587.51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</row>
        <row r="52">
          <cell r="B52" t="str">
            <v>0 Verbindlichkeiten aus Lieferungen+Leist.</v>
          </cell>
          <cell r="BN52">
            <v>-52956.25</v>
          </cell>
          <cell r="BO52">
            <v>-46322.04</v>
          </cell>
          <cell r="BP52">
            <v>6034.9000000000015</v>
          </cell>
          <cell r="BQ52">
            <v>-40463.51</v>
          </cell>
          <cell r="BR52">
            <v>81034.510000000009</v>
          </cell>
          <cell r="BS52">
            <v>67670.600000000006</v>
          </cell>
          <cell r="BT52">
            <v>31759.740000000005</v>
          </cell>
          <cell r="BU52">
            <v>56161.320000000007</v>
          </cell>
          <cell r="BV52">
            <v>73921.810000000012</v>
          </cell>
          <cell r="BW52">
            <v>99866.950000000012</v>
          </cell>
          <cell r="BX52">
            <v>94467.400000000009</v>
          </cell>
          <cell r="BY52">
            <v>382.34000000001106</v>
          </cell>
        </row>
        <row r="53">
          <cell r="B53" t="str">
            <v>0 Erhalt. Anzahlungen auf Bestellungen</v>
          </cell>
          <cell r="BN53">
            <v>0</v>
          </cell>
          <cell r="BO53">
            <v>-46.73</v>
          </cell>
          <cell r="BP53">
            <v>-93.46</v>
          </cell>
          <cell r="BQ53">
            <v>-93.46</v>
          </cell>
          <cell r="BR53">
            <v>-93.46</v>
          </cell>
          <cell r="BS53">
            <v>-93.46</v>
          </cell>
          <cell r="BT53">
            <v>-93.46</v>
          </cell>
          <cell r="BU53">
            <v>-93.46</v>
          </cell>
          <cell r="BV53">
            <v>-93.46</v>
          </cell>
          <cell r="BW53">
            <v>-93.46</v>
          </cell>
          <cell r="BX53">
            <v>-93.46</v>
          </cell>
          <cell r="BY53">
            <v>-46.73</v>
          </cell>
        </row>
        <row r="54">
          <cell r="B54" t="str">
            <v>0 Erhaltene Anzahlungen 19% USt</v>
          </cell>
          <cell r="BN54">
            <v>-50000</v>
          </cell>
          <cell r="BO54">
            <v>0</v>
          </cell>
          <cell r="BP54">
            <v>-72596.639999999999</v>
          </cell>
          <cell r="BQ54">
            <v>-64530.46</v>
          </cell>
          <cell r="BR54">
            <v>-56464.28</v>
          </cell>
          <cell r="BS54">
            <v>-48398.1</v>
          </cell>
          <cell r="BT54">
            <v>-48398.1</v>
          </cell>
          <cell r="BU54">
            <v>-32265.739999999998</v>
          </cell>
          <cell r="BV54">
            <v>-24199.559999999998</v>
          </cell>
          <cell r="BW54">
            <v>-16133.379999999997</v>
          </cell>
          <cell r="BX54">
            <v>-8067.1999999999971</v>
          </cell>
          <cell r="BY54">
            <v>0</v>
          </cell>
        </row>
        <row r="55">
          <cell r="B55" t="str">
            <v>0 USt fällig Folg.per.§§13(1) u.13b(2)UStG</v>
          </cell>
          <cell r="BN55">
            <v>0</v>
          </cell>
          <cell r="BO55">
            <v>-39.869999999999997</v>
          </cell>
          <cell r="BP55">
            <v>0</v>
          </cell>
          <cell r="BQ55">
            <v>0</v>
          </cell>
          <cell r="BR55">
            <v>-42.03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</row>
        <row r="56">
          <cell r="B56" t="str">
            <v>0 Kreditkartenabrechnung Mengting Gao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</row>
        <row r="57">
          <cell r="B57" t="str">
            <v>1 Kreditkartenabrechnung Alexander Bauer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</row>
        <row r="58">
          <cell r="B58" t="str">
            <v>2 KK Alexander Bauer AMEX XXX41002</v>
          </cell>
          <cell r="BN58">
            <v>17047.509999999998</v>
          </cell>
          <cell r="BO58">
            <v>-2372.9500000000007</v>
          </cell>
          <cell r="BP58">
            <v>18310.13</v>
          </cell>
          <cell r="BQ58">
            <v>6381.880000000001</v>
          </cell>
          <cell r="BR58">
            <v>-802.23999999999887</v>
          </cell>
          <cell r="BS58">
            <v>23351.760000000002</v>
          </cell>
          <cell r="BT58">
            <v>23351.760000000002</v>
          </cell>
          <cell r="BU58">
            <v>23351.760000000002</v>
          </cell>
          <cell r="BV58">
            <v>23351.760000000002</v>
          </cell>
          <cell r="BW58">
            <v>23351.760000000002</v>
          </cell>
          <cell r="BX58">
            <v>23351.760000000002</v>
          </cell>
          <cell r="BY58">
            <v>11417.680000000002</v>
          </cell>
        </row>
        <row r="59">
          <cell r="B59" t="str">
            <v>4 KK Alexander Bauer DB XXX0125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B60" t="str">
            <v>6 Shopify Payments</v>
          </cell>
          <cell r="BN60">
            <v>523.84000000000015</v>
          </cell>
          <cell r="BO60">
            <v>204.61000000000013</v>
          </cell>
          <cell r="BP60">
            <v>463.31000000000012</v>
          </cell>
          <cell r="BQ60">
            <v>204.63000000000011</v>
          </cell>
          <cell r="BR60">
            <v>298.98000000000013</v>
          </cell>
          <cell r="BS60">
            <v>298.98000000000013</v>
          </cell>
          <cell r="BT60">
            <v>298.98000000000013</v>
          </cell>
          <cell r="BU60">
            <v>298.98000000000013</v>
          </cell>
          <cell r="BV60">
            <v>298.98000000000013</v>
          </cell>
          <cell r="BW60">
            <v>298.98000000000013</v>
          </cell>
          <cell r="BX60">
            <v>340.05000000000013</v>
          </cell>
          <cell r="BY60">
            <v>298.98000000000013</v>
          </cell>
        </row>
        <row r="61">
          <cell r="B61" t="str">
            <v>7 Finway GmbH</v>
          </cell>
          <cell r="BN61">
            <v>20077.47</v>
          </cell>
          <cell r="BO61">
            <v>19387.23</v>
          </cell>
          <cell r="BP61">
            <v>13337.66</v>
          </cell>
          <cell r="BQ61">
            <v>32597.95</v>
          </cell>
          <cell r="BR61">
            <v>124350.06</v>
          </cell>
          <cell r="BS61">
            <v>124350.06</v>
          </cell>
          <cell r="BT61">
            <v>124350.06</v>
          </cell>
          <cell r="BU61">
            <v>124350.06</v>
          </cell>
          <cell r="BV61">
            <v>124350.06</v>
          </cell>
          <cell r="BW61">
            <v>89705.209999999992</v>
          </cell>
          <cell r="BX61">
            <v>89705.209999999992</v>
          </cell>
          <cell r="BY61">
            <v>2760.929999999993</v>
          </cell>
        </row>
        <row r="62">
          <cell r="B62" t="str">
            <v>0 Verbindlichkeiten aus Lohn und Gehalt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19596.349999999999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1066.9000000000001</v>
          </cell>
          <cell r="BX62">
            <v>6422.73</v>
          </cell>
          <cell r="BY62">
            <v>9454.58</v>
          </cell>
        </row>
        <row r="63">
          <cell r="B63" t="str">
            <v>0 Verbindlichk. Lohn- und Kirchensteuer</v>
          </cell>
          <cell r="BN63">
            <v>-71449.14</v>
          </cell>
          <cell r="BO63">
            <v>-50042.380000000005</v>
          </cell>
          <cell r="BP63">
            <v>-51461.94</v>
          </cell>
          <cell r="BQ63">
            <v>-327121.69</v>
          </cell>
          <cell r="BR63">
            <v>-58670.700000000012</v>
          </cell>
          <cell r="BS63">
            <v>-46376.930000000008</v>
          </cell>
          <cell r="BT63">
            <v>-52353.44000000001</v>
          </cell>
          <cell r="BU63">
            <v>-44281.680000000008</v>
          </cell>
          <cell r="BV63">
            <v>-56026.16</v>
          </cell>
          <cell r="BW63">
            <v>-22962.990000000005</v>
          </cell>
          <cell r="BX63">
            <v>-23026.410000000003</v>
          </cell>
          <cell r="BY63">
            <v>-50705.83</v>
          </cell>
        </row>
        <row r="64">
          <cell r="B64" t="str">
            <v>0 Verbindlichkeiten soziale Sicherheit</v>
          </cell>
          <cell r="BN64">
            <v>-3612.01</v>
          </cell>
          <cell r="BO64">
            <v>-2020.1100000000001</v>
          </cell>
          <cell r="BP64">
            <v>-6851.08</v>
          </cell>
          <cell r="BQ64">
            <v>-3032.81</v>
          </cell>
          <cell r="BR64">
            <v>-9261.6299999999992</v>
          </cell>
          <cell r="BS64">
            <v>-113.33999999999833</v>
          </cell>
          <cell r="BT64">
            <v>-1030.0699999999983</v>
          </cell>
          <cell r="BU64">
            <v>279.47000000000162</v>
          </cell>
          <cell r="BV64">
            <v>-473.56999999999834</v>
          </cell>
          <cell r="BW64">
            <v>-503.74999999999835</v>
          </cell>
          <cell r="BX64">
            <v>1052.5000000000016</v>
          </cell>
          <cell r="BY64">
            <v>1052.5000000000016</v>
          </cell>
        </row>
        <row r="65">
          <cell r="B65" t="str">
            <v>0 Verbindlichk. Einbehaltung Arbeitnehmer</v>
          </cell>
          <cell r="BN65">
            <v>-542</v>
          </cell>
          <cell r="BO65">
            <v>-542</v>
          </cell>
          <cell r="BP65">
            <v>-542</v>
          </cell>
          <cell r="BQ65">
            <v>-542</v>
          </cell>
          <cell r="BR65">
            <v>-30492.62</v>
          </cell>
          <cell r="BS65">
            <v>-42.860000000000582</v>
          </cell>
          <cell r="BT65">
            <v>-42.860000000000582</v>
          </cell>
          <cell r="BU65">
            <v>-616.86000000000058</v>
          </cell>
          <cell r="BV65">
            <v>-616.86000000000058</v>
          </cell>
          <cell r="BW65">
            <v>-334.86000000000058</v>
          </cell>
          <cell r="BX65">
            <v>-334.86000000000058</v>
          </cell>
          <cell r="BY65">
            <v>-5282.5400000000009</v>
          </cell>
        </row>
        <row r="66">
          <cell r="B66" t="str">
            <v>0 Verbindlichkeiten a. Vermögensbildung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</row>
        <row r="67">
          <cell r="B67" t="str">
            <v>0 Lohn- und Gehaltsverrechnungen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B68" t="str">
            <v>0 Umsatzsteuer 7%</v>
          </cell>
          <cell r="BN68">
            <v>-91.5</v>
          </cell>
          <cell r="BO68">
            <v>-148.77000000000001</v>
          </cell>
          <cell r="BP68">
            <v>-195.9</v>
          </cell>
          <cell r="BQ68">
            <v>-232.25</v>
          </cell>
          <cell r="BR68">
            <v>-292.19</v>
          </cell>
          <cell r="BS68">
            <v>-327.2</v>
          </cell>
          <cell r="BT68">
            <v>-337.45</v>
          </cell>
          <cell r="BU68">
            <v>-385.5</v>
          </cell>
          <cell r="BV68">
            <v>-397.97</v>
          </cell>
          <cell r="BW68">
            <v>-422.94000000000005</v>
          </cell>
          <cell r="BX68">
            <v>-494.19000000000005</v>
          </cell>
          <cell r="BY68">
            <v>-725.3900000000001</v>
          </cell>
        </row>
        <row r="69">
          <cell r="B69" t="str">
            <v>0 Umsatzsteuer aus EU-Erwerb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</row>
        <row r="70">
          <cell r="B70" t="str">
            <v>0 Umsatzsteuer aus EU-Erwerb 19%</v>
          </cell>
          <cell r="BN70">
            <v>-566.49</v>
          </cell>
          <cell r="BO70">
            <v>-601.43000000000006</v>
          </cell>
          <cell r="BP70">
            <v>-616.87000000000012</v>
          </cell>
          <cell r="BQ70">
            <v>-624.82000000000016</v>
          </cell>
          <cell r="BR70">
            <v>-624.82000000000016</v>
          </cell>
          <cell r="BS70">
            <v>-639.37000000000012</v>
          </cell>
          <cell r="BT70">
            <v>-639.37000000000012</v>
          </cell>
          <cell r="BU70">
            <v>-639.37000000000012</v>
          </cell>
          <cell r="BV70">
            <v>-639.37000000000012</v>
          </cell>
          <cell r="BW70">
            <v>-639.37000000000012</v>
          </cell>
          <cell r="BX70">
            <v>-639.37000000000012</v>
          </cell>
          <cell r="BY70">
            <v>-2498.12</v>
          </cell>
        </row>
        <row r="71">
          <cell r="B71" t="str">
            <v>0 Umsatzsteuer 19%</v>
          </cell>
          <cell r="BN71">
            <v>-62969.5</v>
          </cell>
          <cell r="BO71">
            <v>-92192.07</v>
          </cell>
          <cell r="BP71">
            <v>-156504.37</v>
          </cell>
          <cell r="BQ71">
            <v>-189910.76</v>
          </cell>
          <cell r="BR71">
            <v>-228736.79</v>
          </cell>
          <cell r="BS71">
            <v>-261944.35</v>
          </cell>
          <cell r="BT71">
            <v>-267252.94</v>
          </cell>
          <cell r="BU71">
            <v>-288917.71000000002</v>
          </cell>
          <cell r="BV71">
            <v>-309984.29000000004</v>
          </cell>
          <cell r="BW71">
            <v>-341033.86000000004</v>
          </cell>
          <cell r="BX71">
            <v>-358703.55000000005</v>
          </cell>
          <cell r="BY71">
            <v>-390932.54000000004</v>
          </cell>
        </row>
        <row r="72">
          <cell r="B72" t="str">
            <v>0 Umsatzsteuer-Vorauszahlungen</v>
          </cell>
          <cell r="BN72">
            <v>0</v>
          </cell>
          <cell r="BO72">
            <v>0</v>
          </cell>
          <cell r="BP72">
            <v>28334.3</v>
          </cell>
          <cell r="BQ72">
            <v>47895.99</v>
          </cell>
          <cell r="BR72">
            <v>118018.79999999999</v>
          </cell>
          <cell r="BS72">
            <v>118018.79999999999</v>
          </cell>
          <cell r="BT72">
            <v>143580.59999999998</v>
          </cell>
          <cell r="BU72">
            <v>170647.19999999998</v>
          </cell>
          <cell r="BV72">
            <v>170647.19999999998</v>
          </cell>
          <cell r="BW72">
            <v>172990.15</v>
          </cell>
          <cell r="BX72">
            <v>172752.38999999998</v>
          </cell>
          <cell r="BY72">
            <v>214052.96999999997</v>
          </cell>
        </row>
        <row r="73">
          <cell r="B73" t="str">
            <v>0 Umsatzsteuer-Vorauszahlungen 1/11</v>
          </cell>
          <cell r="BN73">
            <v>0</v>
          </cell>
          <cell r="BO73">
            <v>46308</v>
          </cell>
          <cell r="BP73">
            <v>48241</v>
          </cell>
          <cell r="BQ73">
            <v>48241</v>
          </cell>
          <cell r="BR73">
            <v>48241</v>
          </cell>
          <cell r="BS73">
            <v>48241</v>
          </cell>
          <cell r="BT73">
            <v>48241</v>
          </cell>
          <cell r="BU73">
            <v>48241</v>
          </cell>
          <cell r="BV73">
            <v>48241</v>
          </cell>
          <cell r="BW73">
            <v>48241</v>
          </cell>
          <cell r="BX73">
            <v>48241</v>
          </cell>
          <cell r="BY73">
            <v>48241</v>
          </cell>
        </row>
        <row r="74">
          <cell r="B74" t="str">
            <v>0 Umsatzsteuer nach § 13b UStG 19%</v>
          </cell>
          <cell r="BN74">
            <v>-14061.55</v>
          </cell>
          <cell r="BO74">
            <v>-16140.64</v>
          </cell>
          <cell r="BP74">
            <v>-18708.96</v>
          </cell>
          <cell r="BQ74">
            <v>-23867.07</v>
          </cell>
          <cell r="BR74">
            <v>-28819.94</v>
          </cell>
          <cell r="BS74">
            <v>-31416.51</v>
          </cell>
          <cell r="BT74">
            <v>-32496.109999999997</v>
          </cell>
          <cell r="BU74">
            <v>-32366.17</v>
          </cell>
          <cell r="BV74">
            <v>-32575.919999999998</v>
          </cell>
          <cell r="BW74">
            <v>-32924.339999999997</v>
          </cell>
          <cell r="BX74">
            <v>-32924.339999999997</v>
          </cell>
          <cell r="BY74">
            <v>-69606.820000000007</v>
          </cell>
        </row>
        <row r="75">
          <cell r="B75" t="str">
            <v>0 Umsatzsteuer laufendes Jahr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-41300.58</v>
          </cell>
        </row>
        <row r="76">
          <cell r="B76" t="str">
            <v>0 Umsatzsteuer Vorjahr</v>
          </cell>
          <cell r="BN76">
            <v>11783.439999999995</v>
          </cell>
          <cell r="BO76">
            <v>21268.099999999995</v>
          </cell>
          <cell r="BP76">
            <v>21268.099999999995</v>
          </cell>
          <cell r="BQ76">
            <v>21268.099999999995</v>
          </cell>
          <cell r="BR76">
            <v>21268.099999999995</v>
          </cell>
          <cell r="BS76">
            <v>21268.099999999995</v>
          </cell>
          <cell r="BT76">
            <v>21268.099999999995</v>
          </cell>
          <cell r="BU76">
            <v>21268.099999999995</v>
          </cell>
          <cell r="BV76">
            <v>21268.099999999995</v>
          </cell>
          <cell r="BW76">
            <v>21268.099999999995</v>
          </cell>
          <cell r="BX76">
            <v>21268.099999999995</v>
          </cell>
          <cell r="BY76">
            <v>21268.099999999995</v>
          </cell>
        </row>
        <row r="77">
          <cell r="B77" t="str">
            <v>0 Umsatzsteuer frühere Jahre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1.62</v>
          </cell>
          <cell r="BW77">
            <v>1.62</v>
          </cell>
          <cell r="BX77">
            <v>1.62</v>
          </cell>
          <cell r="BY77">
            <v>0</v>
          </cell>
        </row>
        <row r="78">
          <cell r="B78" t="str">
            <v>0 Periodenfremde Aufwendungen</v>
          </cell>
          <cell r="BN78">
            <v>38995.82</v>
          </cell>
          <cell r="BO78">
            <v>38914.54</v>
          </cell>
          <cell r="BP78">
            <v>38426.629999999997</v>
          </cell>
          <cell r="BQ78">
            <v>38601.339999999997</v>
          </cell>
          <cell r="BR78">
            <v>38601.339999999997</v>
          </cell>
          <cell r="BS78">
            <v>44306.179999999993</v>
          </cell>
          <cell r="BT78">
            <v>44306.179999999993</v>
          </cell>
          <cell r="BU78">
            <v>44306.179999999993</v>
          </cell>
          <cell r="BV78">
            <v>44306.179999999993</v>
          </cell>
          <cell r="BW78">
            <v>44306.179999999993</v>
          </cell>
          <cell r="BX78">
            <v>44306.179999999993</v>
          </cell>
          <cell r="BY78">
            <v>43724.249999999993</v>
          </cell>
        </row>
        <row r="79">
          <cell r="B79" t="str">
            <v>0 Abzugsfäh. and. Nebenleist. zu Steuern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</row>
        <row r="80">
          <cell r="B80" t="str">
            <v>0 Zinsaufwendungen an verbund. Unternehmen</v>
          </cell>
          <cell r="BN80">
            <v>34.99</v>
          </cell>
          <cell r="BO80">
            <v>1443.95</v>
          </cell>
          <cell r="BP80">
            <v>4226.9399999999996</v>
          </cell>
          <cell r="BQ80">
            <v>7596.32</v>
          </cell>
          <cell r="BR80">
            <v>14097.95</v>
          </cell>
          <cell r="BS80">
            <v>15566.41</v>
          </cell>
          <cell r="BT80">
            <v>15566.41</v>
          </cell>
          <cell r="BU80">
            <v>15566.41</v>
          </cell>
          <cell r="BV80">
            <v>15566.41</v>
          </cell>
          <cell r="BW80">
            <v>15566.41</v>
          </cell>
          <cell r="BX80">
            <v>15566.41</v>
          </cell>
          <cell r="BY80">
            <v>15566.41</v>
          </cell>
        </row>
        <row r="81">
          <cell r="B81" t="str">
            <v>0 Zinsaufwendungen f.kfr.Verbindlichkeit.</v>
          </cell>
          <cell r="BN81">
            <v>0</v>
          </cell>
          <cell r="BO81">
            <v>0</v>
          </cell>
          <cell r="BP81">
            <v>2.11</v>
          </cell>
          <cell r="BQ81">
            <v>2.11</v>
          </cell>
          <cell r="BR81">
            <v>2.11</v>
          </cell>
          <cell r="BS81">
            <v>2.11</v>
          </cell>
          <cell r="BT81">
            <v>2.11</v>
          </cell>
          <cell r="BU81">
            <v>2.11</v>
          </cell>
          <cell r="BV81">
            <v>2.11</v>
          </cell>
          <cell r="BW81">
            <v>2.11</v>
          </cell>
          <cell r="BX81">
            <v>2.11</v>
          </cell>
          <cell r="BY81">
            <v>2.11</v>
          </cell>
        </row>
        <row r="82">
          <cell r="B82" t="str">
            <v>0 Zinsähnliche Aufwendungen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20.82</v>
          </cell>
        </row>
        <row r="83">
          <cell r="B83" t="str">
            <v>0 Aufwendungen aus Währungsumrechnungen</v>
          </cell>
          <cell r="BN83">
            <v>2.4300000000000002</v>
          </cell>
          <cell r="BO83">
            <v>97.860000000000014</v>
          </cell>
          <cell r="BP83">
            <v>225.70000000000002</v>
          </cell>
          <cell r="BQ83">
            <v>346.05</v>
          </cell>
          <cell r="BR83">
            <v>569.75</v>
          </cell>
          <cell r="BS83">
            <v>1274.08</v>
          </cell>
          <cell r="BT83">
            <v>1466.76</v>
          </cell>
          <cell r="BU83">
            <v>1606.25</v>
          </cell>
          <cell r="BV83">
            <v>1606.25</v>
          </cell>
          <cell r="BW83">
            <v>1610.7</v>
          </cell>
          <cell r="BX83">
            <v>1610.7</v>
          </cell>
          <cell r="BY83">
            <v>1935.5</v>
          </cell>
        </row>
        <row r="84">
          <cell r="B84" t="str">
            <v>0 Solidaritätszuschlag für Vorjahre</v>
          </cell>
          <cell r="BN84">
            <v>28.36</v>
          </cell>
          <cell r="BO84">
            <v>28.36</v>
          </cell>
          <cell r="BP84">
            <v>28.36</v>
          </cell>
          <cell r="BQ84">
            <v>28.36</v>
          </cell>
          <cell r="BR84">
            <v>28.36</v>
          </cell>
          <cell r="BS84">
            <v>28.36</v>
          </cell>
          <cell r="BT84">
            <v>28.36</v>
          </cell>
          <cell r="BU84">
            <v>28.36</v>
          </cell>
          <cell r="BV84">
            <v>28.36</v>
          </cell>
          <cell r="BW84">
            <v>28.36</v>
          </cell>
          <cell r="BX84">
            <v>28.36</v>
          </cell>
          <cell r="BY84">
            <v>28.36</v>
          </cell>
        </row>
        <row r="85">
          <cell r="B85" t="str">
            <v>0 Abgänge Sachanlagen Restbuchwert bei BV</v>
          </cell>
          <cell r="BN85">
            <v>0</v>
          </cell>
          <cell r="BO85">
            <v>0</v>
          </cell>
          <cell r="BP85">
            <v>0</v>
          </cell>
          <cell r="BQ85">
            <v>210</v>
          </cell>
          <cell r="BR85">
            <v>210</v>
          </cell>
          <cell r="BS85">
            <v>4451</v>
          </cell>
          <cell r="BT85">
            <v>4451</v>
          </cell>
          <cell r="BU85">
            <v>4451</v>
          </cell>
          <cell r="BV85">
            <v>4451</v>
          </cell>
          <cell r="BW85">
            <v>4451</v>
          </cell>
          <cell r="BX85">
            <v>4451</v>
          </cell>
          <cell r="BY85">
            <v>4451</v>
          </cell>
        </row>
        <row r="86">
          <cell r="B86" t="str">
            <v>0 Abgänge Sachanlagen Restbuchwert bei BG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496</v>
          </cell>
          <cell r="BT86">
            <v>496</v>
          </cell>
          <cell r="BU86">
            <v>496</v>
          </cell>
          <cell r="BV86">
            <v>496</v>
          </cell>
          <cell r="BW86">
            <v>496</v>
          </cell>
          <cell r="BX86">
            <v>496</v>
          </cell>
          <cell r="BY86">
            <v>496</v>
          </cell>
        </row>
        <row r="87">
          <cell r="B87" t="str">
            <v>0 Periodenfremde Erträge</v>
          </cell>
          <cell r="BN87">
            <v>168.98</v>
          </cell>
          <cell r="BO87">
            <v>2010.34</v>
          </cell>
          <cell r="BP87">
            <v>1146.98</v>
          </cell>
          <cell r="BQ87">
            <v>1146.98</v>
          </cell>
          <cell r="BR87">
            <v>1146.98</v>
          </cell>
          <cell r="BS87">
            <v>-870.90000000000009</v>
          </cell>
          <cell r="BT87">
            <v>-870.90000000000009</v>
          </cell>
          <cell r="BU87">
            <v>-870.90000000000009</v>
          </cell>
          <cell r="BV87">
            <v>-870.90000000000009</v>
          </cell>
          <cell r="BW87">
            <v>-870.90000000000009</v>
          </cell>
          <cell r="BX87">
            <v>-870.90000000000009</v>
          </cell>
          <cell r="BY87">
            <v>-872.41000000000008</v>
          </cell>
        </row>
        <row r="88">
          <cell r="B88" t="str">
            <v>0 Sonst. Zinsen u.ä. Erträge aus verb.UN</v>
          </cell>
          <cell r="BN88">
            <v>0</v>
          </cell>
          <cell r="BO88">
            <v>0</v>
          </cell>
          <cell r="BP88">
            <v>-227.64</v>
          </cell>
          <cell r="BQ88">
            <v>-237.36999999999998</v>
          </cell>
          <cell r="BR88">
            <v>-237.36999999999998</v>
          </cell>
          <cell r="BS88">
            <v>-237.36999999999998</v>
          </cell>
          <cell r="BT88">
            <v>-237.36999999999998</v>
          </cell>
          <cell r="BU88">
            <v>-237.36999999999998</v>
          </cell>
          <cell r="BV88">
            <v>-237.36999999999998</v>
          </cell>
          <cell r="BW88">
            <v>-237.36999999999998</v>
          </cell>
          <cell r="BX88">
            <v>-237.36999999999998</v>
          </cell>
          <cell r="BY88">
            <v>-237.36999999999998</v>
          </cell>
        </row>
        <row r="89">
          <cell r="B89" t="str">
            <v>0 Erträge aus der Währungsumrechnung</v>
          </cell>
          <cell r="BN89">
            <v>-724.43</v>
          </cell>
          <cell r="BO89">
            <v>-750.87</v>
          </cell>
          <cell r="BP89">
            <v>-92.42999999999995</v>
          </cell>
          <cell r="BQ89">
            <v>-97.219999999999956</v>
          </cell>
          <cell r="BR89">
            <v>-100.54999999999995</v>
          </cell>
          <cell r="BS89">
            <v>-106.53999999999995</v>
          </cell>
          <cell r="BT89">
            <v>-132.14999999999995</v>
          </cell>
          <cell r="BU89">
            <v>-132.14999999999995</v>
          </cell>
          <cell r="BV89">
            <v>-132.14999999999995</v>
          </cell>
          <cell r="BW89">
            <v>-132.14999999999995</v>
          </cell>
          <cell r="BX89">
            <v>-132.14999999999995</v>
          </cell>
          <cell r="BY89">
            <v>-198.23999999999995</v>
          </cell>
        </row>
        <row r="90">
          <cell r="B90" t="str">
            <v>0 Zinsertrag Abzinsung Rückstellungen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</row>
        <row r="91">
          <cell r="B91" t="str">
            <v>0 Other non-operative revenues</v>
          </cell>
          <cell r="BN91">
            <v>-500</v>
          </cell>
          <cell r="BO91">
            <v>-1000</v>
          </cell>
          <cell r="BP91">
            <v>-1500</v>
          </cell>
          <cell r="BQ91">
            <v>-2000</v>
          </cell>
          <cell r="BR91">
            <v>-2500</v>
          </cell>
          <cell r="BS91">
            <v>-2867.86</v>
          </cell>
          <cell r="BT91">
            <v>-2867.86</v>
          </cell>
          <cell r="BU91">
            <v>-3867.86</v>
          </cell>
          <cell r="BV91">
            <v>-4367.8600000000006</v>
          </cell>
          <cell r="BW91">
            <v>-4867.8600000000006</v>
          </cell>
          <cell r="BX91">
            <v>-5367.8600000000006</v>
          </cell>
          <cell r="BY91">
            <v>-5836.77</v>
          </cell>
        </row>
        <row r="92">
          <cell r="B92" t="str">
            <v>1 Other non-operative revenues- affiliates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-17995.240000000002</v>
          </cell>
          <cell r="BS92">
            <v>-17995.240000000002</v>
          </cell>
          <cell r="BT92">
            <v>-17995.240000000002</v>
          </cell>
          <cell r="BU92">
            <v>-17995.240000000002</v>
          </cell>
          <cell r="BV92">
            <v>-17995.240000000002</v>
          </cell>
          <cell r="BW92">
            <v>-17995.240000000002</v>
          </cell>
          <cell r="BX92">
            <v>-17995.240000000002</v>
          </cell>
          <cell r="BY92">
            <v>-17995.240000000002</v>
          </cell>
        </row>
        <row r="93">
          <cell r="B93" t="str">
            <v>0 Erträge Auflösung von Rückstellungen</v>
          </cell>
          <cell r="BN93">
            <v>-151.41999999999999</v>
          </cell>
          <cell r="BO93">
            <v>-55294.84</v>
          </cell>
          <cell r="BP93">
            <v>-60131.479999999996</v>
          </cell>
          <cell r="BQ93">
            <v>-212507.07</v>
          </cell>
          <cell r="BR93">
            <v>-213627.07</v>
          </cell>
          <cell r="BS93">
            <v>-245542.33000000002</v>
          </cell>
          <cell r="BT93">
            <v>-245542.33000000002</v>
          </cell>
          <cell r="BU93">
            <v>-245542.33000000002</v>
          </cell>
          <cell r="BV93">
            <v>-245542.33000000002</v>
          </cell>
          <cell r="BW93">
            <v>-245542.33000000002</v>
          </cell>
          <cell r="BX93">
            <v>-245542.33000000002</v>
          </cell>
          <cell r="BY93">
            <v>-542430.64</v>
          </cell>
        </row>
        <row r="94">
          <cell r="B94" t="str">
            <v>0 Versich.entschädigung, Schadenersatz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5">
          <cell r="B95" t="str">
            <v>0 Erstattungen AufwendungsausgleichsG</v>
          </cell>
          <cell r="BN95">
            <v>-8110.3</v>
          </cell>
          <cell r="BO95">
            <v>-16542.63</v>
          </cell>
          <cell r="BP95">
            <v>-25556.5</v>
          </cell>
          <cell r="BQ95">
            <v>-34279.599999999999</v>
          </cell>
          <cell r="BR95">
            <v>-35388.67</v>
          </cell>
          <cell r="BS95">
            <v>-35388.67</v>
          </cell>
          <cell r="BT95">
            <v>-35388.67</v>
          </cell>
          <cell r="BU95">
            <v>-35388.67</v>
          </cell>
          <cell r="BV95">
            <v>-35388.67</v>
          </cell>
          <cell r="BW95">
            <v>-35388.67</v>
          </cell>
          <cell r="BX95">
            <v>-35388.67</v>
          </cell>
          <cell r="BY95">
            <v>-35424.559999999998</v>
          </cell>
        </row>
        <row r="96">
          <cell r="B96" t="str">
            <v>0 Produktionskosten Lebensmittel</v>
          </cell>
          <cell r="BN96">
            <v>1983.44</v>
          </cell>
          <cell r="BO96">
            <v>5222.9400000000005</v>
          </cell>
          <cell r="BP96">
            <v>7723.5700000000006</v>
          </cell>
          <cell r="BQ96">
            <v>12547.400000000001</v>
          </cell>
          <cell r="BR96">
            <v>15050.500000000002</v>
          </cell>
          <cell r="BS96">
            <v>16466.7</v>
          </cell>
          <cell r="BT96">
            <v>18330.61</v>
          </cell>
          <cell r="BU96">
            <v>18464</v>
          </cell>
          <cell r="BV96">
            <v>18508.400000000001</v>
          </cell>
          <cell r="BW96">
            <v>18516.63</v>
          </cell>
          <cell r="BX96">
            <v>18599.82</v>
          </cell>
          <cell r="BY96">
            <v>19671.62</v>
          </cell>
        </row>
        <row r="97">
          <cell r="B97" t="str">
            <v>1 Aufwendungen RHB Gewürze</v>
          </cell>
          <cell r="BN97">
            <v>2961.86</v>
          </cell>
          <cell r="BO97">
            <v>3056.77</v>
          </cell>
          <cell r="BP97">
            <v>3623.5699999999997</v>
          </cell>
          <cell r="BQ97">
            <v>3623.5699999999997</v>
          </cell>
          <cell r="BR97">
            <v>3623.5699999999997</v>
          </cell>
          <cell r="BS97">
            <v>3623.5699999999997</v>
          </cell>
          <cell r="BT97">
            <v>3623.5699999999997</v>
          </cell>
          <cell r="BU97">
            <v>3623.5699999999997</v>
          </cell>
          <cell r="BV97">
            <v>3623.5699999999997</v>
          </cell>
          <cell r="BW97">
            <v>3623.5699999999997</v>
          </cell>
          <cell r="BX97">
            <v>3623.5699999999997</v>
          </cell>
          <cell r="BY97">
            <v>13406.47</v>
          </cell>
        </row>
        <row r="98">
          <cell r="B98" t="str">
            <v>0 Produktionskosten Utensilien</v>
          </cell>
          <cell r="BN98">
            <v>408.56</v>
          </cell>
          <cell r="BO98">
            <v>1158.6500000000001</v>
          </cell>
          <cell r="BP98">
            <v>2089.42</v>
          </cell>
          <cell r="BQ98">
            <v>2568.1999999999998</v>
          </cell>
          <cell r="BR98">
            <v>2859.67</v>
          </cell>
          <cell r="BS98">
            <v>2963.28</v>
          </cell>
          <cell r="BT98">
            <v>3263.17</v>
          </cell>
          <cell r="BU98">
            <v>3263.17</v>
          </cell>
          <cell r="BV98">
            <v>3263.17</v>
          </cell>
          <cell r="BW98">
            <v>3263.17</v>
          </cell>
          <cell r="BX98">
            <v>3290.15</v>
          </cell>
          <cell r="BY98">
            <v>3232.6800000000003</v>
          </cell>
        </row>
        <row r="99">
          <cell r="B99" t="str">
            <v>0 Produktionskosten (Lizenz,Musik,Schrift)</v>
          </cell>
          <cell r="BN99">
            <v>1350</v>
          </cell>
          <cell r="BO99">
            <v>1418.91</v>
          </cell>
          <cell r="BP99">
            <v>2791.15</v>
          </cell>
          <cell r="BQ99">
            <v>4141.1499999999996</v>
          </cell>
          <cell r="BR99">
            <v>5491.15</v>
          </cell>
          <cell r="BS99">
            <v>6841.15</v>
          </cell>
          <cell r="BT99">
            <v>8191.15</v>
          </cell>
          <cell r="BU99">
            <v>9851.15</v>
          </cell>
          <cell r="BV99">
            <v>9851.15</v>
          </cell>
          <cell r="BW99">
            <v>9851.15</v>
          </cell>
          <cell r="BX99">
            <v>9851.15</v>
          </cell>
          <cell r="BY99">
            <v>9541.15</v>
          </cell>
        </row>
        <row r="100">
          <cell r="B100" t="str">
            <v>0 Produktionskosten (Infrastruktur, Tech)</v>
          </cell>
          <cell r="BN100">
            <v>894.21</v>
          </cell>
          <cell r="BO100">
            <v>894.21</v>
          </cell>
          <cell r="BP100">
            <v>-5030.6099999999997</v>
          </cell>
          <cell r="BQ100">
            <v>-5030.6099999999997</v>
          </cell>
          <cell r="BR100">
            <v>-4985.91</v>
          </cell>
          <cell r="BS100">
            <v>-4985.91</v>
          </cell>
          <cell r="BT100">
            <v>-4770.5199999999995</v>
          </cell>
          <cell r="BU100">
            <v>-4635.5499999999993</v>
          </cell>
          <cell r="BV100">
            <v>-4635.5499999999993</v>
          </cell>
          <cell r="BW100">
            <v>-4635.5499999999993</v>
          </cell>
          <cell r="BX100">
            <v>-4635.5499999999993</v>
          </cell>
          <cell r="BY100">
            <v>-4466.7099999999991</v>
          </cell>
        </row>
        <row r="101">
          <cell r="B101" t="str">
            <v>0 Produktionskosten (Mieten Kamera &amp; Co.)</v>
          </cell>
          <cell r="BN101">
            <v>65</v>
          </cell>
          <cell r="BO101">
            <v>65</v>
          </cell>
          <cell r="BP101">
            <v>449.39</v>
          </cell>
          <cell r="BQ101">
            <v>629.39</v>
          </cell>
          <cell r="BR101">
            <v>713.38</v>
          </cell>
          <cell r="BS101">
            <v>713.38</v>
          </cell>
          <cell r="BT101">
            <v>713.38</v>
          </cell>
          <cell r="BU101">
            <v>713.38</v>
          </cell>
          <cell r="BV101">
            <v>713.38</v>
          </cell>
          <cell r="BW101">
            <v>713.38</v>
          </cell>
          <cell r="BX101">
            <v>713.38</v>
          </cell>
          <cell r="BY101">
            <v>798.33</v>
          </cell>
        </row>
        <row r="102">
          <cell r="B102" t="str">
            <v>0 Produktionskosten (Requisiten, Props)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B103" t="str">
            <v>0 Production Props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775.32</v>
          </cell>
          <cell r="BS103">
            <v>774.5100000000001</v>
          </cell>
          <cell r="BT103">
            <v>819.84000000000015</v>
          </cell>
          <cell r="BU103">
            <v>819.84000000000015</v>
          </cell>
          <cell r="BV103">
            <v>819.84000000000015</v>
          </cell>
          <cell r="BW103">
            <v>819.84000000000015</v>
          </cell>
          <cell r="BX103">
            <v>819.84000000000015</v>
          </cell>
          <cell r="BY103">
            <v>819.84000000000015</v>
          </cell>
        </row>
        <row r="104">
          <cell r="B104" t="str">
            <v>0 Fremdleistungen EDV Service</v>
          </cell>
          <cell r="BN104">
            <v>22935.78</v>
          </cell>
          <cell r="BO104">
            <v>58448.24</v>
          </cell>
          <cell r="BP104">
            <v>73224.929999999993</v>
          </cell>
          <cell r="BQ104">
            <v>100715.85999999999</v>
          </cell>
          <cell r="BR104">
            <v>137448.29999999999</v>
          </cell>
          <cell r="BS104">
            <v>167536.24</v>
          </cell>
          <cell r="BT104">
            <v>178983.12</v>
          </cell>
          <cell r="BU104">
            <v>197800.87</v>
          </cell>
          <cell r="BV104">
            <v>206065.78</v>
          </cell>
          <cell r="BW104">
            <v>215060.58</v>
          </cell>
          <cell r="BX104">
            <v>226474.66999999998</v>
          </cell>
          <cell r="BY104">
            <v>358979.32999999996</v>
          </cell>
        </row>
        <row r="105">
          <cell r="B105" t="str">
            <v>1 Fremdleistungen Reverse Charge</v>
          </cell>
          <cell r="BN105">
            <v>340.01</v>
          </cell>
          <cell r="BO105">
            <v>340.01</v>
          </cell>
          <cell r="BP105">
            <v>1639.49</v>
          </cell>
          <cell r="BQ105">
            <v>1825.49</v>
          </cell>
          <cell r="BR105">
            <v>1825.49</v>
          </cell>
          <cell r="BS105">
            <v>1825.49</v>
          </cell>
          <cell r="BT105">
            <v>1844.02</v>
          </cell>
          <cell r="BU105">
            <v>1844.02</v>
          </cell>
          <cell r="BV105">
            <v>2947.98</v>
          </cell>
          <cell r="BW105">
            <v>4051.94</v>
          </cell>
          <cell r="BX105">
            <v>4051.94</v>
          </cell>
          <cell r="BY105">
            <v>7671.3</v>
          </cell>
        </row>
        <row r="106">
          <cell r="B106" t="str">
            <v>0 Fremdleistungen 19% Vorsteuer</v>
          </cell>
          <cell r="BN106">
            <v>5093.3999999999996</v>
          </cell>
          <cell r="BO106">
            <v>5093.3999999999996</v>
          </cell>
          <cell r="BP106">
            <v>12930.67</v>
          </cell>
          <cell r="BQ106">
            <v>31198.480000000003</v>
          </cell>
          <cell r="BR106">
            <v>39159.590000000004</v>
          </cell>
          <cell r="BS106">
            <v>39159.590000000004</v>
          </cell>
          <cell r="BT106">
            <v>46199.060000000005</v>
          </cell>
          <cell r="BU106">
            <v>49527.560000000005</v>
          </cell>
          <cell r="BV106">
            <v>49527.560000000005</v>
          </cell>
          <cell r="BW106">
            <v>49720.94</v>
          </cell>
          <cell r="BX106">
            <v>49720.94</v>
          </cell>
          <cell r="BY106">
            <v>53924.53</v>
          </cell>
        </row>
        <row r="107">
          <cell r="B107" t="str">
            <v>0 Fremdleistungen 7% Vorsteuer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</row>
        <row r="108">
          <cell r="B108" t="str">
            <v>0 Fremdleistungen ohne Vorsteuer</v>
          </cell>
          <cell r="BN108">
            <v>64736.99</v>
          </cell>
          <cell r="BO108">
            <v>80390.25</v>
          </cell>
          <cell r="BP108">
            <v>98629.85</v>
          </cell>
          <cell r="BQ108">
            <v>119922.35</v>
          </cell>
          <cell r="BR108">
            <v>120874.35</v>
          </cell>
          <cell r="BS108">
            <v>120687.94</v>
          </cell>
          <cell r="BT108">
            <v>120687.94</v>
          </cell>
          <cell r="BU108">
            <v>120687.94</v>
          </cell>
          <cell r="BV108">
            <v>120687.94</v>
          </cell>
          <cell r="BW108">
            <v>120687.94</v>
          </cell>
          <cell r="BX108">
            <v>120687.94</v>
          </cell>
          <cell r="BY108">
            <v>101390.94</v>
          </cell>
        </row>
        <row r="109">
          <cell r="B109" t="str">
            <v>0 Wareneingang 7% Vorsteuer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</row>
        <row r="110">
          <cell r="B110" t="str">
            <v>0 Erhaltene Skonti 19% Vorsteuer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B111" t="str">
            <v>0 Zölle und Einfuhrabgaben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</row>
        <row r="112">
          <cell r="B112" t="str">
            <v>1 BV Kochbücher Online-Shop</v>
          </cell>
          <cell r="BN112">
            <v>986.37</v>
          </cell>
          <cell r="BO112">
            <v>48.509999999999991</v>
          </cell>
          <cell r="BP112">
            <v>64.679999999999993</v>
          </cell>
          <cell r="BQ112">
            <v>64.679999999999993</v>
          </cell>
          <cell r="BR112">
            <v>64.679999999999993</v>
          </cell>
          <cell r="BS112">
            <v>64.679999999999993</v>
          </cell>
          <cell r="BT112">
            <v>64.679999999999993</v>
          </cell>
          <cell r="BU112">
            <v>64.679999999999993</v>
          </cell>
          <cell r="BV112">
            <v>64.679999999999993</v>
          </cell>
          <cell r="BW112">
            <v>64.679999999999993</v>
          </cell>
          <cell r="BX112">
            <v>64.679999999999993</v>
          </cell>
          <cell r="BY112">
            <v>64.679999999999993</v>
          </cell>
        </row>
        <row r="113">
          <cell r="B113" t="str">
            <v>0 BV RHB Gewürze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B114" t="str">
            <v>0 Bestand RHB Gewürze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B115" t="str">
            <v>0 Löhne und Gehälter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B116" t="str">
            <v>0 Löhne</v>
          </cell>
          <cell r="BN116">
            <v>69647.33</v>
          </cell>
          <cell r="BO116">
            <v>79615.33</v>
          </cell>
          <cell r="BP116">
            <v>90120.08</v>
          </cell>
          <cell r="BQ116">
            <v>99564.08</v>
          </cell>
          <cell r="BR116">
            <v>117067.08</v>
          </cell>
          <cell r="BS116">
            <v>124387.08</v>
          </cell>
          <cell r="BT116">
            <v>145571.91</v>
          </cell>
          <cell r="BU116">
            <v>163377.41</v>
          </cell>
          <cell r="BV116">
            <v>215213.41</v>
          </cell>
          <cell r="BW116">
            <v>223311.91</v>
          </cell>
          <cell r="BX116">
            <v>228781.91</v>
          </cell>
          <cell r="BY116">
            <v>232833.91</v>
          </cell>
        </row>
        <row r="117">
          <cell r="B117" t="str">
            <v>0 Gehälter</v>
          </cell>
          <cell r="BN117">
            <v>293153.5</v>
          </cell>
          <cell r="BO117">
            <v>495163.49</v>
          </cell>
          <cell r="BP117">
            <v>784780.7</v>
          </cell>
          <cell r="BQ117">
            <v>1076579.4099999999</v>
          </cell>
          <cell r="BR117">
            <v>1376686.97</v>
          </cell>
          <cell r="BS117">
            <v>1634322.58</v>
          </cell>
          <cell r="BT117">
            <v>1874489.75</v>
          </cell>
          <cell r="BU117">
            <v>2120533.4700000002</v>
          </cell>
          <cell r="BV117">
            <v>2344808.25</v>
          </cell>
          <cell r="BW117">
            <v>2442356.2000000002</v>
          </cell>
          <cell r="BX117">
            <v>2539666.66</v>
          </cell>
          <cell r="BY117">
            <v>2649307.7800000003</v>
          </cell>
        </row>
        <row r="118">
          <cell r="B118" t="str">
            <v>0 Geschäftsführergehälter GmbH-Gesells.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493.22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B119" t="str">
            <v>0 Geschäftsführergehälter</v>
          </cell>
          <cell r="BN119">
            <v>25655.83</v>
          </cell>
          <cell r="BO119">
            <v>45672.95</v>
          </cell>
          <cell r="BP119">
            <v>65690.069999999992</v>
          </cell>
          <cell r="BQ119">
            <v>394011.27</v>
          </cell>
          <cell r="BR119">
            <v>414028.39</v>
          </cell>
          <cell r="BS119">
            <v>434045.51</v>
          </cell>
          <cell r="BT119">
            <v>447795.51</v>
          </cell>
          <cell r="BU119">
            <v>474079.75</v>
          </cell>
          <cell r="BV119">
            <v>500498.54</v>
          </cell>
          <cell r="BW119">
            <v>528865.66</v>
          </cell>
          <cell r="BX119">
            <v>557232.78</v>
          </cell>
          <cell r="BY119">
            <v>588360.22</v>
          </cell>
        </row>
        <row r="120">
          <cell r="B120" t="str">
            <v>0 Gesetzliche Sozialaufwendungen</v>
          </cell>
          <cell r="BN120">
            <v>67950.11</v>
          </cell>
          <cell r="BO120">
            <v>112339.47</v>
          </cell>
          <cell r="BP120">
            <v>172573.89</v>
          </cell>
          <cell r="BQ120">
            <v>222837.06</v>
          </cell>
          <cell r="BR120">
            <v>286485.96999999997</v>
          </cell>
          <cell r="BS120">
            <v>340868.89999999997</v>
          </cell>
          <cell r="BT120">
            <v>391056.12999999995</v>
          </cell>
          <cell r="BU120">
            <v>445148.27999999997</v>
          </cell>
          <cell r="BV120">
            <v>495700.89999999997</v>
          </cell>
          <cell r="BW120">
            <v>519619.67</v>
          </cell>
          <cell r="BX120">
            <v>543041.09</v>
          </cell>
          <cell r="BY120">
            <v>558592.18999999994</v>
          </cell>
        </row>
        <row r="121">
          <cell r="B121" t="str">
            <v>5 SV- Marketing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</row>
        <row r="122">
          <cell r="B122" t="str">
            <v>0 Beiträge zur Berufsgenossenschaft</v>
          </cell>
          <cell r="BN122">
            <v>0</v>
          </cell>
          <cell r="BO122">
            <v>0</v>
          </cell>
          <cell r="BP122">
            <v>2852.42</v>
          </cell>
          <cell r="BQ122">
            <v>2852.42</v>
          </cell>
          <cell r="BR122">
            <v>5704.84</v>
          </cell>
          <cell r="BS122">
            <v>5704.84</v>
          </cell>
          <cell r="BT122">
            <v>5704.84</v>
          </cell>
          <cell r="BU122">
            <v>8557.26</v>
          </cell>
          <cell r="BV122">
            <v>8557.26</v>
          </cell>
          <cell r="BW122">
            <v>8557.26</v>
          </cell>
          <cell r="BX122">
            <v>11409.68</v>
          </cell>
          <cell r="BY122">
            <v>14641.84</v>
          </cell>
        </row>
        <row r="123">
          <cell r="B123" t="str">
            <v>0 Ausgleichsabgabe n.d.SchwerbehindertenG.</v>
          </cell>
          <cell r="BN123">
            <v>1290</v>
          </cell>
          <cell r="BO123">
            <v>2580</v>
          </cell>
          <cell r="BP123">
            <v>3870</v>
          </cell>
          <cell r="BQ123">
            <v>5160</v>
          </cell>
          <cell r="BR123">
            <v>6450</v>
          </cell>
          <cell r="BS123">
            <v>7740</v>
          </cell>
          <cell r="BT123">
            <v>7740</v>
          </cell>
          <cell r="BU123">
            <v>10320</v>
          </cell>
          <cell r="BV123">
            <v>11610</v>
          </cell>
          <cell r="BW123">
            <v>12900</v>
          </cell>
          <cell r="BX123">
            <v>14190</v>
          </cell>
          <cell r="BY123">
            <v>2856</v>
          </cell>
        </row>
        <row r="124">
          <cell r="B124" t="str">
            <v>0 Freiwillige soziale Aufwendung. LSt-frei</v>
          </cell>
          <cell r="BN124">
            <v>628.24</v>
          </cell>
          <cell r="BO124">
            <v>1924.22</v>
          </cell>
          <cell r="BP124">
            <v>2655.31</v>
          </cell>
          <cell r="BQ124">
            <v>3387.31</v>
          </cell>
          <cell r="BR124">
            <v>2677.56</v>
          </cell>
          <cell r="BS124">
            <v>3462.62</v>
          </cell>
          <cell r="BT124">
            <v>4181.78</v>
          </cell>
          <cell r="BU124">
            <v>4320.55</v>
          </cell>
          <cell r="BV124">
            <v>4320.55</v>
          </cell>
          <cell r="BW124">
            <v>4320.55</v>
          </cell>
          <cell r="BX124">
            <v>4547.4400000000005</v>
          </cell>
          <cell r="BY124">
            <v>6049.130000000001</v>
          </cell>
        </row>
        <row r="125">
          <cell r="B125" t="str">
            <v>0 Betriebsveranstaltungen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187.74</v>
          </cell>
          <cell r="BS125">
            <v>212.93</v>
          </cell>
          <cell r="BT125">
            <v>212.93</v>
          </cell>
          <cell r="BU125">
            <v>212.93</v>
          </cell>
          <cell r="BV125">
            <v>212.93</v>
          </cell>
          <cell r="BW125">
            <v>212.93</v>
          </cell>
          <cell r="BX125">
            <v>212.93</v>
          </cell>
          <cell r="BY125">
            <v>212.93</v>
          </cell>
        </row>
        <row r="126">
          <cell r="B126" t="str">
            <v>0 Soziale Abgaben für Minijobber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152.25</v>
          </cell>
          <cell r="BX126">
            <v>304.5</v>
          </cell>
          <cell r="BY126">
            <v>456.75</v>
          </cell>
        </row>
        <row r="127">
          <cell r="B127" t="str">
            <v>0 Freiwillige soziale Aufwendung. LSt-pfl.</v>
          </cell>
          <cell r="BN127">
            <v>238.55</v>
          </cell>
          <cell r="BO127">
            <v>238.55</v>
          </cell>
          <cell r="BP127">
            <v>104.65</v>
          </cell>
          <cell r="BQ127">
            <v>165.24</v>
          </cell>
          <cell r="BR127">
            <v>165.24</v>
          </cell>
          <cell r="BS127">
            <v>200.4</v>
          </cell>
          <cell r="BT127">
            <v>236.9</v>
          </cell>
          <cell r="BU127">
            <v>236.9</v>
          </cell>
          <cell r="BV127">
            <v>236.9</v>
          </cell>
          <cell r="BW127">
            <v>236.9</v>
          </cell>
          <cell r="BX127">
            <v>236.9</v>
          </cell>
          <cell r="BY127">
            <v>236.9</v>
          </cell>
        </row>
        <row r="128">
          <cell r="B128" t="str">
            <v>4 Freiw. soziale Aufw.lstpfl. Creative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</row>
        <row r="129">
          <cell r="B129" t="str">
            <v>0 Freiwillige Zuwendungen an Ges.er-GF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111.21</v>
          </cell>
          <cell r="BT129">
            <v>111.21</v>
          </cell>
          <cell r="BU129">
            <v>111.21</v>
          </cell>
          <cell r="BV129">
            <v>111.21</v>
          </cell>
          <cell r="BW129">
            <v>111.21</v>
          </cell>
          <cell r="BX129">
            <v>111.21</v>
          </cell>
          <cell r="BY129">
            <v>111.21</v>
          </cell>
        </row>
        <row r="130">
          <cell r="B130" t="str">
            <v>0 Pauschale Steuer auf sonstige Bezüge</v>
          </cell>
          <cell r="BN130">
            <v>541.38</v>
          </cell>
          <cell r="BO130">
            <v>541.38</v>
          </cell>
          <cell r="BP130">
            <v>541.38</v>
          </cell>
          <cell r="BQ130">
            <v>541.38</v>
          </cell>
          <cell r="BR130">
            <v>541.38</v>
          </cell>
          <cell r="BS130">
            <v>541.38</v>
          </cell>
          <cell r="BT130">
            <v>541.38</v>
          </cell>
          <cell r="BU130">
            <v>541.38</v>
          </cell>
          <cell r="BV130">
            <v>541.38</v>
          </cell>
          <cell r="BW130">
            <v>541.38</v>
          </cell>
          <cell r="BX130">
            <v>541.38</v>
          </cell>
          <cell r="BY130">
            <v>541.38</v>
          </cell>
        </row>
        <row r="131">
          <cell r="B131" t="str">
            <v>1 Zuschuss zum Mutterschaftsgeld</v>
          </cell>
          <cell r="BN131">
            <v>1086.8800000000001</v>
          </cell>
          <cell r="BO131">
            <v>5947.28</v>
          </cell>
          <cell r="BP131">
            <v>11142.880000000001</v>
          </cell>
          <cell r="BQ131">
            <v>16170.880000000001</v>
          </cell>
          <cell r="BR131">
            <v>16170.880000000001</v>
          </cell>
          <cell r="BS131">
            <v>16664.100000000002</v>
          </cell>
          <cell r="BT131">
            <v>16664.100000000002</v>
          </cell>
          <cell r="BU131">
            <v>16664.100000000002</v>
          </cell>
          <cell r="BV131">
            <v>16664.100000000002</v>
          </cell>
          <cell r="BW131">
            <v>16664.100000000002</v>
          </cell>
          <cell r="BX131">
            <v>16664.100000000002</v>
          </cell>
          <cell r="BY131">
            <v>16664.100000000002</v>
          </cell>
        </row>
        <row r="132">
          <cell r="B132" t="str">
            <v>0 Sachzuwendungen und Dienstleistg. an AN</v>
          </cell>
          <cell r="BN132">
            <v>660</v>
          </cell>
          <cell r="BO132">
            <v>1470</v>
          </cell>
          <cell r="BP132">
            <v>2340</v>
          </cell>
          <cell r="BQ132">
            <v>4065.6800000000003</v>
          </cell>
          <cell r="BR132">
            <v>5556.35</v>
          </cell>
          <cell r="BS132">
            <v>6342.1500000000005</v>
          </cell>
          <cell r="BT132">
            <v>11111.85</v>
          </cell>
          <cell r="BU132">
            <v>11501.85</v>
          </cell>
          <cell r="BV132">
            <v>11875.85</v>
          </cell>
          <cell r="BW132">
            <v>12115.85</v>
          </cell>
          <cell r="BX132">
            <v>12355.85</v>
          </cell>
          <cell r="BY132">
            <v>12595.85</v>
          </cell>
        </row>
        <row r="133">
          <cell r="B133" t="str">
            <v>0 Sachzuwend., Dienstleistungen Ges.er-GF</v>
          </cell>
          <cell r="BN133">
            <v>0</v>
          </cell>
          <cell r="BO133">
            <v>0</v>
          </cell>
          <cell r="BP133">
            <v>0</v>
          </cell>
          <cell r="BQ133">
            <v>89.9</v>
          </cell>
          <cell r="BR133">
            <v>89.9</v>
          </cell>
          <cell r="BS133">
            <v>89.9</v>
          </cell>
          <cell r="BT133">
            <v>89.9</v>
          </cell>
          <cell r="BU133">
            <v>89.9</v>
          </cell>
          <cell r="BV133">
            <v>89.9</v>
          </cell>
          <cell r="BW133">
            <v>89.9</v>
          </cell>
          <cell r="BX133">
            <v>89.9</v>
          </cell>
          <cell r="BY133">
            <v>89.9</v>
          </cell>
        </row>
        <row r="134">
          <cell r="B134" t="str">
            <v>0 Aufwendung Veränderung Urlaubsrückst.</v>
          </cell>
          <cell r="BN134">
            <v>0</v>
          </cell>
          <cell r="BO134">
            <v>0</v>
          </cell>
          <cell r="BP134">
            <v>0</v>
          </cell>
          <cell r="BQ134">
            <v>-68794.899999999994</v>
          </cell>
          <cell r="BR134">
            <v>-63794.899999999994</v>
          </cell>
          <cell r="BS134">
            <v>-58794.899999999994</v>
          </cell>
          <cell r="BT134">
            <v>-58794.899999999994</v>
          </cell>
          <cell r="BU134">
            <v>-48794.899999999994</v>
          </cell>
          <cell r="BV134">
            <v>-43794.899999999994</v>
          </cell>
          <cell r="BW134">
            <v>-38794.899999999994</v>
          </cell>
          <cell r="BX134">
            <v>-33794.899999999994</v>
          </cell>
          <cell r="BY134">
            <v>-28794.899999999994</v>
          </cell>
        </row>
        <row r="135">
          <cell r="B135" t="str">
            <v>0 Aufwendungen für Altersversorgung</v>
          </cell>
          <cell r="BN135">
            <v>3219</v>
          </cell>
          <cell r="BO135">
            <v>6438</v>
          </cell>
          <cell r="BP135">
            <v>9657</v>
          </cell>
          <cell r="BQ135">
            <v>12592</v>
          </cell>
          <cell r="BR135">
            <v>15243</v>
          </cell>
          <cell r="BS135">
            <v>17602</v>
          </cell>
          <cell r="BT135">
            <v>19679</v>
          </cell>
          <cell r="BU135">
            <v>21756</v>
          </cell>
          <cell r="BV135">
            <v>23660</v>
          </cell>
          <cell r="BW135">
            <v>24212</v>
          </cell>
          <cell r="BX135">
            <v>24764</v>
          </cell>
          <cell r="BY135">
            <v>25316</v>
          </cell>
        </row>
        <row r="136">
          <cell r="B136" t="str">
            <v>0 Aufwendungen Altersversorgung Ges.er-GF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</row>
        <row r="137">
          <cell r="B137" t="str">
            <v>0 Fahrtkostenerstatt. Whg./Arbeitsstätte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74.86</v>
          </cell>
          <cell r="BT137">
            <v>74.86</v>
          </cell>
          <cell r="BU137">
            <v>74.86</v>
          </cell>
          <cell r="BV137">
            <v>74.86</v>
          </cell>
          <cell r="BW137">
            <v>74.86</v>
          </cell>
          <cell r="BX137">
            <v>74.86</v>
          </cell>
          <cell r="BY137">
            <v>74.86</v>
          </cell>
        </row>
        <row r="138">
          <cell r="B138" t="str">
            <v>0 Pauschale Steuer für Minijobber</v>
          </cell>
          <cell r="BN138">
            <v>10.76</v>
          </cell>
          <cell r="BO138">
            <v>21.52</v>
          </cell>
          <cell r="BP138">
            <v>32.28</v>
          </cell>
          <cell r="BQ138">
            <v>43.04</v>
          </cell>
          <cell r="BR138">
            <v>53.8</v>
          </cell>
          <cell r="BS138">
            <v>64.56</v>
          </cell>
          <cell r="BT138">
            <v>75.320000000000007</v>
          </cell>
          <cell r="BU138">
            <v>86.080000000000013</v>
          </cell>
          <cell r="BV138">
            <v>96.840000000000018</v>
          </cell>
          <cell r="BW138">
            <v>107.60000000000002</v>
          </cell>
          <cell r="BX138">
            <v>118.36000000000003</v>
          </cell>
          <cell r="BY138">
            <v>129.12000000000003</v>
          </cell>
        </row>
        <row r="139">
          <cell r="B139" t="str">
            <v>0 Löhne für Minijobs</v>
          </cell>
          <cell r="BN139">
            <v>538</v>
          </cell>
          <cell r="BO139">
            <v>538</v>
          </cell>
          <cell r="BP139">
            <v>538</v>
          </cell>
          <cell r="BQ139">
            <v>538</v>
          </cell>
          <cell r="BR139">
            <v>538</v>
          </cell>
          <cell r="BS139">
            <v>538</v>
          </cell>
          <cell r="BT139">
            <v>538</v>
          </cell>
          <cell r="BU139">
            <v>538</v>
          </cell>
          <cell r="BV139">
            <v>538</v>
          </cell>
          <cell r="BW139">
            <v>1469.21</v>
          </cell>
          <cell r="BX139">
            <v>2007.21</v>
          </cell>
          <cell r="BY139">
            <v>2545.21</v>
          </cell>
        </row>
        <row r="140">
          <cell r="B140" t="str">
            <v>0 Pauschale Steuer für Gesellschafter-GF</v>
          </cell>
          <cell r="BN140">
            <v>0</v>
          </cell>
          <cell r="BO140">
            <v>0</v>
          </cell>
          <cell r="BP140">
            <v>0</v>
          </cell>
          <cell r="BQ140">
            <v>29.79</v>
          </cell>
          <cell r="BR140">
            <v>29.79</v>
          </cell>
          <cell r="BS140">
            <v>29.79</v>
          </cell>
          <cell r="BT140">
            <v>29.79</v>
          </cell>
          <cell r="BU140">
            <v>29.79</v>
          </cell>
          <cell r="BV140">
            <v>29.79</v>
          </cell>
          <cell r="BW140">
            <v>29.79</v>
          </cell>
          <cell r="BX140">
            <v>29.79</v>
          </cell>
          <cell r="BY140">
            <v>29.79</v>
          </cell>
        </row>
        <row r="141">
          <cell r="B141" t="str">
            <v>0 Pauschale Steuer für Arbeitnehmer</v>
          </cell>
          <cell r="BN141">
            <v>0</v>
          </cell>
          <cell r="BO141">
            <v>0</v>
          </cell>
          <cell r="BP141">
            <v>0</v>
          </cell>
          <cell r="BQ141">
            <v>59.58</v>
          </cell>
          <cell r="BR141">
            <v>59.58</v>
          </cell>
          <cell r="BS141">
            <v>91.33</v>
          </cell>
          <cell r="BT141">
            <v>126.39</v>
          </cell>
          <cell r="BU141">
            <v>126.39</v>
          </cell>
          <cell r="BV141">
            <v>126.39</v>
          </cell>
          <cell r="BW141">
            <v>126.39</v>
          </cell>
          <cell r="BX141">
            <v>126.39</v>
          </cell>
          <cell r="BY141">
            <v>126.39</v>
          </cell>
        </row>
        <row r="142">
          <cell r="B142" t="str">
            <v>0 Miete, unbewegliche Wirtschaftsgüter</v>
          </cell>
          <cell r="BN142">
            <v>10396.07</v>
          </cell>
          <cell r="BO142">
            <v>20792.14</v>
          </cell>
          <cell r="BP142">
            <v>31264.879999999997</v>
          </cell>
          <cell r="BQ142">
            <v>41850.769999999997</v>
          </cell>
          <cell r="BR142">
            <v>52341.75</v>
          </cell>
          <cell r="BS142">
            <v>61875.13</v>
          </cell>
          <cell r="BT142">
            <v>61970.04</v>
          </cell>
          <cell r="BU142">
            <v>82762.179999999993</v>
          </cell>
          <cell r="BV142">
            <v>82762.179999999993</v>
          </cell>
          <cell r="BW142">
            <v>93158.25</v>
          </cell>
          <cell r="BX142">
            <v>103545.97</v>
          </cell>
          <cell r="BY142">
            <v>128163.76000000001</v>
          </cell>
        </row>
        <row r="143">
          <cell r="B143" t="str">
            <v>0 Miet- und Pachtnebenkosten</v>
          </cell>
          <cell r="BN143">
            <v>4415.84</v>
          </cell>
          <cell r="BO143">
            <v>8831.68</v>
          </cell>
          <cell r="BP143">
            <v>13247.52</v>
          </cell>
          <cell r="BQ143">
            <v>17663.36</v>
          </cell>
          <cell r="BR143">
            <v>22079.200000000001</v>
          </cell>
          <cell r="BS143">
            <v>26453.39</v>
          </cell>
          <cell r="BT143">
            <v>26453.39</v>
          </cell>
          <cell r="BU143">
            <v>35285.07</v>
          </cell>
          <cell r="BV143">
            <v>35285.07</v>
          </cell>
          <cell r="BW143">
            <v>39700.910000000003</v>
          </cell>
          <cell r="BX143">
            <v>43166.030000000006</v>
          </cell>
          <cell r="BY143">
            <v>40258.780000000006</v>
          </cell>
        </row>
        <row r="144">
          <cell r="B144" t="str">
            <v>0 Reinigung</v>
          </cell>
          <cell r="BN144">
            <v>2526.21</v>
          </cell>
          <cell r="BO144">
            <v>5170.67</v>
          </cell>
          <cell r="BP144">
            <v>10416.26</v>
          </cell>
          <cell r="BQ144">
            <v>16143.18</v>
          </cell>
          <cell r="BR144">
            <v>18743.18</v>
          </cell>
          <cell r="BS144">
            <v>21044.59</v>
          </cell>
          <cell r="BT144">
            <v>23483.56</v>
          </cell>
          <cell r="BU144">
            <v>23483.56</v>
          </cell>
          <cell r="BV144">
            <v>23483.56</v>
          </cell>
          <cell r="BW144">
            <v>25922.530000000002</v>
          </cell>
          <cell r="BX144">
            <v>28361.500000000004</v>
          </cell>
          <cell r="BY144">
            <v>30800.470000000005</v>
          </cell>
        </row>
        <row r="145">
          <cell r="B145" t="str">
            <v>0 Instandhaltung betrieblicher Räume</v>
          </cell>
          <cell r="BN145">
            <v>1300</v>
          </cell>
          <cell r="BO145">
            <v>1300</v>
          </cell>
          <cell r="BP145">
            <v>1300</v>
          </cell>
          <cell r="BQ145">
            <v>1300</v>
          </cell>
          <cell r="BR145">
            <v>1712</v>
          </cell>
          <cell r="BS145">
            <v>1712</v>
          </cell>
          <cell r="BT145">
            <v>1712</v>
          </cell>
          <cell r="BU145">
            <v>1712</v>
          </cell>
          <cell r="BV145">
            <v>1712</v>
          </cell>
          <cell r="BW145">
            <v>1712</v>
          </cell>
          <cell r="BX145">
            <v>1712</v>
          </cell>
          <cell r="BY145">
            <v>1712</v>
          </cell>
        </row>
        <row r="146">
          <cell r="B146" t="str">
            <v>0 Versicherungen</v>
          </cell>
          <cell r="BN146">
            <v>372.54</v>
          </cell>
          <cell r="BO146">
            <v>716.08</v>
          </cell>
          <cell r="BP146">
            <v>1311.1100000000001</v>
          </cell>
          <cell r="BQ146">
            <v>1683.65</v>
          </cell>
          <cell r="BR146">
            <v>3069.04</v>
          </cell>
          <cell r="BS146">
            <v>3527.5299999999997</v>
          </cell>
          <cell r="BT146">
            <v>4177.99</v>
          </cell>
          <cell r="BU146">
            <v>5033.24</v>
          </cell>
          <cell r="BV146">
            <v>5623.49</v>
          </cell>
          <cell r="BW146">
            <v>6213.74</v>
          </cell>
          <cell r="BX146">
            <v>6803.99</v>
          </cell>
          <cell r="BY146">
            <v>7617.71</v>
          </cell>
        </row>
        <row r="147">
          <cell r="B147" t="str">
            <v>0 Beiträge</v>
          </cell>
          <cell r="BN147">
            <v>18.36</v>
          </cell>
          <cell r="BO147">
            <v>18.36</v>
          </cell>
          <cell r="BP147">
            <v>18.36</v>
          </cell>
          <cell r="BQ147">
            <v>797.72</v>
          </cell>
          <cell r="BR147">
            <v>987.97</v>
          </cell>
          <cell r="BS147">
            <v>1178.22</v>
          </cell>
          <cell r="BT147">
            <v>1196.58</v>
          </cell>
          <cell r="BU147">
            <v>1798.3799999999999</v>
          </cell>
          <cell r="BV147">
            <v>2099.2799999999997</v>
          </cell>
          <cell r="BW147">
            <v>2418.54</v>
          </cell>
          <cell r="BX147">
            <v>2719.44</v>
          </cell>
          <cell r="BY147">
            <v>3085.9900000000002</v>
          </cell>
        </row>
        <row r="148">
          <cell r="B148" t="str">
            <v>1 Beiträge Künstlersozialkasse KSK</v>
          </cell>
          <cell r="BN148">
            <v>385.98</v>
          </cell>
          <cell r="BO148">
            <v>771.96</v>
          </cell>
          <cell r="BP148">
            <v>-3803.88</v>
          </cell>
          <cell r="BQ148">
            <v>-3759.38</v>
          </cell>
          <cell r="BR148">
            <v>10495.77</v>
          </cell>
          <cell r="BS148">
            <v>12055.32</v>
          </cell>
          <cell r="BT148">
            <v>13114.869999999999</v>
          </cell>
          <cell r="BU148">
            <v>15174.419999999998</v>
          </cell>
          <cell r="BV148">
            <v>16733.969999999998</v>
          </cell>
          <cell r="BW148">
            <v>18293.519999999997</v>
          </cell>
          <cell r="BX148">
            <v>19853.069999999996</v>
          </cell>
          <cell r="BY148">
            <v>11196.239999999996</v>
          </cell>
        </row>
        <row r="149">
          <cell r="B149" t="str">
            <v>0 Sonstige Abgaben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</row>
        <row r="150">
          <cell r="B150" t="str">
            <v>0 Abzugsf.Verspätungszuschlag/Zwangsgeld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28</v>
          </cell>
        </row>
        <row r="151">
          <cell r="B151" t="str">
            <v>0 Nicht abzf.Verspät.zuschlag/Zwangsgeld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30</v>
          </cell>
          <cell r="BU151">
            <v>30</v>
          </cell>
          <cell r="BV151">
            <v>30</v>
          </cell>
          <cell r="BW151">
            <v>30</v>
          </cell>
          <cell r="BX151">
            <v>30</v>
          </cell>
          <cell r="BY151">
            <v>5</v>
          </cell>
        </row>
        <row r="152">
          <cell r="B152" t="str">
            <v>0 Marketing Partner Campaigns</v>
          </cell>
          <cell r="BN152">
            <v>1458</v>
          </cell>
          <cell r="BO152">
            <v>3632.59</v>
          </cell>
          <cell r="BP152">
            <v>4087.33</v>
          </cell>
          <cell r="BQ152">
            <v>4087.33</v>
          </cell>
          <cell r="BR152">
            <v>5563.54</v>
          </cell>
          <cell r="BS152">
            <v>5563.54</v>
          </cell>
          <cell r="BT152">
            <v>5563.54</v>
          </cell>
          <cell r="BU152">
            <v>5563.54</v>
          </cell>
          <cell r="BV152">
            <v>5563.54</v>
          </cell>
          <cell r="BW152">
            <v>5563.54</v>
          </cell>
          <cell r="BX152">
            <v>5563.54</v>
          </cell>
          <cell r="BY152">
            <v>5563.54</v>
          </cell>
        </row>
        <row r="153">
          <cell r="B153" t="str">
            <v>0 Marketing User Growth B2C</v>
          </cell>
          <cell r="BN153">
            <v>11260.43</v>
          </cell>
          <cell r="BO153">
            <v>20300.53</v>
          </cell>
          <cell r="BP153">
            <v>36966.36</v>
          </cell>
          <cell r="BQ153">
            <v>60588.92</v>
          </cell>
          <cell r="BR153">
            <v>77403.67</v>
          </cell>
          <cell r="BS153">
            <v>86546.94</v>
          </cell>
          <cell r="BT153">
            <v>86546.94</v>
          </cell>
          <cell r="BU153">
            <v>86546.94</v>
          </cell>
          <cell r="BV153">
            <v>86546.94</v>
          </cell>
          <cell r="BW153">
            <v>86546.94</v>
          </cell>
          <cell r="BX153">
            <v>86546.94</v>
          </cell>
          <cell r="BY153">
            <v>211352.05</v>
          </cell>
        </row>
        <row r="154">
          <cell r="B154" t="str">
            <v xml:space="preserve">0 Marketing B2B Ads 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99.09</v>
          </cell>
          <cell r="BT154">
            <v>872.21</v>
          </cell>
          <cell r="BU154">
            <v>872.21</v>
          </cell>
          <cell r="BV154">
            <v>872.21</v>
          </cell>
          <cell r="BW154">
            <v>872.21</v>
          </cell>
          <cell r="BX154">
            <v>872.21</v>
          </cell>
          <cell r="BY154">
            <v>3062.8</v>
          </cell>
        </row>
        <row r="155">
          <cell r="B155" t="str">
            <v>0 Werbekosten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289.89999999999998</v>
          </cell>
          <cell r="BX155">
            <v>289.89999999999998</v>
          </cell>
          <cell r="BY155">
            <v>289.89999999999998</v>
          </cell>
        </row>
        <row r="156">
          <cell r="B156" t="str">
            <v>0 Geschenke abzugsfähig ohne § 37b EStG</v>
          </cell>
          <cell r="BN156">
            <v>0</v>
          </cell>
          <cell r="BO156">
            <v>0</v>
          </cell>
          <cell r="BP156">
            <v>0</v>
          </cell>
          <cell r="BQ156">
            <v>40</v>
          </cell>
          <cell r="BR156">
            <v>80</v>
          </cell>
          <cell r="BS156">
            <v>120</v>
          </cell>
          <cell r="BT156">
            <v>120</v>
          </cell>
          <cell r="BU156">
            <v>120</v>
          </cell>
          <cell r="BV156">
            <v>120</v>
          </cell>
          <cell r="BW156">
            <v>120</v>
          </cell>
          <cell r="BX156">
            <v>120</v>
          </cell>
          <cell r="BY156">
            <v>120</v>
          </cell>
        </row>
        <row r="157">
          <cell r="B157" t="str">
            <v>0 Pausch. Steuer Geschenke/Zuwend. abz.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</row>
        <row r="158">
          <cell r="B158" t="str">
            <v>0 Geschenke n. abzugsfähig mit § 37b EStG</v>
          </cell>
          <cell r="BN158">
            <v>0</v>
          </cell>
          <cell r="BO158">
            <v>0</v>
          </cell>
          <cell r="BP158">
            <v>0</v>
          </cell>
          <cell r="BQ158">
            <v>232.53</v>
          </cell>
          <cell r="BR158">
            <v>232.53</v>
          </cell>
          <cell r="BS158">
            <v>313.02999999999997</v>
          </cell>
          <cell r="BT158">
            <v>313.02999999999997</v>
          </cell>
          <cell r="BU158">
            <v>313.02999999999997</v>
          </cell>
          <cell r="BV158">
            <v>313.02999999999997</v>
          </cell>
          <cell r="BW158">
            <v>313.02999999999997</v>
          </cell>
          <cell r="BX158">
            <v>313.02999999999997</v>
          </cell>
          <cell r="BY158">
            <v>313.02999999999997</v>
          </cell>
        </row>
        <row r="159">
          <cell r="B159" t="str">
            <v>0 Pausch. Steuer Geschenke/Zuwend. n.abz.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</row>
        <row r="160">
          <cell r="B160" t="str">
            <v>0 Repräsentationskosten</v>
          </cell>
          <cell r="BN160">
            <v>136.16</v>
          </cell>
          <cell r="BO160">
            <v>146.99</v>
          </cell>
          <cell r="BP160">
            <v>146.99</v>
          </cell>
          <cell r="BQ160">
            <v>146.99</v>
          </cell>
          <cell r="BR160">
            <v>146.99</v>
          </cell>
          <cell r="BS160">
            <v>146.99</v>
          </cell>
          <cell r="BT160">
            <v>146.99</v>
          </cell>
          <cell r="BU160">
            <v>146.99</v>
          </cell>
          <cell r="BV160">
            <v>146.99</v>
          </cell>
          <cell r="BW160">
            <v>146.99</v>
          </cell>
          <cell r="BX160">
            <v>146.99</v>
          </cell>
          <cell r="BY160">
            <v>146.99</v>
          </cell>
        </row>
        <row r="161">
          <cell r="B161" t="str">
            <v>0 Bewirtungskosten intern</v>
          </cell>
          <cell r="BN161">
            <v>0</v>
          </cell>
          <cell r="BO161">
            <v>0</v>
          </cell>
          <cell r="BP161">
            <v>1262.74</v>
          </cell>
          <cell r="BQ161">
            <v>1561.96</v>
          </cell>
          <cell r="BR161">
            <v>2675.3900000000003</v>
          </cell>
          <cell r="BS161">
            <v>2949.84</v>
          </cell>
          <cell r="BT161">
            <v>3008.6600000000003</v>
          </cell>
          <cell r="BU161">
            <v>3008.6600000000003</v>
          </cell>
          <cell r="BV161">
            <v>3008.6600000000003</v>
          </cell>
          <cell r="BW161">
            <v>3008.6600000000003</v>
          </cell>
          <cell r="BX161">
            <v>3008.6600000000003</v>
          </cell>
          <cell r="BY161">
            <v>3154.86</v>
          </cell>
        </row>
        <row r="162">
          <cell r="B162" t="str">
            <v>0 Aufmerksamkeiten</v>
          </cell>
          <cell r="BN162">
            <v>370.33</v>
          </cell>
          <cell r="BO162">
            <v>888.15000000000009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-200.07</v>
          </cell>
        </row>
        <row r="163">
          <cell r="B163" t="str">
            <v>0 Bewirtungskosten extern 70%</v>
          </cell>
          <cell r="BN163">
            <v>0</v>
          </cell>
          <cell r="BO163">
            <v>0</v>
          </cell>
          <cell r="BP163">
            <v>409.17</v>
          </cell>
          <cell r="BQ163">
            <v>803.25</v>
          </cell>
          <cell r="BR163">
            <v>865.43</v>
          </cell>
          <cell r="BS163">
            <v>1108.8799999999999</v>
          </cell>
          <cell r="BT163">
            <v>1108.8799999999999</v>
          </cell>
          <cell r="BU163">
            <v>1108.8799999999999</v>
          </cell>
          <cell r="BV163">
            <v>1108.8799999999999</v>
          </cell>
          <cell r="BW163">
            <v>1108.8799999999999</v>
          </cell>
          <cell r="BX163">
            <v>1108.8799999999999</v>
          </cell>
          <cell r="BY163">
            <v>659.06</v>
          </cell>
        </row>
        <row r="164">
          <cell r="B164" t="str">
            <v>0 n. abz. Bewirtungskosten extern 30%</v>
          </cell>
          <cell r="BN164">
            <v>0</v>
          </cell>
          <cell r="BO164">
            <v>0</v>
          </cell>
          <cell r="BP164">
            <v>-93.28</v>
          </cell>
          <cell r="BQ164">
            <v>-167.82</v>
          </cell>
          <cell r="BR164">
            <v>-167.82</v>
          </cell>
          <cell r="BS164">
            <v>-167.82</v>
          </cell>
          <cell r="BT164">
            <v>-167.82</v>
          </cell>
          <cell r="BU164">
            <v>-167.82</v>
          </cell>
          <cell r="BV164">
            <v>-167.82</v>
          </cell>
          <cell r="BW164">
            <v>-167.82</v>
          </cell>
          <cell r="BX164">
            <v>-167.82</v>
          </cell>
          <cell r="BY164">
            <v>282</v>
          </cell>
        </row>
        <row r="165">
          <cell r="B165" t="str">
            <v>0 Reisekosten Arbeitnehmer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</row>
        <row r="166">
          <cell r="B166" t="str">
            <v>0 Reisekosten Arbeitnehmer, Fahrtkosten</v>
          </cell>
          <cell r="BN166">
            <v>456.32</v>
          </cell>
          <cell r="BO166">
            <v>797.61</v>
          </cell>
          <cell r="BP166">
            <v>1217.31</v>
          </cell>
          <cell r="BQ166">
            <v>2097.19</v>
          </cell>
          <cell r="BR166">
            <v>3385.4700000000003</v>
          </cell>
          <cell r="BS166">
            <v>4240.76</v>
          </cell>
          <cell r="BT166">
            <v>4240.76</v>
          </cell>
          <cell r="BU166">
            <v>6366.92</v>
          </cell>
          <cell r="BV166">
            <v>7430</v>
          </cell>
          <cell r="BW166">
            <v>8493.08</v>
          </cell>
          <cell r="BX166">
            <v>9556.16</v>
          </cell>
          <cell r="BY166">
            <v>10973.6</v>
          </cell>
        </row>
        <row r="167">
          <cell r="B167" t="str">
            <v>1 Reisekosten AN Fahrtkosten Team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B168" t="str">
            <v>2 Reisekosten AN Fahrtkosten externe Proje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1391.29</v>
          </cell>
        </row>
        <row r="169">
          <cell r="B169" t="str">
            <v>9 Reisekosten Recruiting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</row>
        <row r="170">
          <cell r="B170" t="str">
            <v>0 Reisekosten AN Verpfleg.mehraufwand</v>
          </cell>
          <cell r="BN170">
            <v>0</v>
          </cell>
          <cell r="BO170">
            <v>0</v>
          </cell>
          <cell r="BP170">
            <v>28</v>
          </cell>
          <cell r="BQ170">
            <v>56</v>
          </cell>
          <cell r="BR170">
            <v>56</v>
          </cell>
          <cell r="BS170">
            <v>84</v>
          </cell>
          <cell r="BT170">
            <v>84</v>
          </cell>
          <cell r="BU170">
            <v>84</v>
          </cell>
          <cell r="BV170">
            <v>84</v>
          </cell>
          <cell r="BW170">
            <v>84</v>
          </cell>
          <cell r="BX170">
            <v>84</v>
          </cell>
          <cell r="BY170">
            <v>84</v>
          </cell>
        </row>
        <row r="171">
          <cell r="B171" t="str">
            <v>2 Reisekosten AN VMA externe Projekte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</row>
        <row r="172">
          <cell r="B172" t="str">
            <v>0 Reisekosten AN Übernachtungsaufwand</v>
          </cell>
          <cell r="BN172">
            <v>76.08</v>
          </cell>
          <cell r="BO172">
            <v>254.33999999999997</v>
          </cell>
          <cell r="BP172">
            <v>440.40999999999997</v>
          </cell>
          <cell r="BQ172">
            <v>440.40999999999997</v>
          </cell>
          <cell r="BR172">
            <v>440.40999999999997</v>
          </cell>
          <cell r="BS172">
            <v>556.58999999999992</v>
          </cell>
          <cell r="BT172">
            <v>556.58999999999992</v>
          </cell>
          <cell r="BU172">
            <v>556.58999999999992</v>
          </cell>
          <cell r="BV172">
            <v>556.58999999999992</v>
          </cell>
          <cell r="BW172">
            <v>556.58999999999992</v>
          </cell>
          <cell r="BX172">
            <v>556.58999999999992</v>
          </cell>
          <cell r="BY172">
            <v>561.26999999999987</v>
          </cell>
        </row>
        <row r="173">
          <cell r="B173" t="str">
            <v>1 Reisekosten AN Übernachtung Team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</row>
        <row r="174">
          <cell r="B174" t="str">
            <v>2 Reisekosten AN Übernachtung externe Proj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</row>
        <row r="175">
          <cell r="B175" t="str">
            <v>0 Kilometergelderstattung Arbeitnehmer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</row>
        <row r="176">
          <cell r="B176" t="str">
            <v>0 Reparatur u.Instandhaltung von Bauten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8350</v>
          </cell>
        </row>
        <row r="177">
          <cell r="B177" t="str">
            <v>0 Reparatur/Instandh.v.and.Anlagen u. BGA</v>
          </cell>
          <cell r="BN177">
            <v>0</v>
          </cell>
          <cell r="BO177">
            <v>0</v>
          </cell>
          <cell r="BP177">
            <v>0</v>
          </cell>
          <cell r="BQ177">
            <v>149</v>
          </cell>
          <cell r="BR177">
            <v>149</v>
          </cell>
          <cell r="BS177">
            <v>149</v>
          </cell>
          <cell r="BT177">
            <v>149</v>
          </cell>
          <cell r="BU177">
            <v>149</v>
          </cell>
          <cell r="BV177">
            <v>149</v>
          </cell>
          <cell r="BW177">
            <v>158</v>
          </cell>
          <cell r="BX177">
            <v>158</v>
          </cell>
          <cell r="BY177">
            <v>755.39</v>
          </cell>
        </row>
        <row r="178">
          <cell r="B178" t="str">
            <v>0 Wartungskosten für Hard- und Software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1076.45</v>
          </cell>
          <cell r="BV178">
            <v>1381.45</v>
          </cell>
          <cell r="BW178">
            <v>1381.45</v>
          </cell>
          <cell r="BX178">
            <v>1381.45</v>
          </cell>
          <cell r="BY178">
            <v>1702.44</v>
          </cell>
        </row>
        <row r="179">
          <cell r="B179" t="str">
            <v>0 Sonstige Reparaturen u.Instandhaltungen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175</v>
          </cell>
          <cell r="BX179">
            <v>175</v>
          </cell>
          <cell r="BY179">
            <v>377.3</v>
          </cell>
        </row>
        <row r="180">
          <cell r="B180" t="str">
            <v>0 Mietleasing bewegl. WG techn. Anlagen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552.09</v>
          </cell>
          <cell r="BT180">
            <v>552.09</v>
          </cell>
          <cell r="BU180">
            <v>736.88</v>
          </cell>
          <cell r="BV180">
            <v>921.67</v>
          </cell>
          <cell r="BW180">
            <v>1106.46</v>
          </cell>
          <cell r="BX180">
            <v>1291.26</v>
          </cell>
          <cell r="BY180">
            <v>2078.9299999999998</v>
          </cell>
        </row>
        <row r="181">
          <cell r="B181" t="str">
            <v>0 Abschreibung selbst geschaffene imm. VG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B182" t="str">
            <v>0 Abschreibungen auf Sachanlagen</v>
          </cell>
          <cell r="BN182">
            <v>6551.06</v>
          </cell>
          <cell r="BO182">
            <v>13256.52</v>
          </cell>
          <cell r="BP182">
            <v>19882.05</v>
          </cell>
          <cell r="BQ182">
            <v>26566.400000000001</v>
          </cell>
          <cell r="BR182">
            <v>28834.030000000002</v>
          </cell>
          <cell r="BS182">
            <v>34594.83</v>
          </cell>
          <cell r="BT182">
            <v>39948.25</v>
          </cell>
          <cell r="BU182">
            <v>45271.8</v>
          </cell>
          <cell r="BV182">
            <v>50576.9</v>
          </cell>
          <cell r="BW182">
            <v>55876.86</v>
          </cell>
          <cell r="BX182">
            <v>61075.68</v>
          </cell>
          <cell r="BY182">
            <v>66272.84</v>
          </cell>
        </row>
        <row r="183">
          <cell r="B183" t="str">
            <v>0 Sofortabschreibung GWG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640.39</v>
          </cell>
        </row>
        <row r="184">
          <cell r="B184" t="str">
            <v>0 Abschreibungen auf aktivierte GWG</v>
          </cell>
          <cell r="BN184">
            <v>138.22</v>
          </cell>
          <cell r="BO184">
            <v>276.47000000000003</v>
          </cell>
          <cell r="BP184">
            <v>457.83000000000004</v>
          </cell>
          <cell r="BQ184">
            <v>639.26</v>
          </cell>
          <cell r="BR184">
            <v>809.4</v>
          </cell>
          <cell r="BS184">
            <v>937.91</v>
          </cell>
          <cell r="BT184">
            <v>1066.49</v>
          </cell>
          <cell r="BU184">
            <v>1195.03</v>
          </cell>
          <cell r="BV184">
            <v>1323.53</v>
          </cell>
          <cell r="BW184">
            <v>1447.68</v>
          </cell>
          <cell r="BX184">
            <v>1571.77</v>
          </cell>
          <cell r="BY184">
            <v>1401.7</v>
          </cell>
        </row>
        <row r="185">
          <cell r="B185" t="str">
            <v>0 Sonstige betriebliche Aufwendungen</v>
          </cell>
          <cell r="BN185">
            <v>0</v>
          </cell>
          <cell r="BO185">
            <v>0</v>
          </cell>
          <cell r="BP185">
            <v>10</v>
          </cell>
          <cell r="BQ185">
            <v>15</v>
          </cell>
          <cell r="BR185">
            <v>1473.07</v>
          </cell>
          <cell r="BS185">
            <v>1473.07</v>
          </cell>
          <cell r="BT185">
            <v>1473.07</v>
          </cell>
          <cell r="BU185">
            <v>1473.07</v>
          </cell>
          <cell r="BV185">
            <v>1473.07</v>
          </cell>
          <cell r="BW185">
            <v>1473.07</v>
          </cell>
          <cell r="BX185">
            <v>1473.07</v>
          </cell>
          <cell r="BY185">
            <v>1546.23</v>
          </cell>
        </row>
        <row r="186">
          <cell r="B186" t="str">
            <v>1 Headhunter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</row>
        <row r="187">
          <cell r="B187" t="str">
            <v>0 Porto</v>
          </cell>
          <cell r="BN187">
            <v>0</v>
          </cell>
          <cell r="BO187">
            <v>155.4</v>
          </cell>
          <cell r="BP187">
            <v>-181.85</v>
          </cell>
          <cell r="BQ187">
            <v>-90.059999999999988</v>
          </cell>
          <cell r="BR187">
            <v>204.92000000000002</v>
          </cell>
          <cell r="BS187">
            <v>1024.6300000000001</v>
          </cell>
          <cell r="BT187">
            <v>1099.7800000000002</v>
          </cell>
          <cell r="BU187">
            <v>1099.7800000000002</v>
          </cell>
          <cell r="BV187">
            <v>1099.7800000000002</v>
          </cell>
          <cell r="BW187">
            <v>1099.7800000000002</v>
          </cell>
          <cell r="BX187">
            <v>1154.5800000000002</v>
          </cell>
          <cell r="BY187">
            <v>1577.8600000000001</v>
          </cell>
        </row>
        <row r="188">
          <cell r="B188" t="str">
            <v>0 Telefon</v>
          </cell>
          <cell r="BN188">
            <v>502.6</v>
          </cell>
          <cell r="BO188">
            <v>780.36</v>
          </cell>
          <cell r="BP188">
            <v>1043.8400000000001</v>
          </cell>
          <cell r="BQ188">
            <v>1344.0100000000002</v>
          </cell>
          <cell r="BR188">
            <v>1357.4900000000002</v>
          </cell>
          <cell r="BS188">
            <v>1511.5500000000002</v>
          </cell>
          <cell r="BT188">
            <v>1665.6100000000001</v>
          </cell>
          <cell r="BU188">
            <v>1679.0900000000001</v>
          </cell>
          <cell r="BV188">
            <v>1679.0900000000001</v>
          </cell>
          <cell r="BW188">
            <v>1679.0900000000001</v>
          </cell>
          <cell r="BX188">
            <v>1679.0900000000001</v>
          </cell>
          <cell r="BY188">
            <v>2152.4100000000003</v>
          </cell>
        </row>
        <row r="189">
          <cell r="B189" t="str">
            <v>0 Internetkosten</v>
          </cell>
          <cell r="BN189">
            <v>684</v>
          </cell>
          <cell r="BO189">
            <v>1368</v>
          </cell>
          <cell r="BP189">
            <v>2052</v>
          </cell>
          <cell r="BQ189">
            <v>2736</v>
          </cell>
          <cell r="BR189">
            <v>3611.04</v>
          </cell>
          <cell r="BS189">
            <v>3961.04</v>
          </cell>
          <cell r="BT189">
            <v>4311.04</v>
          </cell>
          <cell r="BU189">
            <v>4661.04</v>
          </cell>
          <cell r="BV189">
            <v>4661.04</v>
          </cell>
          <cell r="BW189">
            <v>4661.04</v>
          </cell>
          <cell r="BX189">
            <v>4661.04</v>
          </cell>
          <cell r="BY189">
            <v>6411.04</v>
          </cell>
        </row>
        <row r="190">
          <cell r="B190" t="str">
            <v>0 Bürobedarf</v>
          </cell>
          <cell r="BN190">
            <v>232.1</v>
          </cell>
          <cell r="BO190">
            <v>544.80999999999995</v>
          </cell>
          <cell r="BP190">
            <v>1291.58</v>
          </cell>
          <cell r="BQ190">
            <v>2131.37</v>
          </cell>
          <cell r="BR190">
            <v>2436.81</v>
          </cell>
          <cell r="BS190">
            <v>2619.98</v>
          </cell>
          <cell r="BT190">
            <v>2893.45</v>
          </cell>
          <cell r="BU190">
            <v>2963.43</v>
          </cell>
          <cell r="BV190">
            <v>3132.95</v>
          </cell>
          <cell r="BW190">
            <v>3206.95</v>
          </cell>
          <cell r="BX190">
            <v>3260.89</v>
          </cell>
          <cell r="BY190">
            <v>3333.06</v>
          </cell>
        </row>
        <row r="191">
          <cell r="B191" t="str">
            <v>0 Zeitschrift./Bücher/dig.Medien(Fachlit.)</v>
          </cell>
          <cell r="BN191">
            <v>5</v>
          </cell>
          <cell r="BO191">
            <v>773.83</v>
          </cell>
          <cell r="BP191">
            <v>384.00000000000006</v>
          </cell>
          <cell r="BQ191">
            <v>389.00000000000006</v>
          </cell>
          <cell r="BR191">
            <v>429.82000000000005</v>
          </cell>
          <cell r="BS191">
            <v>434.82000000000005</v>
          </cell>
          <cell r="BT191">
            <v>434.82000000000005</v>
          </cell>
          <cell r="BU191">
            <v>439.82000000000005</v>
          </cell>
          <cell r="BV191">
            <v>444.82000000000005</v>
          </cell>
          <cell r="BW191">
            <v>454.82000000000005</v>
          </cell>
          <cell r="BX191">
            <v>459.82000000000005</v>
          </cell>
          <cell r="BY191">
            <v>594.76</v>
          </cell>
        </row>
        <row r="192">
          <cell r="B192" t="str">
            <v>0 Fortbildungskosten</v>
          </cell>
          <cell r="BN192">
            <v>3093.26</v>
          </cell>
          <cell r="BO192">
            <v>4444.37</v>
          </cell>
          <cell r="BP192">
            <v>6265.28</v>
          </cell>
          <cell r="BQ192">
            <v>6646.92</v>
          </cell>
          <cell r="BR192">
            <v>15268.62</v>
          </cell>
          <cell r="BS192">
            <v>18122.060000000001</v>
          </cell>
          <cell r="BT192">
            <v>18383.760000000002</v>
          </cell>
          <cell r="BU192">
            <v>18383.760000000002</v>
          </cell>
          <cell r="BV192">
            <v>18971.150000000001</v>
          </cell>
          <cell r="BW192">
            <v>18971.150000000001</v>
          </cell>
          <cell r="BX192">
            <v>18971.150000000001</v>
          </cell>
          <cell r="BY192">
            <v>17678.580000000002</v>
          </cell>
        </row>
        <row r="193">
          <cell r="B193" t="str">
            <v>0 Rechts- und Beratungskosten</v>
          </cell>
          <cell r="BN193">
            <v>6113.23</v>
          </cell>
          <cell r="BO193">
            <v>4683.1299999999992</v>
          </cell>
          <cell r="BP193">
            <v>5494.8099999999995</v>
          </cell>
          <cell r="BQ193">
            <v>8874.16</v>
          </cell>
          <cell r="BR193">
            <v>10819.56</v>
          </cell>
          <cell r="BS193">
            <v>12343.13</v>
          </cell>
          <cell r="BT193">
            <v>17333.03</v>
          </cell>
          <cell r="BU193">
            <v>19899.489999999998</v>
          </cell>
          <cell r="BV193">
            <v>21629.439999999999</v>
          </cell>
          <cell r="BW193">
            <v>21639.34</v>
          </cell>
          <cell r="BX193">
            <v>21649.24</v>
          </cell>
          <cell r="BY193">
            <v>44959.65</v>
          </cell>
        </row>
        <row r="194">
          <cell r="B194" t="str">
            <v>0 Buchführungskosten</v>
          </cell>
          <cell r="BN194">
            <v>9910.75</v>
          </cell>
          <cell r="BO194">
            <v>14910.75</v>
          </cell>
          <cell r="BP194">
            <v>21370.03</v>
          </cell>
          <cell r="BQ194">
            <v>29205.03</v>
          </cell>
          <cell r="BR194">
            <v>36924.089999999997</v>
          </cell>
          <cell r="BS194">
            <v>37142.449999999997</v>
          </cell>
          <cell r="BT194">
            <v>49758.720000000001</v>
          </cell>
          <cell r="BU194">
            <v>53223.72</v>
          </cell>
          <cell r="BV194">
            <v>53223.72</v>
          </cell>
          <cell r="BW194">
            <v>53331.42</v>
          </cell>
          <cell r="BX194">
            <v>53440.42</v>
          </cell>
          <cell r="BY194">
            <v>62715.61</v>
          </cell>
        </row>
        <row r="195">
          <cell r="B195" t="str">
            <v>0 Lohnführungskosten</v>
          </cell>
          <cell r="BN195">
            <v>1276.49</v>
          </cell>
          <cell r="BO195">
            <v>3159.29</v>
          </cell>
          <cell r="BP195">
            <v>4284.29</v>
          </cell>
          <cell r="BQ195">
            <v>6128.49</v>
          </cell>
          <cell r="BR195">
            <v>7365.29</v>
          </cell>
          <cell r="BS195">
            <v>8618.09</v>
          </cell>
          <cell r="BT195">
            <v>10214.84</v>
          </cell>
          <cell r="BU195">
            <v>10214.84</v>
          </cell>
          <cell r="BV195">
            <v>10214.84</v>
          </cell>
          <cell r="BW195">
            <v>10214.84</v>
          </cell>
          <cell r="BX195">
            <v>10709.14</v>
          </cell>
          <cell r="BY195">
            <v>15446.59</v>
          </cell>
        </row>
        <row r="196">
          <cell r="B196" t="str">
            <v>0 Abschluss- und Prüfungskosten</v>
          </cell>
          <cell r="BN196">
            <v>3333.33</v>
          </cell>
          <cell r="BO196">
            <v>6666.66</v>
          </cell>
          <cell r="BP196">
            <v>9999.99</v>
          </cell>
          <cell r="BQ196">
            <v>13333.32</v>
          </cell>
          <cell r="BR196">
            <v>16666.650000000001</v>
          </cell>
          <cell r="BS196">
            <v>20356.560000000001</v>
          </cell>
          <cell r="BT196">
            <v>20356.560000000001</v>
          </cell>
          <cell r="BU196">
            <v>27023.22</v>
          </cell>
          <cell r="BV196">
            <v>30356.550000000003</v>
          </cell>
          <cell r="BW196">
            <v>33689.880000000005</v>
          </cell>
          <cell r="BX196">
            <v>37023.210000000006</v>
          </cell>
          <cell r="BY196">
            <v>26669.620000000006</v>
          </cell>
        </row>
        <row r="197">
          <cell r="B197" t="str">
            <v>0 Mieten für Einrichtungen bewegliche WG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7792.12</v>
          </cell>
        </row>
        <row r="198">
          <cell r="B198" t="str">
            <v>0 Aufwand Abraum-/Abfallbeseitigung</v>
          </cell>
          <cell r="BN198">
            <v>0</v>
          </cell>
          <cell r="BO198">
            <v>315.18</v>
          </cell>
          <cell r="BP198">
            <v>838.56</v>
          </cell>
          <cell r="BQ198">
            <v>1122.8399999999999</v>
          </cell>
          <cell r="BR198">
            <v>1382.84</v>
          </cell>
          <cell r="BS198">
            <v>1743.54</v>
          </cell>
          <cell r="BT198">
            <v>2006.92</v>
          </cell>
          <cell r="BU198">
            <v>2006.92</v>
          </cell>
          <cell r="BV198">
            <v>2006.92</v>
          </cell>
          <cell r="BW198">
            <v>2006.92</v>
          </cell>
          <cell r="BX198">
            <v>2249.4</v>
          </cell>
          <cell r="BY198">
            <v>3218.52</v>
          </cell>
        </row>
        <row r="199">
          <cell r="B199" t="str">
            <v>0 Nebenkosten des Geldverkehrs</v>
          </cell>
          <cell r="BN199">
            <v>176.22</v>
          </cell>
          <cell r="BO199">
            <v>475.23</v>
          </cell>
          <cell r="BP199">
            <v>477.04</v>
          </cell>
          <cell r="BQ199">
            <v>477.04</v>
          </cell>
          <cell r="BR199">
            <v>767.04</v>
          </cell>
          <cell r="BS199">
            <v>796.64</v>
          </cell>
          <cell r="BT199">
            <v>816.64</v>
          </cell>
          <cell r="BU199">
            <v>836.64</v>
          </cell>
          <cell r="BV199">
            <v>856.64</v>
          </cell>
          <cell r="BW199">
            <v>876.64</v>
          </cell>
          <cell r="BX199">
            <v>925.64</v>
          </cell>
          <cell r="BY199">
            <v>2583.77</v>
          </cell>
        </row>
        <row r="200">
          <cell r="B200" t="str">
            <v>1 Gebühren PayPal</v>
          </cell>
          <cell r="BN200">
            <v>28.22</v>
          </cell>
          <cell r="BO200">
            <v>63.67</v>
          </cell>
          <cell r="BP200">
            <v>85.81</v>
          </cell>
          <cell r="BQ200">
            <v>99.67</v>
          </cell>
          <cell r="BR200">
            <v>135.44</v>
          </cell>
          <cell r="BS200">
            <v>150.85999999999999</v>
          </cell>
          <cell r="BT200">
            <v>157.89999999999998</v>
          </cell>
          <cell r="BU200">
            <v>176.21999999999997</v>
          </cell>
          <cell r="BV200">
            <v>184.49999999999997</v>
          </cell>
          <cell r="BW200">
            <v>195.26999999999998</v>
          </cell>
          <cell r="BX200">
            <v>216.92999999999998</v>
          </cell>
          <cell r="BY200">
            <v>235.42999999999998</v>
          </cell>
        </row>
        <row r="201">
          <cell r="B201" t="str">
            <v>6 Gebühren Shopify</v>
          </cell>
          <cell r="BN201">
            <v>0</v>
          </cell>
          <cell r="BO201">
            <v>16.920000000000002</v>
          </cell>
          <cell r="BP201">
            <v>26.28</v>
          </cell>
          <cell r="BQ201">
            <v>32.840000000000003</v>
          </cell>
          <cell r="BR201">
            <v>32.840000000000003</v>
          </cell>
          <cell r="BS201">
            <v>34.950000000000003</v>
          </cell>
          <cell r="BT201">
            <v>38.900000000000006</v>
          </cell>
          <cell r="BU201">
            <v>41.250000000000007</v>
          </cell>
          <cell r="BV201">
            <v>41.820000000000007</v>
          </cell>
          <cell r="BW201">
            <v>44.400000000000006</v>
          </cell>
          <cell r="BX201">
            <v>62.610000000000007</v>
          </cell>
          <cell r="BY201">
            <v>68.710000000000008</v>
          </cell>
        </row>
        <row r="202">
          <cell r="B202" t="str">
            <v>0 EDV Hardware</v>
          </cell>
          <cell r="BN202">
            <v>0</v>
          </cell>
          <cell r="BO202">
            <v>16.79</v>
          </cell>
          <cell r="BP202">
            <v>1601.1599999999999</v>
          </cell>
          <cell r="BQ202">
            <v>3336.8199999999997</v>
          </cell>
          <cell r="BR202">
            <v>3911.6899999999996</v>
          </cell>
          <cell r="BS202">
            <v>1649.6899999999996</v>
          </cell>
          <cell r="BT202">
            <v>1649.6899999999996</v>
          </cell>
          <cell r="BU202">
            <v>1649.6899999999996</v>
          </cell>
          <cell r="BV202">
            <v>1649.6899999999996</v>
          </cell>
          <cell r="BW202">
            <v>1780.9299999999996</v>
          </cell>
          <cell r="BX202">
            <v>1852.3499999999997</v>
          </cell>
          <cell r="BY202">
            <v>11546.95</v>
          </cell>
        </row>
        <row r="203">
          <cell r="B203" t="str">
            <v>0 sonst. Betriebsbedarf - Kleinmöbel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</row>
        <row r="204">
          <cell r="B204" t="str">
            <v>0 Unfertige Leistungen</v>
          </cell>
          <cell r="BN204">
            <v>29681</v>
          </cell>
          <cell r="BO204">
            <v>4223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B205" t="str">
            <v>1 Unfertige Leistungen - Foodfittery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B206" t="str">
            <v>1 Bestand Sets Online-Shop</v>
          </cell>
          <cell r="BN206">
            <v>11889.630000000001</v>
          </cell>
          <cell r="BO206">
            <v>14601.420000000002</v>
          </cell>
          <cell r="BP206">
            <v>14476.120000000003</v>
          </cell>
          <cell r="BQ206">
            <v>14370.320000000003</v>
          </cell>
          <cell r="BR206">
            <v>14112.390000000003</v>
          </cell>
          <cell r="BS206">
            <v>14112.390000000003</v>
          </cell>
          <cell r="BT206">
            <v>14112.390000000003</v>
          </cell>
          <cell r="BU206">
            <v>14112.390000000003</v>
          </cell>
          <cell r="BV206">
            <v>14112.390000000003</v>
          </cell>
          <cell r="BW206">
            <v>14112.390000000003</v>
          </cell>
          <cell r="BX206">
            <v>14112.390000000003</v>
          </cell>
          <cell r="BY206">
            <v>14112.390000000003</v>
          </cell>
        </row>
        <row r="207">
          <cell r="B207" t="str">
            <v>1 Bestand Gewürzmischungen Online-Shop</v>
          </cell>
          <cell r="BN207">
            <v>30789.1</v>
          </cell>
          <cell r="BO207">
            <v>31093.059999999998</v>
          </cell>
          <cell r="BP207">
            <v>30731.409999999996</v>
          </cell>
          <cell r="BQ207">
            <v>30503.659999999996</v>
          </cell>
          <cell r="BR207">
            <v>30197.309999999998</v>
          </cell>
          <cell r="BS207">
            <v>30197.309999999998</v>
          </cell>
          <cell r="BT207">
            <v>30197.309999999998</v>
          </cell>
          <cell r="BU207">
            <v>30197.309999999998</v>
          </cell>
          <cell r="BV207">
            <v>30197.309999999998</v>
          </cell>
          <cell r="BW207">
            <v>30197.309999999998</v>
          </cell>
          <cell r="BX207">
            <v>30197.309999999998</v>
          </cell>
          <cell r="BY207">
            <v>30197.309999999998</v>
          </cell>
        </row>
        <row r="208">
          <cell r="B208" t="str">
            <v>1 Bestand Kochbücher Online-Shop</v>
          </cell>
          <cell r="BN208">
            <v>-501.27</v>
          </cell>
          <cell r="BO208">
            <v>436.59000000000003</v>
          </cell>
          <cell r="BP208">
            <v>420.42</v>
          </cell>
          <cell r="BQ208">
            <v>420.42</v>
          </cell>
          <cell r="BR208">
            <v>420.42</v>
          </cell>
          <cell r="BS208">
            <v>420.42</v>
          </cell>
          <cell r="BT208">
            <v>420.42</v>
          </cell>
          <cell r="BU208">
            <v>420.42</v>
          </cell>
          <cell r="BV208">
            <v>420.42</v>
          </cell>
          <cell r="BW208">
            <v>420.42</v>
          </cell>
          <cell r="BX208">
            <v>420.42</v>
          </cell>
          <cell r="BY208">
            <v>420.42</v>
          </cell>
        </row>
        <row r="209">
          <cell r="B209" t="str">
            <v>0 Other Operative Revenues 7%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-2772</v>
          </cell>
        </row>
        <row r="210">
          <cell r="B210" t="str">
            <v>0 Erlöse Online-Shop 7%</v>
          </cell>
          <cell r="BN210">
            <v>-1309.03</v>
          </cell>
          <cell r="BO210">
            <v>-2081.75</v>
          </cell>
          <cell r="BP210">
            <v>-2709.44</v>
          </cell>
          <cell r="BQ210">
            <v>-3229.54</v>
          </cell>
          <cell r="BR210">
            <v>-4087.0699999999997</v>
          </cell>
          <cell r="BS210">
            <v>-4588</v>
          </cell>
          <cell r="BT210">
            <v>-4734.79</v>
          </cell>
          <cell r="BU210">
            <v>-5422.53</v>
          </cell>
          <cell r="BV210">
            <v>-5601.17</v>
          </cell>
          <cell r="BW210">
            <v>-5958.4</v>
          </cell>
          <cell r="BX210">
            <v>-6976.8899999999994</v>
          </cell>
          <cell r="BY210">
            <v>-7555.23</v>
          </cell>
        </row>
        <row r="211">
          <cell r="B211" t="str">
            <v>0 Other B2B Revenues 7%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B212" t="str">
            <v>0 Other operative revenues EU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B213" t="str">
            <v>1 Native Advertising EU</v>
          </cell>
          <cell r="BN213">
            <v>-56500</v>
          </cell>
          <cell r="BO213">
            <v>-56500</v>
          </cell>
          <cell r="BP213">
            <v>-56500</v>
          </cell>
          <cell r="BQ213">
            <v>-56500</v>
          </cell>
          <cell r="BR213">
            <v>-56500</v>
          </cell>
          <cell r="BS213">
            <v>-56500</v>
          </cell>
          <cell r="BT213">
            <v>-56500</v>
          </cell>
          <cell r="BU213">
            <v>-56500</v>
          </cell>
          <cell r="BV213">
            <v>-56500</v>
          </cell>
          <cell r="BW213">
            <v>-56500</v>
          </cell>
          <cell r="BX213">
            <v>-56500</v>
          </cell>
          <cell r="BY213">
            <v>-46500</v>
          </cell>
        </row>
        <row r="214">
          <cell r="B214" t="str">
            <v>7 Display Adverstising EU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-100.62</v>
          </cell>
          <cell r="BS214">
            <v>-399.4</v>
          </cell>
          <cell r="BT214">
            <v>-399.4</v>
          </cell>
          <cell r="BU214">
            <v>-399.4</v>
          </cell>
          <cell r="BV214">
            <v>-399.4</v>
          </cell>
          <cell r="BW214">
            <v>-399.4</v>
          </cell>
          <cell r="BX214">
            <v>-399.4</v>
          </cell>
          <cell r="BY214">
            <v>-399.4</v>
          </cell>
        </row>
        <row r="215">
          <cell r="B215" t="str">
            <v>9 Native Production EU</v>
          </cell>
          <cell r="BN215">
            <v>-56500</v>
          </cell>
          <cell r="BO215">
            <v>-56500</v>
          </cell>
          <cell r="BP215">
            <v>-56500</v>
          </cell>
          <cell r="BQ215">
            <v>-56500</v>
          </cell>
          <cell r="BR215">
            <v>-56500</v>
          </cell>
          <cell r="BS215">
            <v>-56500</v>
          </cell>
          <cell r="BT215">
            <v>-56500</v>
          </cell>
          <cell r="BU215">
            <v>-56500</v>
          </cell>
          <cell r="BV215">
            <v>-56500</v>
          </cell>
          <cell r="BW215">
            <v>-56500</v>
          </cell>
          <cell r="BX215">
            <v>-56500</v>
          </cell>
          <cell r="BY215">
            <v>-41500</v>
          </cell>
        </row>
        <row r="216">
          <cell r="B216" t="str">
            <v>1 B2C Revenues §13b UStG</v>
          </cell>
          <cell r="BN216">
            <v>-2674.25</v>
          </cell>
          <cell r="BO216">
            <v>-10096.779999999999</v>
          </cell>
          <cell r="BP216">
            <v>-12322.589999999998</v>
          </cell>
          <cell r="BQ216">
            <v>-14539.509999999998</v>
          </cell>
          <cell r="BR216">
            <v>-24637.279999999999</v>
          </cell>
          <cell r="BS216">
            <v>-25389.57</v>
          </cell>
          <cell r="BT216">
            <v>-28505.13</v>
          </cell>
          <cell r="BU216">
            <v>-32595.16</v>
          </cell>
          <cell r="BV216">
            <v>-35733.29</v>
          </cell>
          <cell r="BW216">
            <v>-36097.74</v>
          </cell>
          <cell r="BX216">
            <v>-39462.979999999996</v>
          </cell>
          <cell r="BY216">
            <v>-42685.929999999993</v>
          </cell>
        </row>
        <row r="217">
          <cell r="B217" t="str">
            <v>3 B2C Revenues App Stores §13b UStG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</row>
        <row r="218">
          <cell r="B218" t="str">
            <v xml:space="preserve">0 Other Revenue Drittland 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-3162.54</v>
          </cell>
        </row>
        <row r="219">
          <cell r="B219" t="str">
            <v>1 Erlöse Online-Shop Drittland</v>
          </cell>
          <cell r="BN219">
            <v>0</v>
          </cell>
          <cell r="BO219">
            <v>-277.82</v>
          </cell>
          <cell r="BP219">
            <v>-394.61</v>
          </cell>
          <cell r="BQ219">
            <v>-461.12</v>
          </cell>
          <cell r="BR219">
            <v>-527.83000000000004</v>
          </cell>
          <cell r="BS219">
            <v>-527.83000000000004</v>
          </cell>
          <cell r="BT219">
            <v>-572.30000000000007</v>
          </cell>
          <cell r="BU219">
            <v>-572.30000000000007</v>
          </cell>
          <cell r="BV219">
            <v>-572.30000000000007</v>
          </cell>
          <cell r="BW219">
            <v>-610.6</v>
          </cell>
          <cell r="BX219">
            <v>-577.82000000000005</v>
          </cell>
          <cell r="BY219">
            <v>-724.74</v>
          </cell>
        </row>
        <row r="220">
          <cell r="B220" t="str">
            <v>5 Other B2B  Revenue Drittland</v>
          </cell>
          <cell r="BN220">
            <v>0</v>
          </cell>
          <cell r="BO220">
            <v>0</v>
          </cell>
          <cell r="BP220">
            <v>0</v>
          </cell>
          <cell r="BQ220">
            <v>-15166.37</v>
          </cell>
          <cell r="BR220">
            <v>-13217.080000000002</v>
          </cell>
          <cell r="BS220">
            <v>-6567.0600000000013</v>
          </cell>
          <cell r="BT220">
            <v>-6567.0600000000013</v>
          </cell>
          <cell r="BU220">
            <v>-8783.7200000000012</v>
          </cell>
          <cell r="BV220">
            <v>-9892.0500000000011</v>
          </cell>
          <cell r="BW220">
            <v>-40500.380000000005</v>
          </cell>
          <cell r="BX220">
            <v>-41608.710000000006</v>
          </cell>
          <cell r="BY220">
            <v>-42717.080000000009</v>
          </cell>
        </row>
        <row r="221">
          <cell r="B221" t="str">
            <v>7 Display Advertising Drittland</v>
          </cell>
          <cell r="BN221">
            <v>0</v>
          </cell>
          <cell r="BO221">
            <v>0</v>
          </cell>
          <cell r="BP221">
            <v>-70.36</v>
          </cell>
          <cell r="BQ221">
            <v>-14630.19</v>
          </cell>
          <cell r="BR221">
            <v>-14559.83</v>
          </cell>
          <cell r="BS221">
            <v>-14559.83</v>
          </cell>
          <cell r="BT221">
            <v>-14559.83</v>
          </cell>
          <cell r="BU221">
            <v>-14559.83</v>
          </cell>
          <cell r="BV221">
            <v>-14559.83</v>
          </cell>
          <cell r="BW221">
            <v>-14559.83</v>
          </cell>
          <cell r="BX221">
            <v>-14559.83</v>
          </cell>
          <cell r="BY221">
            <v>-14559.83</v>
          </cell>
        </row>
        <row r="222">
          <cell r="B222" t="str">
            <v>9 Native Production Drittland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-4182.96</v>
          </cell>
          <cell r="BT222">
            <v>-4182.96</v>
          </cell>
          <cell r="BU222">
            <v>-4182.96</v>
          </cell>
          <cell r="BV222">
            <v>-4182.96</v>
          </cell>
          <cell r="BW222">
            <v>-4182.96</v>
          </cell>
          <cell r="BX222">
            <v>-4182.96</v>
          </cell>
          <cell r="BY222">
            <v>-9533.68</v>
          </cell>
        </row>
        <row r="223">
          <cell r="B223" t="str">
            <v>0 Other Operative Revenues 19% USt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-622.75</v>
          </cell>
          <cell r="BT223">
            <v>-622.75</v>
          </cell>
          <cell r="BU223">
            <v>-24729.75</v>
          </cell>
          <cell r="BV223">
            <v>-24729.75</v>
          </cell>
          <cell r="BW223">
            <v>-24729.75</v>
          </cell>
          <cell r="BX223">
            <v>-24729.75</v>
          </cell>
          <cell r="BY223">
            <v>-25456.74</v>
          </cell>
        </row>
        <row r="224">
          <cell r="B224" t="str">
            <v>1 Other Operative Revenues 19% -Affiliates</v>
          </cell>
          <cell r="BN224">
            <v>-167475.1</v>
          </cell>
          <cell r="BO224">
            <v>-188227.16</v>
          </cell>
          <cell r="BP224">
            <v>-287143.31</v>
          </cell>
          <cell r="BQ224">
            <v>-343047.29</v>
          </cell>
          <cell r="BR224">
            <v>-409581.17</v>
          </cell>
          <cell r="BS224">
            <v>-410463.61</v>
          </cell>
          <cell r="BT224">
            <v>-410463.61</v>
          </cell>
          <cell r="BU224">
            <v>-411838.36</v>
          </cell>
          <cell r="BV224">
            <v>-411838.36</v>
          </cell>
          <cell r="BW224">
            <v>-411838.36</v>
          </cell>
          <cell r="BX224">
            <v>-411838.36</v>
          </cell>
          <cell r="BY224">
            <v>-411838.36</v>
          </cell>
        </row>
        <row r="225">
          <cell r="B225" t="str">
            <v>2 Erlöse Online-Shop 19%</v>
          </cell>
          <cell r="BN225">
            <v>0</v>
          </cell>
          <cell r="BO225">
            <v>0</v>
          </cell>
          <cell r="BP225">
            <v>42.02</v>
          </cell>
          <cell r="BQ225">
            <v>42.02</v>
          </cell>
          <cell r="BR225">
            <v>42.02</v>
          </cell>
          <cell r="BS225">
            <v>42.02</v>
          </cell>
          <cell r="BT225">
            <v>42.02</v>
          </cell>
          <cell r="BU225">
            <v>42.02</v>
          </cell>
          <cell r="BV225">
            <v>42.02</v>
          </cell>
          <cell r="BW225">
            <v>42.02</v>
          </cell>
          <cell r="BX225">
            <v>42.02</v>
          </cell>
          <cell r="BY225">
            <v>42.02</v>
          </cell>
        </row>
        <row r="226">
          <cell r="B226" t="str">
            <v>0 Native Adverstising19% USt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-24350</v>
          </cell>
        </row>
        <row r="227">
          <cell r="B227" t="str">
            <v xml:space="preserve">1 Native Adverstising 19% USt </v>
          </cell>
          <cell r="BN227">
            <v>-18750</v>
          </cell>
          <cell r="BO227">
            <v>-68711.55</v>
          </cell>
          <cell r="BP227">
            <v>-103355.98000000001</v>
          </cell>
          <cell r="BQ227">
            <v>-124971.04000000001</v>
          </cell>
          <cell r="BR227">
            <v>-140943.53</v>
          </cell>
          <cell r="BS227">
            <v>-130123.16</v>
          </cell>
          <cell r="BT227">
            <v>-130817.33</v>
          </cell>
          <cell r="BU227">
            <v>-184033.95</v>
          </cell>
          <cell r="BV227">
            <v>-191801.17</v>
          </cell>
          <cell r="BW227">
            <v>-206919.56</v>
          </cell>
          <cell r="BX227">
            <v>-214686.78</v>
          </cell>
          <cell r="BY227">
            <v>-206360.44</v>
          </cell>
        </row>
        <row r="228">
          <cell r="B228" t="str">
            <v>0 Market research 19% USt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0 Other B2B Revenues19% USt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-45929.98</v>
          </cell>
        </row>
        <row r="230">
          <cell r="B230" t="str">
            <v>0 Service Production19% USt</v>
          </cell>
          <cell r="BN230">
            <v>-13000</v>
          </cell>
          <cell r="BO230">
            <v>-13000</v>
          </cell>
          <cell r="BP230">
            <v>-13000</v>
          </cell>
          <cell r="BQ230">
            <v>-13000</v>
          </cell>
          <cell r="BR230">
            <v>-13000</v>
          </cell>
          <cell r="BS230">
            <v>-13000</v>
          </cell>
          <cell r="BT230">
            <v>-13000</v>
          </cell>
          <cell r="BU230">
            <v>-13000</v>
          </cell>
          <cell r="BV230">
            <v>-25258</v>
          </cell>
          <cell r="BW230">
            <v>-37258</v>
          </cell>
          <cell r="BX230">
            <v>-37258</v>
          </cell>
          <cell r="BY230">
            <v>-43806</v>
          </cell>
        </row>
        <row r="231">
          <cell r="B231" t="str">
            <v>1 Service Production19% USt - Affiliates</v>
          </cell>
          <cell r="BN231">
            <v>-32741</v>
          </cell>
          <cell r="BO231">
            <v>-65480</v>
          </cell>
          <cell r="BP231">
            <v>-75063.33</v>
          </cell>
          <cell r="BQ231">
            <v>-107803.33</v>
          </cell>
          <cell r="BR231">
            <v>-140543.33000000002</v>
          </cell>
          <cell r="BS231">
            <v>-173283.33000000002</v>
          </cell>
          <cell r="BT231">
            <v>-196440</v>
          </cell>
          <cell r="BU231">
            <v>-186856.67</v>
          </cell>
          <cell r="BV231">
            <v>-210013.34000000003</v>
          </cell>
          <cell r="BW231">
            <v>-210013.34000000003</v>
          </cell>
          <cell r="BX231">
            <v>-210013.34000000003</v>
          </cell>
          <cell r="BY231">
            <v>-210013.34000000003</v>
          </cell>
        </row>
        <row r="232">
          <cell r="B232" t="str">
            <v>2 Native Advertising 19% USt - Affiliates</v>
          </cell>
          <cell r="BN232">
            <v>-5833.34</v>
          </cell>
          <cell r="BO232">
            <v>-11666.68</v>
          </cell>
          <cell r="BP232">
            <v>-17500.02</v>
          </cell>
          <cell r="BQ232">
            <v>-23333.360000000001</v>
          </cell>
          <cell r="BR232">
            <v>-29166.7</v>
          </cell>
          <cell r="BS232">
            <v>-35000.04</v>
          </cell>
          <cell r="BT232">
            <v>-35000.04</v>
          </cell>
          <cell r="BU232">
            <v>-29166.7</v>
          </cell>
          <cell r="BV232">
            <v>-29166.7</v>
          </cell>
          <cell r="BW232">
            <v>-29166.7</v>
          </cell>
          <cell r="BX232">
            <v>-29166.7</v>
          </cell>
          <cell r="BY232">
            <v>-29166.7</v>
          </cell>
        </row>
        <row r="233">
          <cell r="B233" t="str">
            <v>0 Display Adverstising19% USt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B234" t="str">
            <v>0 Native Production 19% USt</v>
          </cell>
          <cell r="BN234">
            <v>-5929.58</v>
          </cell>
          <cell r="BO234">
            <v>-26109.160000000003</v>
          </cell>
          <cell r="BP234">
            <v>-40353.64</v>
          </cell>
          <cell r="BQ234">
            <v>-49065.89</v>
          </cell>
          <cell r="BR234">
            <v>-53420.71</v>
          </cell>
          <cell r="BS234">
            <v>-79890.03</v>
          </cell>
          <cell r="BT234">
            <v>-79890.03</v>
          </cell>
          <cell r="BU234">
            <v>-96397.75</v>
          </cell>
          <cell r="BV234">
            <v>-103409.15</v>
          </cell>
          <cell r="BW234">
            <v>-110420.54999999999</v>
          </cell>
          <cell r="BX234">
            <v>-123361.52999999998</v>
          </cell>
          <cell r="BY234">
            <v>-136302.49</v>
          </cell>
        </row>
        <row r="235">
          <cell r="B235" t="str">
            <v>1 Native Production 19% USt - Affiliates</v>
          </cell>
          <cell r="BN235">
            <v>-74134.820000000007</v>
          </cell>
          <cell r="BO235">
            <v>-148269.64000000001</v>
          </cell>
          <cell r="BP235">
            <v>-246598.03000000003</v>
          </cell>
          <cell r="BQ235">
            <v>-321251.30000000005</v>
          </cell>
          <cell r="BR235">
            <v>-395904.57000000007</v>
          </cell>
          <cell r="BS235">
            <v>-470557.84000000008</v>
          </cell>
          <cell r="BT235">
            <v>-470557.84000000008</v>
          </cell>
          <cell r="BU235">
            <v>-529753.56000000006</v>
          </cell>
          <cell r="BV235">
            <v>-598990.18000000005</v>
          </cell>
          <cell r="BW235">
            <v>-736944.97000000009</v>
          </cell>
          <cell r="BX235">
            <v>-816700.91000000015</v>
          </cell>
          <cell r="BY235">
            <v>-885938.58000000019</v>
          </cell>
        </row>
        <row r="236">
          <cell r="B236" t="str">
            <v>0 Sonstige betriebliche Erträge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B237" t="str">
            <v>0 Verrechnete sonstige Sachbezüge</v>
          </cell>
          <cell r="BN237">
            <v>0</v>
          </cell>
          <cell r="BO237">
            <v>0</v>
          </cell>
          <cell r="BP237">
            <v>0</v>
          </cell>
          <cell r="BQ237">
            <v>-179.8</v>
          </cell>
          <cell r="BR237">
            <v>-179.8</v>
          </cell>
          <cell r="BS237">
            <v>-275.60000000000002</v>
          </cell>
          <cell r="BT237">
            <v>-381.40000000000003</v>
          </cell>
          <cell r="BU237">
            <v>-381.40000000000003</v>
          </cell>
          <cell r="BV237">
            <v>-381.40000000000003</v>
          </cell>
          <cell r="BW237">
            <v>-381.40000000000003</v>
          </cell>
          <cell r="BX237">
            <v>-381.40000000000003</v>
          </cell>
          <cell r="BY237">
            <v>-381.40000000000003</v>
          </cell>
        </row>
        <row r="238">
          <cell r="B238" t="str">
            <v>0 Verrech. sonstige Sachbezüge Fzg 19% USt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-3288.99</v>
          </cell>
          <cell r="BU238">
            <v>-3288.99</v>
          </cell>
          <cell r="BV238">
            <v>-3288.99</v>
          </cell>
          <cell r="BW238">
            <v>-3288.99</v>
          </cell>
          <cell r="BX238">
            <v>-3288.99</v>
          </cell>
          <cell r="BY238">
            <v>-3288.99</v>
          </cell>
        </row>
        <row r="239">
          <cell r="B239" t="str">
            <v>0 Verrechn. sonstige Sachbezüge 19% USt</v>
          </cell>
          <cell r="BN239">
            <v>-554.62</v>
          </cell>
          <cell r="BO239">
            <v>-1235.29</v>
          </cell>
          <cell r="BP239">
            <v>-1966.38</v>
          </cell>
          <cell r="BQ239">
            <v>-2747.81</v>
          </cell>
          <cell r="BR239">
            <v>-3428.48</v>
          </cell>
          <cell r="BS239">
            <v>-4125.29</v>
          </cell>
          <cell r="BT239">
            <v>-4755.54</v>
          </cell>
          <cell r="BU239">
            <v>-5083.2700000000004</v>
          </cell>
          <cell r="BV239">
            <v>-5397.55</v>
          </cell>
          <cell r="BW239">
            <v>-5599.2300000000005</v>
          </cell>
          <cell r="BX239">
            <v>-5800.9100000000008</v>
          </cell>
          <cell r="BY239">
            <v>-6002.5900000000011</v>
          </cell>
        </row>
        <row r="240">
          <cell r="B240" t="str">
            <v>0 Gewährte Skonti 19 % USt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B241" t="str">
            <v>0 Gewährte Rabatte 19 % USt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-5000</v>
          </cell>
        </row>
        <row r="242">
          <cell r="B242" t="str">
            <v>0 Erlöse Sachanlageverkäufe 19% USt, BG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-4251.33</v>
          </cell>
          <cell r="BT242">
            <v>-5115.33</v>
          </cell>
          <cell r="BU242">
            <v>-5977.02</v>
          </cell>
          <cell r="BV242">
            <v>-5977.02</v>
          </cell>
          <cell r="BW242">
            <v>-5977.02</v>
          </cell>
          <cell r="BX242">
            <v>-7177.02</v>
          </cell>
          <cell r="BY242">
            <v>-7177.02</v>
          </cell>
        </row>
        <row r="243">
          <cell r="B243" t="str">
            <v>0 BV UFL - Other Operative Revenues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B244" t="str">
            <v>2 BV UFL - Native Advertising</v>
          </cell>
          <cell r="BN244">
            <v>41794</v>
          </cell>
          <cell r="BO244">
            <v>61652</v>
          </cell>
          <cell r="BP244">
            <v>61954</v>
          </cell>
          <cell r="BQ244">
            <v>61954</v>
          </cell>
          <cell r="BR244">
            <v>61954</v>
          </cell>
          <cell r="BS244">
            <v>61954</v>
          </cell>
          <cell r="BT244">
            <v>61954</v>
          </cell>
          <cell r="BU244">
            <v>61954</v>
          </cell>
          <cell r="BV244">
            <v>61954</v>
          </cell>
          <cell r="BW244">
            <v>61954</v>
          </cell>
          <cell r="BX244">
            <v>61954</v>
          </cell>
          <cell r="BY244">
            <v>61954</v>
          </cell>
        </row>
        <row r="245">
          <cell r="B245" t="str">
            <v>5 BV UFL - Other B2B Revenues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B246" t="str">
            <v>6 BV UFL - Service Production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B247" t="str">
            <v>7 BV UFL - Display Advertising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B248" t="str">
            <v>9 BV UFL - Native Production</v>
          </cell>
          <cell r="BN248">
            <v>50103</v>
          </cell>
          <cell r="BO248">
            <v>55703</v>
          </cell>
          <cell r="BP248">
            <v>59624</v>
          </cell>
          <cell r="BQ248">
            <v>59624</v>
          </cell>
          <cell r="BR248">
            <v>59624</v>
          </cell>
          <cell r="BS248">
            <v>59624</v>
          </cell>
          <cell r="BT248">
            <v>59624</v>
          </cell>
          <cell r="BU248">
            <v>59624</v>
          </cell>
          <cell r="BV248">
            <v>59624</v>
          </cell>
          <cell r="BW248">
            <v>59624</v>
          </cell>
          <cell r="BX248">
            <v>59624</v>
          </cell>
          <cell r="BY248">
            <v>59624</v>
          </cell>
        </row>
        <row r="249">
          <cell r="B249" t="str">
            <v>0 BV UFL - Foodfittery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B250" t="str">
            <v>1 BV Gewürzmischungen Online-Shop</v>
          </cell>
          <cell r="BN250">
            <v>-5354.41</v>
          </cell>
          <cell r="BO250">
            <v>-5658.37</v>
          </cell>
          <cell r="BP250">
            <v>-5296.72</v>
          </cell>
          <cell r="BQ250">
            <v>-5068.97</v>
          </cell>
          <cell r="BR250">
            <v>-4762.62</v>
          </cell>
          <cell r="BS250">
            <v>-4762.62</v>
          </cell>
          <cell r="BT250">
            <v>-4762.62</v>
          </cell>
          <cell r="BU250">
            <v>-4762.62</v>
          </cell>
          <cell r="BV250">
            <v>-4762.62</v>
          </cell>
          <cell r="BW250">
            <v>-4762.62</v>
          </cell>
          <cell r="BX250">
            <v>-4762.62</v>
          </cell>
          <cell r="BY250">
            <v>-4762.62</v>
          </cell>
        </row>
        <row r="251">
          <cell r="B251" t="str">
            <v>2 BV Sets Online-Shop</v>
          </cell>
          <cell r="BN251">
            <v>-3458.46</v>
          </cell>
          <cell r="BO251">
            <v>-6170.25</v>
          </cell>
          <cell r="BP251">
            <v>-6044.95</v>
          </cell>
          <cell r="BQ251">
            <v>-5939.15</v>
          </cell>
          <cell r="BR251">
            <v>-5681.2199999999993</v>
          </cell>
          <cell r="BS251">
            <v>-5681.2199999999993</v>
          </cell>
          <cell r="BT251">
            <v>-5681.2199999999993</v>
          </cell>
          <cell r="BU251">
            <v>-5681.2199999999993</v>
          </cell>
          <cell r="BV251">
            <v>-5681.2199999999993</v>
          </cell>
          <cell r="BW251">
            <v>-5681.2199999999993</v>
          </cell>
          <cell r="BX251">
            <v>-5681.2199999999993</v>
          </cell>
          <cell r="BY251">
            <v>-5681.2199999999993</v>
          </cell>
        </row>
        <row r="252">
          <cell r="B252" t="str">
            <v>0 Saldenvorträge Sachkonten</v>
          </cell>
        </row>
        <row r="253">
          <cell r="B253" t="str">
            <v>0 Saldenvorträge Debitoren</v>
          </cell>
        </row>
        <row r="254">
          <cell r="B254" t="str">
            <v>0 Saldenvorträge Kreditoren</v>
          </cell>
        </row>
        <row r="255">
          <cell r="B255" t="str">
            <v>0 Auftragsbestand</v>
          </cell>
        </row>
        <row r="256">
          <cell r="B256" t="str">
            <v>0 Gegenkonto zu Konten 9120, 9135-9140</v>
          </cell>
        </row>
        <row r="257">
          <cell r="B257" t="str">
            <v>0 Bewertungskorrektur zu Forderungen L+L</v>
          </cell>
        </row>
        <row r="258">
          <cell r="BN258">
            <v>7.084963726811111E-10</v>
          </cell>
          <cell r="BO258">
            <v>-2.0854713511653244E-9</v>
          </cell>
          <cell r="BP258">
            <v>1.9044819055125117E-9</v>
          </cell>
          <cell r="BQ258">
            <v>-8.922143024392426E-10</v>
          </cell>
          <cell r="BR258">
            <v>-1.3415046851150692E-9</v>
          </cell>
          <cell r="BS258">
            <v>-1.457920006942004E-9</v>
          </cell>
          <cell r="BT258">
            <v>-2.3455868358723819E-9</v>
          </cell>
          <cell r="BU258">
            <v>-2.2000676835887134E-9</v>
          </cell>
          <cell r="BV258">
            <v>-3.4515323932282627E-9</v>
          </cell>
          <cell r="BW258">
            <v>-1.065018295776099E-9</v>
          </cell>
          <cell r="BX258">
            <v>-4.0481609175913036E-9</v>
          </cell>
          <cell r="BY258">
            <v>4.3382897274568677E-10</v>
          </cell>
        </row>
      </sheetData>
      <sheetData sheetId="70">
        <row r="2">
          <cell r="B2" t="str">
            <v>Beschriftung</v>
          </cell>
          <cell r="AR2" t="str">
            <v>Jan/2025</v>
          </cell>
          <cell r="AS2" t="str">
            <v>Feb/2025</v>
          </cell>
          <cell r="AT2" t="str">
            <v>Mrz/2025</v>
          </cell>
          <cell r="AU2" t="str">
            <v>Apr/2025</v>
          </cell>
          <cell r="AV2" t="str">
            <v>Mai/2025</v>
          </cell>
          <cell r="AW2" t="str">
            <v>Jun/2025</v>
          </cell>
          <cell r="AX2" t="str">
            <v>Jul/2025</v>
          </cell>
        </row>
        <row r="3">
          <cell r="B3" t="str">
            <v>0 Ähnl. Rechte, Werte, entgeltl. erworben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</row>
        <row r="4">
          <cell r="B4" t="str">
            <v>0 Selbst geschaffene immaterielle VermG.</v>
          </cell>
          <cell r="AR4">
            <v>8</v>
          </cell>
          <cell r="AS4">
            <v>8</v>
          </cell>
          <cell r="AT4">
            <v>8</v>
          </cell>
          <cell r="AU4">
            <v>8</v>
          </cell>
          <cell r="AV4">
            <v>8</v>
          </cell>
          <cell r="AW4">
            <v>8</v>
          </cell>
          <cell r="AX4">
            <v>8</v>
          </cell>
        </row>
        <row r="5">
          <cell r="B5" t="str">
            <v>9 Unnamed Account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</row>
        <row r="6">
          <cell r="B6" t="str">
            <v>0 Betriebs- und Geschäftsausstattung</v>
          </cell>
          <cell r="AR6">
            <v>3580.02</v>
          </cell>
          <cell r="AS6">
            <v>3502.02</v>
          </cell>
          <cell r="AT6">
            <v>3424.04</v>
          </cell>
          <cell r="AU6">
            <v>3424.04</v>
          </cell>
          <cell r="AV6">
            <v>3424.04</v>
          </cell>
          <cell r="AW6">
            <v>3190.04</v>
          </cell>
          <cell r="AX6">
            <v>3112.02</v>
          </cell>
        </row>
        <row r="7">
          <cell r="B7" t="str">
            <v>0 Betriebsausstattung</v>
          </cell>
          <cell r="AR7">
            <v>42687.19</v>
          </cell>
          <cell r="AS7">
            <v>41694.36</v>
          </cell>
          <cell r="AT7">
            <v>40701.550000000003</v>
          </cell>
          <cell r="AU7">
            <v>40701.550000000003</v>
          </cell>
          <cell r="AV7">
            <v>40701.550000000003</v>
          </cell>
          <cell r="AW7">
            <v>37723.050000000003</v>
          </cell>
          <cell r="AX7">
            <v>36730.19</v>
          </cell>
        </row>
        <row r="8">
          <cell r="B8" t="str">
            <v>0 Geschäftsausstattung (Technik)</v>
          </cell>
          <cell r="AR8">
            <v>24442.74</v>
          </cell>
          <cell r="AS8">
            <v>22816.32</v>
          </cell>
          <cell r="AT8">
            <v>21256.05</v>
          </cell>
          <cell r="AU8">
            <v>21256.05</v>
          </cell>
          <cell r="AV8">
            <v>21256.05</v>
          </cell>
          <cell r="AW8">
            <v>17326.509999999998</v>
          </cell>
          <cell r="AX8">
            <v>16112.419999999998</v>
          </cell>
        </row>
        <row r="9">
          <cell r="B9" t="str">
            <v>0 Büroeinrichtung</v>
          </cell>
          <cell r="AR9">
            <v>108412.3</v>
          </cell>
          <cell r="AS9">
            <v>106459.55</v>
          </cell>
          <cell r="AT9">
            <v>104506.85</v>
          </cell>
          <cell r="AU9">
            <v>108713.57</v>
          </cell>
          <cell r="AV9">
            <v>109895.91</v>
          </cell>
          <cell r="AW9">
            <v>103620.27</v>
          </cell>
          <cell r="AX9">
            <v>101517.35</v>
          </cell>
        </row>
        <row r="10">
          <cell r="B10" t="str">
            <v>0 Einbauten in fremde Grundstücke</v>
          </cell>
          <cell r="AR10">
            <v>17983.84</v>
          </cell>
          <cell r="AS10">
            <v>17613.68</v>
          </cell>
          <cell r="AT10">
            <v>17243.52</v>
          </cell>
          <cell r="AU10">
            <v>17243.52</v>
          </cell>
          <cell r="AV10">
            <v>17243.52</v>
          </cell>
          <cell r="AW10">
            <v>16133.02</v>
          </cell>
          <cell r="AX10">
            <v>15762.84</v>
          </cell>
        </row>
        <row r="11">
          <cell r="B11" t="str">
            <v>0 Geringwertige Wirtschaftsgüter</v>
          </cell>
          <cell r="AR11">
            <v>2942.75</v>
          </cell>
          <cell r="AS11">
            <v>2850.83</v>
          </cell>
          <cell r="AT11">
            <v>1890.28</v>
          </cell>
          <cell r="AU11">
            <v>1890.28</v>
          </cell>
          <cell r="AV11">
            <v>1890.28</v>
          </cell>
          <cell r="AW11">
            <v>2115.98</v>
          </cell>
          <cell r="AX11">
            <v>1738.6</v>
          </cell>
        </row>
        <row r="12">
          <cell r="B12" t="str">
            <v>1 GWG - Technik</v>
          </cell>
          <cell r="AR12">
            <v>212.09</v>
          </cell>
          <cell r="AS12">
            <v>196.18</v>
          </cell>
          <cell r="AT12">
            <v>180.27</v>
          </cell>
          <cell r="AU12">
            <v>180.27</v>
          </cell>
          <cell r="AV12">
            <v>180.27</v>
          </cell>
          <cell r="AW12">
            <v>132.52000000000001</v>
          </cell>
          <cell r="AX12">
            <v>116.59</v>
          </cell>
        </row>
        <row r="13">
          <cell r="B13" t="str">
            <v>0 Sonstige Betriebs-u.Gesch.ausstattung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1528.56</v>
          </cell>
          <cell r="AX13">
            <v>1273.55</v>
          </cell>
        </row>
        <row r="14">
          <cell r="B14" t="str">
            <v>0 Übrige sonstige Ausleihungen</v>
          </cell>
          <cell r="AR14">
            <v>48138.76</v>
          </cell>
          <cell r="AS14">
            <v>48138.76</v>
          </cell>
          <cell r="AT14">
            <v>48138.76</v>
          </cell>
          <cell r="AU14">
            <v>48138.76</v>
          </cell>
          <cell r="AV14">
            <v>48138.76</v>
          </cell>
          <cell r="AW14">
            <v>48138.76</v>
          </cell>
          <cell r="AX14">
            <v>48138.76</v>
          </cell>
        </row>
        <row r="15">
          <cell r="B15" t="str">
            <v>0 Cash-Pool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</row>
        <row r="16">
          <cell r="B16" t="str">
            <v>0 Gezeichnetes Kapital</v>
          </cell>
          <cell r="AR16">
            <v>-90355</v>
          </cell>
          <cell r="AS16">
            <v>-90355</v>
          </cell>
          <cell r="AT16">
            <v>-90355</v>
          </cell>
          <cell r="AU16">
            <v>-90355</v>
          </cell>
          <cell r="AV16">
            <v>-90355</v>
          </cell>
          <cell r="AW16">
            <v>-90355</v>
          </cell>
          <cell r="AX16">
            <v>-90355</v>
          </cell>
        </row>
        <row r="17">
          <cell r="B17" t="str">
            <v>0 Kapitalrücklage</v>
          </cell>
          <cell r="AR17">
            <v>-24184071.600000001</v>
          </cell>
          <cell r="AS17">
            <v>-24184071.600000001</v>
          </cell>
          <cell r="AT17">
            <v>-24184071.600000001</v>
          </cell>
          <cell r="AU17">
            <v>-24184071.600000001</v>
          </cell>
          <cell r="AV17">
            <v>-24184071.600000001</v>
          </cell>
          <cell r="AW17">
            <v>-24184071.600000001</v>
          </cell>
          <cell r="AX17">
            <v>-24184071.600000001</v>
          </cell>
        </row>
        <row r="18">
          <cell r="B18" t="str">
            <v xml:space="preserve">0 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</row>
        <row r="19">
          <cell r="B19" t="str">
            <v>0 Verlustvortrag vor Verwendung</v>
          </cell>
          <cell r="AR19">
            <v>20956901.109999999</v>
          </cell>
          <cell r="AS19">
            <v>20956901.109999999</v>
          </cell>
          <cell r="AT19">
            <v>20956901.109999999</v>
          </cell>
          <cell r="AU19">
            <v>20956901.109999999</v>
          </cell>
          <cell r="AV19">
            <v>20956901.109999999</v>
          </cell>
          <cell r="AW19">
            <v>20956901.109999999</v>
          </cell>
          <cell r="AX19">
            <v>20956901.109999999</v>
          </cell>
        </row>
        <row r="20">
          <cell r="B20" t="str">
            <v>0 Rückstellungen für Personalkosten</v>
          </cell>
          <cell r="AR20">
            <v>-48704</v>
          </cell>
          <cell r="AS20">
            <v>-52412</v>
          </cell>
          <cell r="AT20">
            <v>-56120</v>
          </cell>
          <cell r="AU20">
            <v>-59828</v>
          </cell>
          <cell r="AV20">
            <v>-63536</v>
          </cell>
          <cell r="AW20">
            <v>-67244</v>
          </cell>
          <cell r="AX20">
            <v>-73452</v>
          </cell>
        </row>
        <row r="21">
          <cell r="B21" t="str">
            <v>0 Rückstellungen für Aufbewahrungspflicht</v>
          </cell>
          <cell r="AR21">
            <v>-1033.81</v>
          </cell>
          <cell r="AS21">
            <v>-1033.81</v>
          </cell>
          <cell r="AT21">
            <v>-1033.81</v>
          </cell>
          <cell r="AU21">
            <v>-1033.81</v>
          </cell>
          <cell r="AV21">
            <v>-1033.81</v>
          </cell>
          <cell r="AW21">
            <v>-1033.81</v>
          </cell>
          <cell r="AX21">
            <v>-1033.81</v>
          </cell>
        </row>
        <row r="22">
          <cell r="B22" t="str">
            <v>0 Sonstige Rückstellungen</v>
          </cell>
          <cell r="AR22">
            <v>-14350</v>
          </cell>
          <cell r="AS22">
            <v>-14350</v>
          </cell>
          <cell r="AT22">
            <v>-14850</v>
          </cell>
          <cell r="AU22">
            <v>-15350</v>
          </cell>
          <cell r="AV22">
            <v>-15350</v>
          </cell>
          <cell r="AW22">
            <v>-15350</v>
          </cell>
          <cell r="AX22">
            <v>-15350</v>
          </cell>
        </row>
        <row r="23">
          <cell r="B23" t="str">
            <v>0 Rückstellungen für Abschluss u. Prüfung</v>
          </cell>
          <cell r="AR23">
            <v>-11633.33</v>
          </cell>
          <cell r="AS23">
            <v>-8633.33</v>
          </cell>
          <cell r="AT23">
            <v>-12299.99</v>
          </cell>
          <cell r="AU23">
            <v>-12633.32</v>
          </cell>
          <cell r="AV23">
            <v>-12966.65</v>
          </cell>
          <cell r="AW23">
            <v>-13016.3</v>
          </cell>
          <cell r="AX23">
            <v>-13349.63</v>
          </cell>
        </row>
        <row r="24">
          <cell r="B24" t="str">
            <v>0 Aktive Rechnungsabgrenzung</v>
          </cell>
          <cell r="AR24">
            <v>11246.61</v>
          </cell>
          <cell r="AS24">
            <v>6277.5300000000007</v>
          </cell>
          <cell r="AT24">
            <v>15010.74</v>
          </cell>
          <cell r="AU24">
            <v>13425.539999999999</v>
          </cell>
          <cell r="AV24">
            <v>9911.3799999999992</v>
          </cell>
          <cell r="AW24">
            <v>6774.1799999999994</v>
          </cell>
          <cell r="AX24">
            <v>3962.2299999999996</v>
          </cell>
        </row>
        <row r="25">
          <cell r="B25" t="str">
            <v>0 Passive Rechnungsabgrenzung</v>
          </cell>
          <cell r="AR25">
            <v>-114355.91</v>
          </cell>
          <cell r="AS25">
            <v>-44552.69</v>
          </cell>
          <cell r="AT25">
            <v>-23702.63</v>
          </cell>
          <cell r="AU25">
            <v>-48412.33</v>
          </cell>
          <cell r="AV25">
            <v>-76168.36</v>
          </cell>
          <cell r="AW25">
            <v>-31015.39</v>
          </cell>
          <cell r="AX25">
            <v>-41038.9</v>
          </cell>
        </row>
        <row r="26">
          <cell r="B26" t="str">
            <v>0 Kasse</v>
          </cell>
          <cell r="AR26">
            <v>1762.87</v>
          </cell>
          <cell r="AS26">
            <v>1762.87</v>
          </cell>
          <cell r="AT26">
            <v>1762.87</v>
          </cell>
          <cell r="AU26">
            <v>1762.87</v>
          </cell>
          <cell r="AV26">
            <v>1762.87</v>
          </cell>
          <cell r="AW26">
            <v>1762.87</v>
          </cell>
          <cell r="AX26">
            <v>1762.87</v>
          </cell>
        </row>
        <row r="27">
          <cell r="B27" t="str">
            <v xml:space="preserve">0 Deutsche Bank #DE88 6007 0070 0160 6508 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</row>
        <row r="28">
          <cell r="B28" t="str">
            <v>0 Olinda, Berlin #4618298725</v>
          </cell>
          <cell r="AR28">
            <v>151846.53</v>
          </cell>
          <cell r="AS28">
            <v>157370.96</v>
          </cell>
          <cell r="AT28">
            <v>42758.389999999985</v>
          </cell>
          <cell r="AU28">
            <v>10366.989999999983</v>
          </cell>
          <cell r="AV28">
            <v>66787.879999999976</v>
          </cell>
          <cell r="AW28">
            <v>9909.4899999999761</v>
          </cell>
          <cell r="AX28">
            <v>97799.77999999997</v>
          </cell>
        </row>
        <row r="29">
          <cell r="B29" t="str">
            <v>0 Paypal</v>
          </cell>
          <cell r="AR29">
            <v>596.92999999999995</v>
          </cell>
          <cell r="AS29">
            <v>596.92999999999995</v>
          </cell>
          <cell r="AT29">
            <v>596.92999999999995</v>
          </cell>
          <cell r="AU29">
            <v>596.92999999999995</v>
          </cell>
          <cell r="AV29">
            <v>596.92999999999995</v>
          </cell>
          <cell r="AW29">
            <v>596.92999999999995</v>
          </cell>
          <cell r="AX29">
            <v>596.92999999999995</v>
          </cell>
        </row>
        <row r="30">
          <cell r="B30" t="str">
            <v>1 Paypal CHF</v>
          </cell>
          <cell r="AR30">
            <v>953.86</v>
          </cell>
          <cell r="AS30">
            <v>953.86</v>
          </cell>
          <cell r="AT30">
            <v>953.86</v>
          </cell>
          <cell r="AU30">
            <v>953.86</v>
          </cell>
          <cell r="AV30">
            <v>953.86</v>
          </cell>
          <cell r="AW30">
            <v>953.86</v>
          </cell>
          <cell r="AX30">
            <v>953.86</v>
          </cell>
        </row>
        <row r="31">
          <cell r="B31" t="str">
            <v>0 Geldtransit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</row>
        <row r="32">
          <cell r="B32" t="str">
            <v>1 Transit Zahlungsverkehr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</row>
        <row r="33">
          <cell r="B33" t="str">
            <v>6 Transit Shopify</v>
          </cell>
          <cell r="AR33">
            <v>32.569999999999993</v>
          </cell>
          <cell r="AS33">
            <v>32.569999999999993</v>
          </cell>
          <cell r="AT33">
            <v>32.569999999999993</v>
          </cell>
          <cell r="AU33">
            <v>32.569999999999993</v>
          </cell>
          <cell r="AV33">
            <v>32.569999999999993</v>
          </cell>
          <cell r="AW33">
            <v>32.569999999999993</v>
          </cell>
          <cell r="AX33">
            <v>32.569999999999993</v>
          </cell>
        </row>
        <row r="34">
          <cell r="B34" t="str">
            <v>0 Transit PayPal</v>
          </cell>
          <cell r="AR34">
            <v>-5.5399999999999991</v>
          </cell>
          <cell r="AS34">
            <v>-5.5399999999999991</v>
          </cell>
          <cell r="AT34">
            <v>-5.5399999999999991</v>
          </cell>
          <cell r="AU34">
            <v>-5.5399999999999991</v>
          </cell>
          <cell r="AV34">
            <v>-5.5399999999999991</v>
          </cell>
          <cell r="AW34">
            <v>-5.5399999999999991</v>
          </cell>
          <cell r="AX34">
            <v>-5.5399999999999991</v>
          </cell>
        </row>
        <row r="35">
          <cell r="B35" t="str">
            <v>0 Forderungen aus L+L</v>
          </cell>
          <cell r="AR35">
            <v>257415.76</v>
          </cell>
          <cell r="AS35">
            <v>140186</v>
          </cell>
          <cell r="AT35">
            <v>161294.01</v>
          </cell>
          <cell r="AU35">
            <v>187850.67</v>
          </cell>
          <cell r="AV35">
            <v>202474.85</v>
          </cell>
          <cell r="AW35">
            <v>318019.96000000002</v>
          </cell>
          <cell r="AX35">
            <v>233080.31000000003</v>
          </cell>
        </row>
        <row r="36">
          <cell r="B36" t="str">
            <v>0 Sonstige Vermögensgegenstände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B37" t="str">
            <v>0 Forderungen ggb. Krankenkasse aus AAG</v>
          </cell>
          <cell r="AR37">
            <v>-4354.24</v>
          </cell>
          <cell r="AS37">
            <v>-6039.26</v>
          </cell>
          <cell r="AT37">
            <v>-5459.37</v>
          </cell>
          <cell r="AU37">
            <v>-7683.88</v>
          </cell>
          <cell r="AV37">
            <v>-14298.49</v>
          </cell>
          <cell r="AW37">
            <v>-12409.529999999999</v>
          </cell>
          <cell r="AX37">
            <v>0</v>
          </cell>
        </row>
        <row r="38">
          <cell r="B38" t="str">
            <v>0 Kautionen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4880</v>
          </cell>
          <cell r="AX38">
            <v>3380</v>
          </cell>
        </row>
        <row r="39">
          <cell r="B39" t="str">
            <v>0 Kautionen (größer 1 J)</v>
          </cell>
          <cell r="AR39">
            <v>127.86</v>
          </cell>
          <cell r="AS39">
            <v>127.86</v>
          </cell>
          <cell r="AT39">
            <v>2127.86</v>
          </cell>
          <cell r="AU39">
            <v>2000.0000000000002</v>
          </cell>
          <cell r="AV39">
            <v>2000.0000000000002</v>
          </cell>
          <cell r="AW39">
            <v>2000.0000000000002</v>
          </cell>
          <cell r="AX39">
            <v>2000.0000000000002</v>
          </cell>
        </row>
        <row r="40">
          <cell r="B40" t="str">
            <v>0 Forderg. gg. Personal Lohn- und Gehalt</v>
          </cell>
          <cell r="AR40">
            <v>2168.92</v>
          </cell>
          <cell r="AS40">
            <v>2168.92</v>
          </cell>
          <cell r="AT40">
            <v>756.35000000000014</v>
          </cell>
          <cell r="AU40">
            <v>63.670000000000186</v>
          </cell>
          <cell r="AV40">
            <v>-690.20999999999981</v>
          </cell>
          <cell r="AW40">
            <v>-690.20999999999981</v>
          </cell>
          <cell r="AX40">
            <v>-4740.21</v>
          </cell>
        </row>
        <row r="41">
          <cell r="B41" t="str">
            <v>0 Vorst. in Folgeperiode /-jahr abziehbar</v>
          </cell>
          <cell r="AR41">
            <v>858.57999999999993</v>
          </cell>
          <cell r="AS41">
            <v>2132.29</v>
          </cell>
          <cell r="AT41">
            <v>2622.62</v>
          </cell>
          <cell r="AU41">
            <v>5098.16</v>
          </cell>
          <cell r="AV41">
            <v>0</v>
          </cell>
          <cell r="AW41">
            <v>1213.98</v>
          </cell>
          <cell r="AX41">
            <v>129.20000000000005</v>
          </cell>
        </row>
        <row r="42">
          <cell r="B42" t="str">
            <v>0 Abziehbare Vorsteuer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12.17</v>
          </cell>
          <cell r="AX42">
            <v>12.17</v>
          </cell>
        </row>
        <row r="43">
          <cell r="B43" t="str">
            <v>0 Abziehbare Vorsteuer 7%</v>
          </cell>
          <cell r="AR43">
            <v>114.09</v>
          </cell>
          <cell r="AS43">
            <v>236.76</v>
          </cell>
          <cell r="AT43">
            <v>324.70999999999998</v>
          </cell>
          <cell r="AU43">
            <v>425.16999999999996</v>
          </cell>
          <cell r="AV43">
            <v>700.25</v>
          </cell>
          <cell r="AW43">
            <v>822.21</v>
          </cell>
          <cell r="AX43">
            <v>929.98</v>
          </cell>
        </row>
        <row r="44">
          <cell r="B44" t="str">
            <v>0 Abziehbare Vorsteuer aus EU-Erwerb 19%</v>
          </cell>
          <cell r="AR44">
            <v>0</v>
          </cell>
          <cell r="AS44">
            <v>3.18</v>
          </cell>
          <cell r="AT44">
            <v>10.47</v>
          </cell>
          <cell r="AU44">
            <v>34.39</v>
          </cell>
          <cell r="AV44">
            <v>34.39</v>
          </cell>
          <cell r="AW44">
            <v>324.82</v>
          </cell>
          <cell r="AX44">
            <v>332.12</v>
          </cell>
        </row>
        <row r="45">
          <cell r="B45" t="str">
            <v>0 Abziehbare Vorsteuer 19%</v>
          </cell>
          <cell r="AR45">
            <v>7173.92</v>
          </cell>
          <cell r="AS45">
            <v>11112.84</v>
          </cell>
          <cell r="AT45">
            <v>16194.36</v>
          </cell>
          <cell r="AU45">
            <v>21616.36</v>
          </cell>
          <cell r="AV45">
            <v>32510.1</v>
          </cell>
          <cell r="AW45">
            <v>38056.369999999995</v>
          </cell>
          <cell r="AX45">
            <v>47273.109999999993</v>
          </cell>
        </row>
        <row r="46">
          <cell r="B46" t="str">
            <v>0 Abziehbare Vorsteuer § 13b UStG 19%</v>
          </cell>
          <cell r="AR46">
            <v>398.68</v>
          </cell>
          <cell r="AS46">
            <v>836.40000000000009</v>
          </cell>
          <cell r="AT46">
            <v>5131.9600000000009</v>
          </cell>
          <cell r="AU46">
            <v>6180.4600000000009</v>
          </cell>
          <cell r="AV46">
            <v>6819.8200000000006</v>
          </cell>
          <cell r="AW46">
            <v>8391.58</v>
          </cell>
          <cell r="AX46">
            <v>8952.56</v>
          </cell>
        </row>
        <row r="47">
          <cell r="B47" t="str">
            <v>0 Durchlaufende Posten</v>
          </cell>
          <cell r="AR47">
            <v>-1736.72</v>
          </cell>
          <cell r="AS47">
            <v>-1169.3400000000001</v>
          </cell>
          <cell r="AT47">
            <v>-3932.13</v>
          </cell>
          <cell r="AU47">
            <v>-13662.630000000001</v>
          </cell>
          <cell r="AV47">
            <v>-21436.010000000002</v>
          </cell>
          <cell r="AW47">
            <v>-19611.77</v>
          </cell>
          <cell r="AX47">
            <v>3997.119999999999</v>
          </cell>
        </row>
        <row r="48">
          <cell r="B48" t="str">
            <v>0 Verrechnung erhaltene Anzahlungen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B49" t="str">
            <v>0 Verbindlichkeiten aus Lieferungen+Leist.</v>
          </cell>
          <cell r="AR49">
            <v>-9582.9500000000007</v>
          </cell>
          <cell r="AS49">
            <v>-20169.71</v>
          </cell>
          <cell r="AT49">
            <v>-18547.41</v>
          </cell>
          <cell r="AU49">
            <v>-28062.809999999998</v>
          </cell>
          <cell r="AV49">
            <v>-23527.879999999997</v>
          </cell>
          <cell r="AW49">
            <v>-46932.34</v>
          </cell>
          <cell r="AX49">
            <v>-41351.42</v>
          </cell>
        </row>
        <row r="50">
          <cell r="B50" t="str">
            <v>0 Erhalt. Anzahlungen auf Bestellungen</v>
          </cell>
          <cell r="AR50">
            <v>-46.73</v>
          </cell>
          <cell r="AS50">
            <v>-46.73</v>
          </cell>
          <cell r="AT50">
            <v>-46.73</v>
          </cell>
          <cell r="AU50">
            <v>-46.73</v>
          </cell>
          <cell r="AV50">
            <v>-46.73</v>
          </cell>
          <cell r="AW50">
            <v>-46.73</v>
          </cell>
          <cell r="AX50">
            <v>-46.73</v>
          </cell>
        </row>
        <row r="51">
          <cell r="B51" t="str">
            <v>0 Erhaltene Anzahlungen 19% USt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B52" t="str">
            <v>0 USt fällig Folg.per.§§13(1) u.13b(2)UStG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B53" t="str">
            <v>2 KK Alexander Bauer AMEX XXX41002</v>
          </cell>
          <cell r="AR53">
            <v>15782.82</v>
          </cell>
          <cell r="AS53">
            <v>11175.29</v>
          </cell>
          <cell r="AT53">
            <v>30254.2</v>
          </cell>
          <cell r="AU53">
            <v>41302.080000000002</v>
          </cell>
          <cell r="AV53">
            <v>38329.21</v>
          </cell>
          <cell r="AW53">
            <v>36065.35</v>
          </cell>
          <cell r="AX53">
            <v>29674.579999999998</v>
          </cell>
        </row>
        <row r="54">
          <cell r="B54" t="str">
            <v>6 Shopify Payments</v>
          </cell>
          <cell r="AR54">
            <v>298.98</v>
          </cell>
          <cell r="AS54">
            <v>298.98</v>
          </cell>
          <cell r="AT54">
            <v>298.98</v>
          </cell>
          <cell r="AU54">
            <v>298.98</v>
          </cell>
          <cell r="AV54">
            <v>298.98</v>
          </cell>
          <cell r="AW54">
            <v>298.98</v>
          </cell>
          <cell r="AX54">
            <v>298.98</v>
          </cell>
        </row>
        <row r="55">
          <cell r="B55" t="str">
            <v>7 Finway GmbH</v>
          </cell>
          <cell r="AR55">
            <v>2760.93</v>
          </cell>
          <cell r="AS55">
            <v>2760.93</v>
          </cell>
          <cell r="AT55">
            <v>2667.21</v>
          </cell>
          <cell r="AU55">
            <v>2667.21</v>
          </cell>
          <cell r="AV55">
            <v>2667.21</v>
          </cell>
          <cell r="AW55">
            <v>2667.21</v>
          </cell>
          <cell r="AX55">
            <v>2667.21</v>
          </cell>
        </row>
        <row r="56">
          <cell r="B56" t="str">
            <v>0 Erhaltene Kautionen</v>
          </cell>
          <cell r="AR56">
            <v>-20000</v>
          </cell>
          <cell r="AS56">
            <v>-20000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</row>
        <row r="57">
          <cell r="B57" t="str">
            <v>0 Verbindlichkeiten aus Lohn und Gehalt</v>
          </cell>
          <cell r="AR57">
            <v>8222.59</v>
          </cell>
          <cell r="AS57">
            <v>10367.15</v>
          </cell>
          <cell r="AT57">
            <v>11595.38</v>
          </cell>
          <cell r="AU57">
            <v>12255.679999999998</v>
          </cell>
          <cell r="AV57">
            <v>12255.679999999998</v>
          </cell>
          <cell r="AW57">
            <v>12805.679999999998</v>
          </cell>
          <cell r="AX57">
            <v>16825.559999999998</v>
          </cell>
        </row>
        <row r="58">
          <cell r="B58" t="str">
            <v>0 Verbindlichk. Lohn- und Kirchensteuer</v>
          </cell>
          <cell r="AR58">
            <v>-30707.15</v>
          </cell>
          <cell r="AS58">
            <v>-24533.22</v>
          </cell>
          <cell r="AT58">
            <v>-22527.16</v>
          </cell>
          <cell r="AU58">
            <v>-22319.599999999999</v>
          </cell>
          <cell r="AV58">
            <v>-28857.78</v>
          </cell>
          <cell r="AW58">
            <v>-30120.289999999997</v>
          </cell>
          <cell r="AX58">
            <v>-29474.079999999998</v>
          </cell>
        </row>
        <row r="59">
          <cell r="B59" t="str">
            <v>0 Verbindlichkeiten soziale Sicherheit</v>
          </cell>
          <cell r="AR59">
            <v>-5004.3</v>
          </cell>
          <cell r="AS59">
            <v>567.05999999999949</v>
          </cell>
          <cell r="AT59">
            <v>685.15999999999951</v>
          </cell>
          <cell r="AU59">
            <v>1513.7499999999995</v>
          </cell>
          <cell r="AV59">
            <v>1513.7499999999995</v>
          </cell>
          <cell r="AW59">
            <v>1513.7499999999995</v>
          </cell>
          <cell r="AX59">
            <v>2687.9199999999996</v>
          </cell>
        </row>
        <row r="60">
          <cell r="B60" t="str">
            <v>0 Verbindlichk. a.Einbehaltung (KapESt)</v>
          </cell>
          <cell r="AR60">
            <v>0</v>
          </cell>
          <cell r="AS60">
            <v>0</v>
          </cell>
          <cell r="AT60">
            <v>584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B61" t="str">
            <v>0 Verbindlichk. Einbehaltung Arbeitnehmer</v>
          </cell>
          <cell r="AR61">
            <v>-5282.54</v>
          </cell>
          <cell r="AS61">
            <v>-5542.54</v>
          </cell>
          <cell r="AT61">
            <v>-5759.21</v>
          </cell>
          <cell r="AU61">
            <v>-5099.88</v>
          </cell>
          <cell r="AV61">
            <v>-3984.55</v>
          </cell>
          <cell r="AW61">
            <v>-3649.2200000000003</v>
          </cell>
          <cell r="AX61">
            <v>-3313.8900000000003</v>
          </cell>
        </row>
        <row r="62">
          <cell r="B62" t="str">
            <v>0 Lohn- und Gehaltsverrechnungen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B63" t="str">
            <v>0 Umsatzsteuer 7%</v>
          </cell>
          <cell r="AR63">
            <v>-31.66</v>
          </cell>
          <cell r="AS63">
            <v>-31.66</v>
          </cell>
          <cell r="AT63">
            <v>-31.66</v>
          </cell>
          <cell r="AU63">
            <v>-31.66</v>
          </cell>
          <cell r="AV63">
            <v>-31.66</v>
          </cell>
          <cell r="AW63">
            <v>-31.66</v>
          </cell>
          <cell r="AX63">
            <v>-31.66</v>
          </cell>
        </row>
        <row r="64">
          <cell r="B64" t="str">
            <v>0 Umsatzsteuer aus EU-Erwerb 19%</v>
          </cell>
          <cell r="AR64">
            <v>0</v>
          </cell>
          <cell r="AS64">
            <v>-3.18</v>
          </cell>
          <cell r="AT64">
            <v>-10.47</v>
          </cell>
          <cell r="AU64">
            <v>-34.39</v>
          </cell>
          <cell r="AV64">
            <v>-34.39</v>
          </cell>
          <cell r="AW64">
            <v>-324.82</v>
          </cell>
          <cell r="AX64">
            <v>-332.12</v>
          </cell>
        </row>
        <row r="65">
          <cell r="B65" t="str">
            <v>0 Umsatzsteuer 19%</v>
          </cell>
          <cell r="AR65">
            <v>-37100.660000000003</v>
          </cell>
          <cell r="AS65">
            <v>-47780.480000000003</v>
          </cell>
          <cell r="AT65">
            <v>-68159.02</v>
          </cell>
          <cell r="AU65">
            <v>-100822.61</v>
          </cell>
          <cell r="AV65">
            <v>-130187.07</v>
          </cell>
          <cell r="AW65">
            <v>-173412.11000000002</v>
          </cell>
          <cell r="AX65">
            <v>-212303.66000000003</v>
          </cell>
        </row>
        <row r="66">
          <cell r="B66" t="str">
            <v>0 Umsatzsteuer-Vorauszahlungen</v>
          </cell>
          <cell r="AR66">
            <v>0</v>
          </cell>
          <cell r="AS66">
            <v>0</v>
          </cell>
          <cell r="AT66">
            <v>0</v>
          </cell>
          <cell r="AU66">
            <v>4655.53</v>
          </cell>
          <cell r="AV66">
            <v>18222.12</v>
          </cell>
          <cell r="AW66">
            <v>44410.45</v>
          </cell>
          <cell r="AX66">
            <v>44410.45</v>
          </cell>
        </row>
        <row r="67">
          <cell r="B67" t="str">
            <v>0 Umsatzsteuer-Vorauszahlungen 1/11</v>
          </cell>
          <cell r="AR67">
            <v>0</v>
          </cell>
          <cell r="AS67">
            <v>0</v>
          </cell>
          <cell r="AT67">
            <v>0</v>
          </cell>
          <cell r="AU67">
            <v>23844</v>
          </cell>
          <cell r="AV67">
            <v>24044</v>
          </cell>
          <cell r="AW67">
            <v>24044</v>
          </cell>
          <cell r="AX67">
            <v>24044</v>
          </cell>
        </row>
        <row r="68">
          <cell r="B68" t="str">
            <v>0 Umsatzsteuer nach § 13b UStG 19%</v>
          </cell>
          <cell r="AR68">
            <v>-398.68</v>
          </cell>
          <cell r="AS68">
            <v>-836.40000000000009</v>
          </cell>
          <cell r="AT68">
            <v>-5131.9600000000009</v>
          </cell>
          <cell r="AU68">
            <v>-6180.4600000000009</v>
          </cell>
          <cell r="AV68">
            <v>-6819.8200000000006</v>
          </cell>
          <cell r="AW68">
            <v>-8391.58</v>
          </cell>
          <cell r="AX68">
            <v>-8952.56</v>
          </cell>
        </row>
        <row r="69">
          <cell r="B69" t="str">
            <v>0 Umsatzsteuer laufendes Jahr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</row>
        <row r="70">
          <cell r="B70" t="str">
            <v>0 Umsatzsteuerverbindlichkeiten Vorjahr</v>
          </cell>
          <cell r="AR70">
            <v>37134.839999999997</v>
          </cell>
          <cell r="AS70">
            <v>37134.839999999997</v>
          </cell>
          <cell r="AT70">
            <v>37134.839999999997</v>
          </cell>
          <cell r="AU70">
            <v>39894.67</v>
          </cell>
          <cell r="AV70">
            <v>12969.039999999997</v>
          </cell>
          <cell r="AW70">
            <v>12969.039999999997</v>
          </cell>
          <cell r="AX70">
            <v>12969.039999999997</v>
          </cell>
        </row>
        <row r="71">
          <cell r="B71" t="str">
            <v>0 Umsatzsteuerverbindlichk. frühere Jahre</v>
          </cell>
          <cell r="AR71">
            <v>21268.1</v>
          </cell>
          <cell r="AS71">
            <v>21268.1</v>
          </cell>
          <cell r="AT71">
            <v>21268.1</v>
          </cell>
          <cell r="AU71">
            <v>21268.1</v>
          </cell>
          <cell r="AV71">
            <v>21268.1</v>
          </cell>
          <cell r="AW71">
            <v>21268.1</v>
          </cell>
          <cell r="AX71">
            <v>21268.1</v>
          </cell>
        </row>
        <row r="72">
          <cell r="B72" t="str">
            <v>0 Periodenfremde Aufwendungen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</row>
        <row r="73">
          <cell r="B73" t="str">
            <v>0 Zinsaufwendungen an verbund. Unternehmen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B74" t="str">
            <v>0 Zinsaufwendungen f.kfr.Verbindlichkeit.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</row>
        <row r="75">
          <cell r="B75" t="str">
            <v>0 Zinsähnliche Aufwendungen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</row>
        <row r="76">
          <cell r="B76" t="str">
            <v>0 Aufwendungen aus Währungsumrechnungen</v>
          </cell>
          <cell r="AR76">
            <v>9.93</v>
          </cell>
          <cell r="AS76">
            <v>11.64</v>
          </cell>
          <cell r="AT76">
            <v>14.350000000000001</v>
          </cell>
          <cell r="AU76">
            <v>16.41</v>
          </cell>
          <cell r="AV76">
            <v>18.34</v>
          </cell>
          <cell r="AW76">
            <v>59.069999999999993</v>
          </cell>
          <cell r="AX76">
            <v>121.22</v>
          </cell>
        </row>
        <row r="77">
          <cell r="B77" t="str">
            <v>0 Solidaritätszuschlag für Vorjahre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</row>
        <row r="78">
          <cell r="B78" t="str">
            <v>0 Abgänge Sachanlagen Restbuchwert bei BV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</row>
        <row r="79">
          <cell r="B79" t="str">
            <v>0 Abgänge Sachanlagen Restbuchwert bei BG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</row>
        <row r="80">
          <cell r="B80" t="str">
            <v>0 Periodenfremde Erträge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</row>
        <row r="81">
          <cell r="B81" t="str">
            <v>0 Sonst. Zinsen u.ä. Erträge aus verb.UN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</row>
        <row r="82">
          <cell r="B82" t="str">
            <v>0 Erträge aus der Währungsumrechnung</v>
          </cell>
          <cell r="AR82">
            <v>0</v>
          </cell>
          <cell r="AS82">
            <v>-1.3</v>
          </cell>
          <cell r="AT82">
            <v>-1012.66</v>
          </cell>
          <cell r="AU82">
            <v>-1013.3199999999999</v>
          </cell>
          <cell r="AV82">
            <v>-1014.14</v>
          </cell>
          <cell r="AW82">
            <v>-1032.58</v>
          </cell>
          <cell r="AX82">
            <v>-1449.9499999999998</v>
          </cell>
        </row>
        <row r="83">
          <cell r="B83" t="str">
            <v>0 Other non-operative revenues</v>
          </cell>
          <cell r="AR83">
            <v>-500</v>
          </cell>
          <cell r="AS83">
            <v>-500</v>
          </cell>
          <cell r="AT83">
            <v>-500</v>
          </cell>
          <cell r="AU83">
            <v>-500</v>
          </cell>
          <cell r="AV83">
            <v>-11077.35</v>
          </cell>
          <cell r="AW83">
            <v>-11077.35</v>
          </cell>
          <cell r="AX83">
            <v>-15027.91</v>
          </cell>
        </row>
        <row r="84">
          <cell r="B84" t="str">
            <v>1 Other non-operative revenues- affiliates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B85" t="str">
            <v>0 Erträge Auflösung von Rückstellungen</v>
          </cell>
          <cell r="AR85">
            <v>-581</v>
          </cell>
          <cell r="AS85">
            <v>-581</v>
          </cell>
          <cell r="AT85">
            <v>-581</v>
          </cell>
          <cell r="AU85">
            <v>-581</v>
          </cell>
          <cell r="AV85">
            <v>-581</v>
          </cell>
          <cell r="AW85">
            <v>-581</v>
          </cell>
          <cell r="AX85">
            <v>-581</v>
          </cell>
        </row>
        <row r="86">
          <cell r="B86" t="str">
            <v>0 Erstattungen AufwendungsausgleichsG</v>
          </cell>
          <cell r="AR86">
            <v>0</v>
          </cell>
          <cell r="AS86">
            <v>-203.87</v>
          </cell>
          <cell r="AT86">
            <v>-2209.2600000000002</v>
          </cell>
          <cell r="AU86">
            <v>-12542.41</v>
          </cell>
          <cell r="AV86">
            <v>-12542.41</v>
          </cell>
          <cell r="AW86">
            <v>-19157.02</v>
          </cell>
          <cell r="AX86">
            <v>-33079.599999999999</v>
          </cell>
        </row>
        <row r="87">
          <cell r="B87" t="str">
            <v>0 Erlöse Vermietung u.Verpachtung 19% USt</v>
          </cell>
          <cell r="AR87">
            <v>-7282.05</v>
          </cell>
          <cell r="AS87">
            <v>-21846.15</v>
          </cell>
          <cell r="AT87">
            <v>-36410.25</v>
          </cell>
          <cell r="AU87">
            <v>-50974.35</v>
          </cell>
          <cell r="AV87">
            <v>-65538.45</v>
          </cell>
          <cell r="AW87">
            <v>-80102.55</v>
          </cell>
          <cell r="AX87">
            <v>-94666.650000000009</v>
          </cell>
        </row>
        <row r="88">
          <cell r="B88" t="str">
            <v>0 Produktionskosten Lebensmittel</v>
          </cell>
          <cell r="AR88">
            <v>1716.54</v>
          </cell>
          <cell r="AS88">
            <v>3763.39</v>
          </cell>
          <cell r="AT88">
            <v>5518.96</v>
          </cell>
          <cell r="AU88">
            <v>7679.3099999999995</v>
          </cell>
          <cell r="AV88">
            <v>9548.7099999999991</v>
          </cell>
          <cell r="AW88">
            <v>11476.359999999999</v>
          </cell>
          <cell r="AX88">
            <v>13465.289999999999</v>
          </cell>
        </row>
        <row r="89">
          <cell r="B89" t="str">
            <v>1 Aufwendungen RHB Gewürze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</row>
        <row r="90">
          <cell r="B90" t="str">
            <v>0 Produktionskosten Utensilien</v>
          </cell>
          <cell r="AR90">
            <v>0</v>
          </cell>
          <cell r="AS90">
            <v>90.91</v>
          </cell>
          <cell r="AT90">
            <v>405.41999999999996</v>
          </cell>
          <cell r="AU90">
            <v>742.91</v>
          </cell>
          <cell r="AV90">
            <v>961.66</v>
          </cell>
          <cell r="AW90">
            <v>2163.39</v>
          </cell>
          <cell r="AX90">
            <v>2375.73</v>
          </cell>
        </row>
        <row r="91">
          <cell r="B91" t="str">
            <v>0 Produktionskosten (Lizenz,Musik,Schrift)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</row>
        <row r="92">
          <cell r="B92" t="str">
            <v>0 Produktionskosten (Infrastruktur, Tech)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</row>
        <row r="93">
          <cell r="B93" t="str">
            <v>0 Produktionskosten (Mieten Kamera &amp; Co.)</v>
          </cell>
          <cell r="AR93">
            <v>0</v>
          </cell>
          <cell r="AS93">
            <v>0</v>
          </cell>
          <cell r="AT93">
            <v>1750</v>
          </cell>
          <cell r="AU93">
            <v>1750</v>
          </cell>
          <cell r="AV93">
            <v>1812.03</v>
          </cell>
          <cell r="AW93">
            <v>1812.03</v>
          </cell>
          <cell r="AX93">
            <v>1960.93</v>
          </cell>
        </row>
        <row r="94">
          <cell r="B94" t="str">
            <v>0 Production Props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B95" t="str">
            <v>0 Fremdleistungen EDV Service</v>
          </cell>
          <cell r="AR95">
            <v>7994.23</v>
          </cell>
          <cell r="AS95">
            <v>17949.98</v>
          </cell>
          <cell r="AT95">
            <v>28348.18</v>
          </cell>
          <cell r="AU95">
            <v>45174.81</v>
          </cell>
          <cell r="AV95">
            <v>52937.52</v>
          </cell>
          <cell r="AW95">
            <v>62669.85</v>
          </cell>
          <cell r="AX95">
            <v>70061.53</v>
          </cell>
        </row>
        <row r="96">
          <cell r="B96" t="str">
            <v>1 Fremdleistungen Reverse Charge</v>
          </cell>
          <cell r="AR96">
            <v>0</v>
          </cell>
          <cell r="AS96">
            <v>541.64</v>
          </cell>
          <cell r="AT96">
            <v>1619.67</v>
          </cell>
          <cell r="AU96">
            <v>2291.4300000000003</v>
          </cell>
          <cell r="AV96">
            <v>2291.4300000000003</v>
          </cell>
          <cell r="AW96">
            <v>2291.4300000000003</v>
          </cell>
          <cell r="AX96">
            <v>2291.4300000000003</v>
          </cell>
        </row>
        <row r="97">
          <cell r="B97" t="str">
            <v>0 Fremdleistungen 19% Vorsteuer</v>
          </cell>
          <cell r="AR97">
            <v>0</v>
          </cell>
          <cell r="AS97">
            <v>196.47</v>
          </cell>
          <cell r="AT97">
            <v>196.47</v>
          </cell>
          <cell r="AU97">
            <v>196.47</v>
          </cell>
          <cell r="AV97">
            <v>2285.91</v>
          </cell>
          <cell r="AW97">
            <v>5509.73</v>
          </cell>
          <cell r="AX97">
            <v>7597.1299999999992</v>
          </cell>
        </row>
        <row r="98">
          <cell r="B98" t="str">
            <v>0 Fremdleistungen ohne Vorsteuer</v>
          </cell>
          <cell r="AR98">
            <v>0</v>
          </cell>
          <cell r="AS98">
            <v>0</v>
          </cell>
          <cell r="AT98">
            <v>0</v>
          </cell>
          <cell r="AU98">
            <v>2200</v>
          </cell>
          <cell r="AV98">
            <v>2200</v>
          </cell>
          <cell r="AW98">
            <v>2200</v>
          </cell>
          <cell r="AX98">
            <v>6050</v>
          </cell>
        </row>
        <row r="99">
          <cell r="B99" t="str">
            <v>0 Erhalt. Skonti § 13b UStG 19% Vorst./USt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-0.02</v>
          </cell>
          <cell r="AW99">
            <v>-0.02</v>
          </cell>
          <cell r="AX99">
            <v>-0.02</v>
          </cell>
        </row>
        <row r="100">
          <cell r="B100" t="str">
            <v>1 BV Kochbücher Online-Shop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</row>
        <row r="101">
          <cell r="B101" t="str">
            <v>0 Löhne und Gehälter</v>
          </cell>
          <cell r="AR101">
            <v>4148.42</v>
          </cell>
          <cell r="AS101">
            <v>7895.38</v>
          </cell>
          <cell r="AT101">
            <v>21269.29</v>
          </cell>
          <cell r="AU101">
            <v>26892.2</v>
          </cell>
          <cell r="AV101">
            <v>33338.49</v>
          </cell>
          <cell r="AW101">
            <v>40213.49</v>
          </cell>
          <cell r="AX101">
            <v>40213.49</v>
          </cell>
        </row>
        <row r="102">
          <cell r="B102" t="str">
            <v>0 Löhne</v>
          </cell>
          <cell r="AR102">
            <v>5918</v>
          </cell>
          <cell r="AS102">
            <v>12930</v>
          </cell>
          <cell r="AT102">
            <v>25013</v>
          </cell>
          <cell r="AU102">
            <v>33963</v>
          </cell>
          <cell r="AV102">
            <v>45427.47</v>
          </cell>
          <cell r="AW102">
            <v>53807.47</v>
          </cell>
          <cell r="AX102">
            <v>66093.47</v>
          </cell>
        </row>
        <row r="103">
          <cell r="B103" t="str">
            <v>0 Gehälter</v>
          </cell>
          <cell r="AR103">
            <v>100955.42</v>
          </cell>
          <cell r="AS103">
            <v>201308.75</v>
          </cell>
          <cell r="AT103">
            <v>300057.63</v>
          </cell>
          <cell r="AU103">
            <v>401471.12</v>
          </cell>
          <cell r="AV103">
            <v>503979.45</v>
          </cell>
          <cell r="AW103">
            <v>605272.78</v>
          </cell>
          <cell r="AX103">
            <v>724551.11</v>
          </cell>
        </row>
        <row r="104">
          <cell r="B104" t="str">
            <v>0 Geschäftsführergehälter GmbH-Gesells.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</row>
        <row r="105">
          <cell r="B105" t="str">
            <v>0 Geschäftsführergehälter</v>
          </cell>
          <cell r="AR105">
            <v>3500</v>
          </cell>
          <cell r="AS105">
            <v>7000</v>
          </cell>
          <cell r="AT105">
            <v>10500</v>
          </cell>
          <cell r="AU105">
            <v>14000</v>
          </cell>
          <cell r="AV105">
            <v>17500</v>
          </cell>
          <cell r="AW105">
            <v>21000</v>
          </cell>
          <cell r="AX105">
            <v>24500</v>
          </cell>
        </row>
        <row r="106">
          <cell r="B106" t="str">
            <v>0 Gesetzliche Sozialaufwendungen</v>
          </cell>
          <cell r="AR106">
            <v>22382.9</v>
          </cell>
          <cell r="AS106">
            <v>43501.990000000005</v>
          </cell>
          <cell r="AT106">
            <v>66401.56</v>
          </cell>
          <cell r="AU106">
            <v>88971.47</v>
          </cell>
          <cell r="AV106">
            <v>112310.27</v>
          </cell>
          <cell r="AW106">
            <v>134058.16</v>
          </cell>
          <cell r="AX106">
            <v>159138.52000000002</v>
          </cell>
        </row>
        <row r="107">
          <cell r="B107" t="str">
            <v>0 Beiträge zur Berufsgenossenschaft</v>
          </cell>
          <cell r="AR107">
            <v>3042.29</v>
          </cell>
          <cell r="AS107">
            <v>3042.29</v>
          </cell>
          <cell r="AT107">
            <v>3042.29</v>
          </cell>
          <cell r="AU107">
            <v>3042.29</v>
          </cell>
          <cell r="AV107">
            <v>4704.2700000000004</v>
          </cell>
          <cell r="AW107">
            <v>4704.2700000000004</v>
          </cell>
          <cell r="AX107">
            <v>4704.2700000000004</v>
          </cell>
        </row>
        <row r="108">
          <cell r="B108" t="str">
            <v>0 Ausgleichsabgabe n.d.SchwerbehindertenG.</v>
          </cell>
          <cell r="AR108">
            <v>208</v>
          </cell>
          <cell r="AS108">
            <v>416</v>
          </cell>
          <cell r="AT108">
            <v>624</v>
          </cell>
          <cell r="AU108">
            <v>832</v>
          </cell>
          <cell r="AV108">
            <v>1040</v>
          </cell>
          <cell r="AW108">
            <v>1248</v>
          </cell>
          <cell r="AX108">
            <v>1456</v>
          </cell>
        </row>
        <row r="109">
          <cell r="B109" t="str">
            <v>0 Freiwillige soziale Aufwendung. LSt-frei</v>
          </cell>
          <cell r="AR109">
            <v>201.68</v>
          </cell>
          <cell r="AS109">
            <v>378.15</v>
          </cell>
          <cell r="AT109">
            <v>220.70999999999998</v>
          </cell>
          <cell r="AU109">
            <v>775.6099999999999</v>
          </cell>
          <cell r="AV109">
            <v>1027.7099999999998</v>
          </cell>
          <cell r="AW109">
            <v>1330.2299999999998</v>
          </cell>
          <cell r="AX109">
            <v>1657.9599999999998</v>
          </cell>
        </row>
        <row r="110">
          <cell r="B110" t="str">
            <v>0 Betriebsveranstaltungen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</row>
        <row r="111">
          <cell r="B111" t="str">
            <v>0 Soziale Abgaben für Minijobber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</row>
        <row r="112">
          <cell r="B112" t="str">
            <v>0 Freiwillige soziale Aufwendung. LSt-pfl.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</row>
        <row r="113">
          <cell r="B113" t="str">
            <v>0 Freiwillige Zuwendungen an Ges.er-GF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</row>
        <row r="114">
          <cell r="B114" t="str">
            <v>0 Pauschale Steuer auf sonstige Bezüge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</row>
        <row r="115">
          <cell r="B115" t="str">
            <v>1 Zuschuss zum Mutterschaftsgeld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</row>
        <row r="116">
          <cell r="B116" t="str">
            <v>0 Sachzuwendungen und Dienstleistg. an AN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</row>
        <row r="117">
          <cell r="B117" t="str">
            <v>0 Sachzuwend., Dienstleistungen Ges.er-GF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</row>
        <row r="118">
          <cell r="B118" t="str">
            <v>0 Aufwendung Veränderung Urlaubsrückst.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</row>
        <row r="119">
          <cell r="B119" t="str">
            <v>0 Aufwendungen für Altersversorgung</v>
          </cell>
          <cell r="AR119">
            <v>260</v>
          </cell>
          <cell r="AS119">
            <v>520</v>
          </cell>
          <cell r="AT119">
            <v>736.67</v>
          </cell>
          <cell r="AU119">
            <v>953.33999999999992</v>
          </cell>
          <cell r="AV119">
            <v>1170.01</v>
          </cell>
          <cell r="AW119">
            <v>1386.68</v>
          </cell>
          <cell r="AX119">
            <v>1603.3500000000001</v>
          </cell>
        </row>
        <row r="120">
          <cell r="B120" t="str">
            <v>0 Fahrtkostenerstatt. Whg./Arbeitsstätte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</row>
        <row r="121">
          <cell r="B121" t="str">
            <v>0 Aushilfslöhne</v>
          </cell>
          <cell r="AR121">
            <v>538</v>
          </cell>
          <cell r="AS121">
            <v>1076</v>
          </cell>
          <cell r="AT121">
            <v>1037.57</v>
          </cell>
          <cell r="AU121">
            <v>1593.57</v>
          </cell>
          <cell r="AV121">
            <v>2149.5699999999997</v>
          </cell>
          <cell r="AW121">
            <v>2705.5699999999997</v>
          </cell>
          <cell r="AX121">
            <v>3261.5699999999997</v>
          </cell>
        </row>
        <row r="122">
          <cell r="B122" t="str">
            <v>0 Pauschale Steuer für Minijobber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</row>
        <row r="123">
          <cell r="B123" t="str">
            <v>0 Löhne für Minijobs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</row>
        <row r="124">
          <cell r="B124" t="str">
            <v>0 Pauschale Steuer für Gesellschafter-GF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</row>
        <row r="125">
          <cell r="B125" t="str">
            <v>0 Pauschale Steuer für Arbeitnehmer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</row>
        <row r="126">
          <cell r="B126" t="str">
            <v>0 Miete, unbewegliche Wirtschaftsgüter</v>
          </cell>
          <cell r="AR126">
            <v>10680.21</v>
          </cell>
          <cell r="AS126">
            <v>21670.3</v>
          </cell>
          <cell r="AT126">
            <v>32660.39</v>
          </cell>
          <cell r="AU126">
            <v>47174.59</v>
          </cell>
          <cell r="AV126">
            <v>64096.959999999992</v>
          </cell>
          <cell r="AW126">
            <v>82819.329999999987</v>
          </cell>
          <cell r="AX126">
            <v>106089.72999999998</v>
          </cell>
        </row>
        <row r="127">
          <cell r="B127" t="str">
            <v>0 Miet- und Pachtnebenkosten</v>
          </cell>
          <cell r="AR127">
            <v>3465.12</v>
          </cell>
          <cell r="AS127">
            <v>6935.51</v>
          </cell>
          <cell r="AT127">
            <v>10405.9</v>
          </cell>
          <cell r="AU127">
            <v>13922.539999999999</v>
          </cell>
          <cell r="AV127">
            <v>17439.18</v>
          </cell>
          <cell r="AW127">
            <v>20955.82</v>
          </cell>
          <cell r="AX127">
            <v>27937.58</v>
          </cell>
        </row>
        <row r="128">
          <cell r="B128" t="str">
            <v>0 Reinigung</v>
          </cell>
          <cell r="AR128">
            <v>2681.03</v>
          </cell>
          <cell r="AS128">
            <v>6150.73</v>
          </cell>
          <cell r="AT128">
            <v>10680.89</v>
          </cell>
          <cell r="AU128">
            <v>13611.619999999999</v>
          </cell>
          <cell r="AV128">
            <v>13611.619999999999</v>
          </cell>
          <cell r="AW128">
            <v>19896.98</v>
          </cell>
          <cell r="AX128">
            <v>19896.98</v>
          </cell>
        </row>
        <row r="129">
          <cell r="B129" t="str">
            <v>0 Instandhaltung betrieblicher Räume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</row>
        <row r="130">
          <cell r="B130" t="str">
            <v>0 Versicherungen</v>
          </cell>
          <cell r="AR130">
            <v>3761.49</v>
          </cell>
          <cell r="AS130">
            <v>4092.74</v>
          </cell>
          <cell r="AT130">
            <v>4423.99</v>
          </cell>
          <cell r="AU130">
            <v>4749.24</v>
          </cell>
          <cell r="AV130">
            <v>5074.49</v>
          </cell>
          <cell r="AW130">
            <v>1490.1099999999997</v>
          </cell>
          <cell r="AX130">
            <v>4769.3899999999994</v>
          </cell>
        </row>
        <row r="131">
          <cell r="B131" t="str">
            <v>0 Beiträge</v>
          </cell>
          <cell r="AR131">
            <v>110.65</v>
          </cell>
          <cell r="AS131">
            <v>221.3</v>
          </cell>
          <cell r="AT131">
            <v>331.95000000000005</v>
          </cell>
          <cell r="AU131">
            <v>442.6</v>
          </cell>
          <cell r="AV131">
            <v>553.25</v>
          </cell>
          <cell r="AW131">
            <v>553.25</v>
          </cell>
          <cell r="AX131">
            <v>553.25</v>
          </cell>
        </row>
        <row r="132">
          <cell r="B132" t="str">
            <v>1 Beiträge Künstlersozialkasse KSK</v>
          </cell>
          <cell r="AR132">
            <v>0</v>
          </cell>
          <cell r="AS132">
            <v>0</v>
          </cell>
          <cell r="AT132">
            <v>500</v>
          </cell>
          <cell r="AU132">
            <v>1108.6300000000001</v>
          </cell>
          <cell r="AV132">
            <v>1108.6300000000001</v>
          </cell>
          <cell r="AW132">
            <v>1217.2600000000002</v>
          </cell>
          <cell r="AX132">
            <v>1325.8900000000003</v>
          </cell>
        </row>
        <row r="133">
          <cell r="B133" t="str">
            <v>0 Abzugsf.Verspätungszuschlag/Zwangsgeld</v>
          </cell>
          <cell r="AR133">
            <v>5</v>
          </cell>
          <cell r="AS133">
            <v>414.5</v>
          </cell>
          <cell r="AT133">
            <v>414.5</v>
          </cell>
          <cell r="AU133">
            <v>414.5</v>
          </cell>
          <cell r="AV133">
            <v>414.5</v>
          </cell>
          <cell r="AW133">
            <v>414.5</v>
          </cell>
          <cell r="AX133">
            <v>414.5</v>
          </cell>
        </row>
        <row r="134">
          <cell r="B134" t="str">
            <v>0 Nicht abzf.Verspät.zuschlag/Zwangsgeld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</row>
        <row r="135">
          <cell r="B135" t="str">
            <v>0 Marketing Partner Campaigns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</row>
        <row r="136">
          <cell r="B136" t="str">
            <v>0 Marketing User Growth B2C</v>
          </cell>
          <cell r="AR136">
            <v>0</v>
          </cell>
          <cell r="AS136">
            <v>0</v>
          </cell>
          <cell r="AT136">
            <v>7286.61</v>
          </cell>
          <cell r="AU136">
            <v>9715.48</v>
          </cell>
          <cell r="AV136">
            <v>15697.16</v>
          </cell>
          <cell r="AW136">
            <v>24865.21</v>
          </cell>
          <cell r="AX136">
            <v>27638.199999999997</v>
          </cell>
        </row>
        <row r="137">
          <cell r="B137" t="str">
            <v xml:space="preserve">0 Marketing B2B Ads </v>
          </cell>
          <cell r="AR137">
            <v>82.44</v>
          </cell>
          <cell r="AS137">
            <v>675.02</v>
          </cell>
          <cell r="AT137">
            <v>675.02</v>
          </cell>
          <cell r="AU137">
            <v>675.02</v>
          </cell>
          <cell r="AV137">
            <v>675.02</v>
          </cell>
          <cell r="AW137">
            <v>837.92</v>
          </cell>
          <cell r="AX137">
            <v>1788.21</v>
          </cell>
        </row>
        <row r="138">
          <cell r="B138" t="str">
            <v>0 Streuartikel</v>
          </cell>
          <cell r="AR138">
            <v>776.57</v>
          </cell>
          <cell r="AS138">
            <v>1474.42</v>
          </cell>
          <cell r="AT138">
            <v>1830.0800000000002</v>
          </cell>
          <cell r="AU138">
            <v>2177.7200000000003</v>
          </cell>
          <cell r="AV138">
            <v>2177.7200000000003</v>
          </cell>
          <cell r="AW138">
            <v>2177.7200000000003</v>
          </cell>
          <cell r="AX138">
            <v>2177.7200000000003</v>
          </cell>
        </row>
        <row r="139">
          <cell r="B139" t="str">
            <v>0 Werbekosten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</row>
        <row r="140">
          <cell r="B140" t="str">
            <v>0 Geschenke abzugsfähig ohne § 37b EStG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</row>
        <row r="141">
          <cell r="B141" t="str">
            <v>0 Geschenke n. abzugsfähig mit § 37b EStG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</row>
        <row r="142">
          <cell r="B142" t="str">
            <v>0 Repräsentationskosten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</row>
        <row r="143">
          <cell r="B143" t="str">
            <v>0 Bewirtungskosten intern</v>
          </cell>
          <cell r="AR143">
            <v>0</v>
          </cell>
          <cell r="AS143">
            <v>0</v>
          </cell>
          <cell r="AT143">
            <v>0</v>
          </cell>
          <cell r="AU143">
            <v>424.91</v>
          </cell>
          <cell r="AV143">
            <v>530.62</v>
          </cell>
          <cell r="AW143">
            <v>740</v>
          </cell>
          <cell r="AX143">
            <v>667.98</v>
          </cell>
        </row>
        <row r="144">
          <cell r="B144" t="str">
            <v>0 Aufmerksamkeiten</v>
          </cell>
          <cell r="AR144">
            <v>16.809999999999999</v>
          </cell>
          <cell r="AS144">
            <v>303.14999999999998</v>
          </cell>
          <cell r="AT144">
            <v>316.09999999999997</v>
          </cell>
          <cell r="AU144">
            <v>762.81</v>
          </cell>
          <cell r="AV144">
            <v>762.81</v>
          </cell>
          <cell r="AW144">
            <v>1243.1199999999999</v>
          </cell>
          <cell r="AX144">
            <v>1305.3</v>
          </cell>
        </row>
        <row r="145">
          <cell r="B145" t="str">
            <v>0 Bewirtungskosten extern 70%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</row>
        <row r="146">
          <cell r="B146" t="str">
            <v>0 n. abz. Bewirtungskosten extern 30%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</row>
        <row r="147">
          <cell r="B147" t="str">
            <v>0 Reisekosten Arbeitnehmer, Fahrtkosten</v>
          </cell>
          <cell r="AR147">
            <v>1158.26</v>
          </cell>
          <cell r="AS147">
            <v>2221.3599999999997</v>
          </cell>
          <cell r="AT147">
            <v>3022.5499999999997</v>
          </cell>
          <cell r="AU147">
            <v>3376.93</v>
          </cell>
          <cell r="AV147">
            <v>3418.8199999999997</v>
          </cell>
          <cell r="AW147">
            <v>3418.8199999999997</v>
          </cell>
          <cell r="AX147">
            <v>3418.8199999999997</v>
          </cell>
        </row>
        <row r="148">
          <cell r="B148" t="str">
            <v>2 Reisekosten AN Fahrtkosten externe Proje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</row>
        <row r="149">
          <cell r="B149" t="str">
            <v>0 Reisekosten AN Verpfleg.mehraufwand</v>
          </cell>
          <cell r="AR149">
            <v>0</v>
          </cell>
          <cell r="AS149">
            <v>71.36</v>
          </cell>
          <cell r="AT149">
            <v>82.31</v>
          </cell>
          <cell r="AU149">
            <v>82.31</v>
          </cell>
          <cell r="AV149">
            <v>82.31</v>
          </cell>
          <cell r="AW149">
            <v>82.31</v>
          </cell>
          <cell r="AX149">
            <v>82.31</v>
          </cell>
        </row>
        <row r="150">
          <cell r="B150" t="str">
            <v>0 Reisekosten AN Übernachtungsaufwand</v>
          </cell>
          <cell r="AR150">
            <v>114</v>
          </cell>
          <cell r="AS150">
            <v>124</v>
          </cell>
          <cell r="AT150">
            <v>124</v>
          </cell>
          <cell r="AU150">
            <v>124</v>
          </cell>
          <cell r="AV150">
            <v>124</v>
          </cell>
          <cell r="AW150">
            <v>124</v>
          </cell>
          <cell r="AX150">
            <v>124</v>
          </cell>
        </row>
        <row r="151">
          <cell r="B151" t="str">
            <v>1 Reisekosten AN Übernachtung Team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251.26</v>
          </cell>
          <cell r="AX151">
            <v>251.26</v>
          </cell>
        </row>
        <row r="152">
          <cell r="B152" t="str">
            <v>0 Reparatur u.Instandhaltung von Bauten</v>
          </cell>
          <cell r="AR152">
            <v>3940</v>
          </cell>
          <cell r="AS152">
            <v>3940</v>
          </cell>
          <cell r="AT152">
            <v>3940</v>
          </cell>
          <cell r="AU152">
            <v>3940</v>
          </cell>
          <cell r="AV152">
            <v>3940</v>
          </cell>
          <cell r="AW152">
            <v>3940</v>
          </cell>
          <cell r="AX152">
            <v>3940</v>
          </cell>
        </row>
        <row r="153">
          <cell r="B153" t="str">
            <v>0 Reparatur/Instandh.v.and.Anlagen u. BGA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133.53</v>
          </cell>
          <cell r="AX153">
            <v>133.53</v>
          </cell>
        </row>
        <row r="154">
          <cell r="B154" t="str">
            <v>0 Wartungskosten für Hard- und Software</v>
          </cell>
          <cell r="AR154">
            <v>895.22</v>
          </cell>
          <cell r="AS154">
            <v>1806.16</v>
          </cell>
          <cell r="AT154">
            <v>2107.7600000000002</v>
          </cell>
          <cell r="AU154">
            <v>2618.4500000000003</v>
          </cell>
          <cell r="AV154">
            <v>3045.9500000000003</v>
          </cell>
          <cell r="AW154">
            <v>3516.6800000000003</v>
          </cell>
          <cell r="AX154">
            <v>3516.6800000000003</v>
          </cell>
        </row>
        <row r="155">
          <cell r="B155" t="str">
            <v>0 Sonstige Reparaturen u.Instandhaltungen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</row>
        <row r="156">
          <cell r="B156" t="str">
            <v>0 Mietleasing bewegl. WG techn. Anlagen</v>
          </cell>
          <cell r="AR156">
            <v>184.8</v>
          </cell>
          <cell r="AS156">
            <v>369.6</v>
          </cell>
          <cell r="AT156">
            <v>554.39</v>
          </cell>
          <cell r="AU156">
            <v>739.19</v>
          </cell>
          <cell r="AV156">
            <v>923.99</v>
          </cell>
          <cell r="AW156">
            <v>1108.79</v>
          </cell>
          <cell r="AX156">
            <v>1293.5899999999999</v>
          </cell>
        </row>
        <row r="157">
          <cell r="B157" t="str">
            <v>0 Abschreibungen auf Sachanlagen</v>
          </cell>
          <cell r="AR157">
            <v>5169.91</v>
          </cell>
          <cell r="AS157">
            <v>10190.07</v>
          </cell>
          <cell r="AT157">
            <v>15143.99</v>
          </cell>
          <cell r="AU157">
            <v>15143.99</v>
          </cell>
          <cell r="AV157">
            <v>15143.99</v>
          </cell>
          <cell r="AW157">
            <v>29672.17</v>
          </cell>
          <cell r="AX157">
            <v>34685.25</v>
          </cell>
        </row>
        <row r="158">
          <cell r="B158" t="str">
            <v>0 Sofortabschreibung GWG</v>
          </cell>
          <cell r="AR158">
            <v>0</v>
          </cell>
          <cell r="AS158">
            <v>0</v>
          </cell>
          <cell r="AT158">
            <v>922.65</v>
          </cell>
          <cell r="AU158">
            <v>922.65</v>
          </cell>
          <cell r="AV158">
            <v>922.65</v>
          </cell>
          <cell r="AW158">
            <v>922.65</v>
          </cell>
          <cell r="AX158">
            <v>1262.0999999999999</v>
          </cell>
        </row>
        <row r="159">
          <cell r="B159" t="str">
            <v>0 Abschreibungen auf aktivierte GWG</v>
          </cell>
          <cell r="AR159">
            <v>115.81</v>
          </cell>
          <cell r="AS159">
            <v>223.64</v>
          </cell>
          <cell r="AT159">
            <v>277.45</v>
          </cell>
          <cell r="AU159">
            <v>277.45</v>
          </cell>
          <cell r="AV159">
            <v>277.45</v>
          </cell>
          <cell r="AW159">
            <v>438.95</v>
          </cell>
          <cell r="AX159">
            <v>492.81</v>
          </cell>
        </row>
        <row r="160">
          <cell r="B160" t="str">
            <v>0 Sonstige betriebliche Aufwendungen</v>
          </cell>
          <cell r="AR160">
            <v>108.33</v>
          </cell>
          <cell r="AS160">
            <v>216.66</v>
          </cell>
          <cell r="AT160">
            <v>324.99</v>
          </cell>
          <cell r="AU160">
            <v>433.32</v>
          </cell>
          <cell r="AV160">
            <v>541.65</v>
          </cell>
          <cell r="AW160">
            <v>1060.98</v>
          </cell>
          <cell r="AX160">
            <v>1169.31</v>
          </cell>
        </row>
        <row r="161">
          <cell r="B161" t="str">
            <v>0 Porto</v>
          </cell>
          <cell r="AR161">
            <v>26.08</v>
          </cell>
          <cell r="AS161">
            <v>26.08</v>
          </cell>
          <cell r="AT161">
            <v>783.82</v>
          </cell>
          <cell r="AU161">
            <v>950.31000000000006</v>
          </cell>
          <cell r="AV161">
            <v>950.31000000000006</v>
          </cell>
          <cell r="AW161">
            <v>950.31000000000006</v>
          </cell>
          <cell r="AX161">
            <v>950.31000000000006</v>
          </cell>
        </row>
        <row r="162">
          <cell r="B162" t="str">
            <v>0 Telefon</v>
          </cell>
          <cell r="AR162">
            <v>26.04</v>
          </cell>
          <cell r="AS162">
            <v>52.07</v>
          </cell>
          <cell r="AT162">
            <v>65.53</v>
          </cell>
          <cell r="AU162">
            <v>215.33</v>
          </cell>
          <cell r="AV162">
            <v>228.8</v>
          </cell>
          <cell r="AW162">
            <v>242.27</v>
          </cell>
          <cell r="AX162">
            <v>255.74</v>
          </cell>
        </row>
        <row r="163">
          <cell r="B163" t="str">
            <v>0 Internetkosten</v>
          </cell>
          <cell r="AR163">
            <v>365.46</v>
          </cell>
          <cell r="AS163">
            <v>1080.92</v>
          </cell>
          <cell r="AT163">
            <v>1446.38</v>
          </cell>
          <cell r="AU163">
            <v>1796.38</v>
          </cell>
          <cell r="AV163">
            <v>2146.38</v>
          </cell>
          <cell r="AW163">
            <v>2496.38</v>
          </cell>
          <cell r="AX163">
            <v>2849.38</v>
          </cell>
        </row>
        <row r="164">
          <cell r="B164" t="str">
            <v>0 Bürobedarf</v>
          </cell>
          <cell r="AR164">
            <v>55.44</v>
          </cell>
          <cell r="AS164">
            <v>232.91</v>
          </cell>
          <cell r="AT164">
            <v>232.91</v>
          </cell>
          <cell r="AU164">
            <v>317.87</v>
          </cell>
          <cell r="AV164">
            <v>317.87</v>
          </cell>
          <cell r="AW164">
            <v>343.96</v>
          </cell>
          <cell r="AX164">
            <v>339.78999999999996</v>
          </cell>
        </row>
        <row r="165">
          <cell r="B165" t="str">
            <v>0 Zeitschrift./Bücher/dig.Medien(Fachlit.)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</row>
        <row r="166">
          <cell r="B166" t="str">
            <v>0 Fortbildungskosten</v>
          </cell>
          <cell r="AR166">
            <v>0</v>
          </cell>
          <cell r="AS166">
            <v>97</v>
          </cell>
          <cell r="AT166">
            <v>138.18</v>
          </cell>
          <cell r="AU166">
            <v>138.18</v>
          </cell>
          <cell r="AV166">
            <v>1458.18</v>
          </cell>
          <cell r="AW166">
            <v>1458.18</v>
          </cell>
          <cell r="AX166">
            <v>1458.18</v>
          </cell>
        </row>
        <row r="167">
          <cell r="B167" t="str">
            <v>0 Freiwillige Sozialleistungen</v>
          </cell>
          <cell r="AR167">
            <v>0</v>
          </cell>
          <cell r="AS167">
            <v>0</v>
          </cell>
          <cell r="AT167">
            <v>0</v>
          </cell>
          <cell r="AU167">
            <v>300</v>
          </cell>
          <cell r="AV167">
            <v>600</v>
          </cell>
          <cell r="AW167">
            <v>900</v>
          </cell>
          <cell r="AX167">
            <v>1200</v>
          </cell>
        </row>
        <row r="168">
          <cell r="B168" t="str">
            <v>0 Rechts- und Beratungskosten</v>
          </cell>
          <cell r="AR168">
            <v>2837.75</v>
          </cell>
          <cell r="AS168">
            <v>3802.05</v>
          </cell>
          <cell r="AT168">
            <v>6366.58</v>
          </cell>
          <cell r="AU168">
            <v>6376.48</v>
          </cell>
          <cell r="AV168">
            <v>6386.3799999999992</v>
          </cell>
          <cell r="AW168">
            <v>6396.2799999999988</v>
          </cell>
          <cell r="AX168">
            <v>6636.9199999999992</v>
          </cell>
        </row>
        <row r="169">
          <cell r="B169" t="str">
            <v>0 Buchführungskosten</v>
          </cell>
          <cell r="AR169">
            <v>485.16</v>
          </cell>
          <cell r="AS169">
            <v>605.61</v>
          </cell>
          <cell r="AT169">
            <v>641.61</v>
          </cell>
          <cell r="AU169">
            <v>1825.3600000000001</v>
          </cell>
          <cell r="AV169">
            <v>2664.11</v>
          </cell>
          <cell r="AW169">
            <v>2909.11</v>
          </cell>
          <cell r="AX169">
            <v>3835.36</v>
          </cell>
        </row>
        <row r="170">
          <cell r="B170" t="str">
            <v>0 Lohnführungskosten</v>
          </cell>
          <cell r="AR170">
            <v>207.5</v>
          </cell>
          <cell r="AS170">
            <v>415</v>
          </cell>
          <cell r="AT170">
            <v>415</v>
          </cell>
          <cell r="AU170">
            <v>415</v>
          </cell>
          <cell r="AV170">
            <v>415</v>
          </cell>
          <cell r="AW170">
            <v>415</v>
          </cell>
          <cell r="AX170">
            <v>415</v>
          </cell>
        </row>
        <row r="171">
          <cell r="B171" t="str">
            <v>0 Abschluss- und Prüfungskosten</v>
          </cell>
          <cell r="AR171">
            <v>333.33</v>
          </cell>
          <cell r="AS171">
            <v>-2666.67</v>
          </cell>
          <cell r="AT171">
            <v>999.98999999999978</v>
          </cell>
          <cell r="AU171">
            <v>1333.3199999999997</v>
          </cell>
          <cell r="AV171">
            <v>1666.6499999999996</v>
          </cell>
          <cell r="AW171">
            <v>1999.9799999999996</v>
          </cell>
          <cell r="AX171">
            <v>2333.3099999999995</v>
          </cell>
        </row>
        <row r="172">
          <cell r="B172" t="str">
            <v>0 Mieten für Einrichtungen bewegliche WG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</row>
        <row r="173">
          <cell r="B173" t="str">
            <v>0 Aufwand Abraum-/Abfallbeseitigung</v>
          </cell>
          <cell r="AR173">
            <v>310.63</v>
          </cell>
          <cell r="AS173">
            <v>310.63</v>
          </cell>
          <cell r="AT173">
            <v>496.15</v>
          </cell>
          <cell r="AU173">
            <v>841.46</v>
          </cell>
          <cell r="AV173">
            <v>1114</v>
          </cell>
          <cell r="AW173">
            <v>1386.54</v>
          </cell>
          <cell r="AX173">
            <v>1386.54</v>
          </cell>
        </row>
        <row r="174">
          <cell r="B174" t="str">
            <v>0 Nebenkosten des Geldverkehrs</v>
          </cell>
          <cell r="AR174">
            <v>7</v>
          </cell>
          <cell r="AS174">
            <v>16.100000000000001</v>
          </cell>
          <cell r="AT174">
            <v>126.66999999999999</v>
          </cell>
          <cell r="AU174">
            <v>142.54999999999998</v>
          </cell>
          <cell r="AV174">
            <v>154.29999999999998</v>
          </cell>
          <cell r="AW174">
            <v>171.73999999999998</v>
          </cell>
          <cell r="AX174">
            <v>216.89999999999998</v>
          </cell>
        </row>
        <row r="175">
          <cell r="B175" t="str">
            <v>1 Gebühren PayPal</v>
          </cell>
          <cell r="AR175">
            <v>13.17</v>
          </cell>
          <cell r="AS175">
            <v>13.17</v>
          </cell>
          <cell r="AT175">
            <v>13.17</v>
          </cell>
          <cell r="AU175">
            <v>13.17</v>
          </cell>
          <cell r="AV175">
            <v>13.17</v>
          </cell>
          <cell r="AW175">
            <v>13.17</v>
          </cell>
          <cell r="AX175">
            <v>13.17</v>
          </cell>
        </row>
        <row r="176">
          <cell r="B176" t="str">
            <v>6 Gebühren Shopify</v>
          </cell>
          <cell r="AR176">
            <v>1</v>
          </cell>
          <cell r="AS176">
            <v>1</v>
          </cell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1</v>
          </cell>
        </row>
        <row r="177">
          <cell r="B177" t="str">
            <v>0 EDV Hardware</v>
          </cell>
          <cell r="AR177">
            <v>330.15</v>
          </cell>
          <cell r="AS177">
            <v>330.15</v>
          </cell>
          <cell r="AT177">
            <v>359.57</v>
          </cell>
          <cell r="AU177">
            <v>359.57</v>
          </cell>
          <cell r="AV177">
            <v>359.57</v>
          </cell>
          <cell r="AW177">
            <v>632.29</v>
          </cell>
          <cell r="AX177">
            <v>632.29</v>
          </cell>
        </row>
        <row r="178">
          <cell r="B178" t="str">
            <v>0 Unfertige Erzeugnisse und Leistungen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-74</v>
          </cell>
          <cell r="AW178">
            <v>-74</v>
          </cell>
          <cell r="AX178">
            <v>-74</v>
          </cell>
        </row>
        <row r="179">
          <cell r="B179" t="str">
            <v>0 Unfertige Leistungen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</row>
        <row r="180">
          <cell r="B180" t="str">
            <v>1 Unfertige Leistungen - Foodfittery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</row>
        <row r="181">
          <cell r="B181" t="str">
            <v>1 Bestand Sets Online-Shop</v>
          </cell>
          <cell r="AR181">
            <v>14112.39</v>
          </cell>
          <cell r="AS181">
            <v>14112.39</v>
          </cell>
          <cell r="AT181">
            <v>14112.39</v>
          </cell>
          <cell r="AU181">
            <v>14112.39</v>
          </cell>
          <cell r="AV181">
            <v>14112.39</v>
          </cell>
          <cell r="AW181">
            <v>14112.39</v>
          </cell>
          <cell r="AX181">
            <v>14112.39</v>
          </cell>
        </row>
        <row r="182">
          <cell r="B182" t="str">
            <v>1 Bestand Gewürzmischungen Online-Shop</v>
          </cell>
          <cell r="AR182">
            <v>30197.31</v>
          </cell>
          <cell r="AS182">
            <v>30197.31</v>
          </cell>
          <cell r="AT182">
            <v>30197.31</v>
          </cell>
          <cell r="AU182">
            <v>30197.31</v>
          </cell>
          <cell r="AV182">
            <v>30197.31</v>
          </cell>
          <cell r="AW182">
            <v>30197.31</v>
          </cell>
          <cell r="AX182">
            <v>30197.31</v>
          </cell>
        </row>
        <row r="183">
          <cell r="B183" t="str">
            <v>1 Bestand Kochbücher Online-Shop</v>
          </cell>
          <cell r="AR183">
            <v>420.42</v>
          </cell>
          <cell r="AS183">
            <v>420.42</v>
          </cell>
          <cell r="AT183">
            <v>420.42</v>
          </cell>
          <cell r="AU183">
            <v>420.42</v>
          </cell>
          <cell r="AV183">
            <v>420.42</v>
          </cell>
          <cell r="AW183">
            <v>420.42</v>
          </cell>
          <cell r="AX183">
            <v>420.42</v>
          </cell>
        </row>
        <row r="184">
          <cell r="B184" t="str">
            <v>0 Other Operative Revenues 7%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</row>
        <row r="185">
          <cell r="B185" t="str">
            <v>0 Erlöse Online-Shop 7%</v>
          </cell>
          <cell r="AR185">
            <v>-453.36</v>
          </cell>
          <cell r="AS185">
            <v>-453.36</v>
          </cell>
          <cell r="AT185">
            <v>-453.36</v>
          </cell>
          <cell r="AU185">
            <v>-453.36</v>
          </cell>
          <cell r="AV185">
            <v>-453.36</v>
          </cell>
          <cell r="AW185">
            <v>-453.36</v>
          </cell>
          <cell r="AX185">
            <v>-453.36</v>
          </cell>
        </row>
        <row r="186">
          <cell r="B186" t="str">
            <v>0 Other operative revenues EU</v>
          </cell>
          <cell r="AR186">
            <v>0</v>
          </cell>
          <cell r="AS186">
            <v>0</v>
          </cell>
          <cell r="AT186">
            <v>-8000</v>
          </cell>
          <cell r="AU186">
            <v>-8000</v>
          </cell>
          <cell r="AV186">
            <v>-8000</v>
          </cell>
          <cell r="AW186">
            <v>-8000</v>
          </cell>
          <cell r="AX186">
            <v>-8000</v>
          </cell>
        </row>
        <row r="187">
          <cell r="B187" t="str">
            <v>1 Native Advertising EU</v>
          </cell>
          <cell r="AR187">
            <v>0</v>
          </cell>
          <cell r="AS187">
            <v>0</v>
          </cell>
          <cell r="AT187">
            <v>-15636</v>
          </cell>
          <cell r="AU187">
            <v>-15636</v>
          </cell>
          <cell r="AV187">
            <v>-15636</v>
          </cell>
          <cell r="AW187">
            <v>-15636</v>
          </cell>
          <cell r="AX187">
            <v>-15636</v>
          </cell>
        </row>
        <row r="188">
          <cell r="B188" t="str">
            <v>7 Display Adverstising EU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</row>
        <row r="189">
          <cell r="B189" t="str">
            <v>9 Native Production EU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</row>
        <row r="190">
          <cell r="B190" t="str">
            <v>1 B2C Revenues §13b UStG</v>
          </cell>
          <cell r="AR190">
            <v>-3028.98</v>
          </cell>
          <cell r="AS190">
            <v>-6929.82</v>
          </cell>
          <cell r="AT190">
            <v>-11286.9</v>
          </cell>
          <cell r="AU190">
            <v>-13649.4</v>
          </cell>
          <cell r="AV190">
            <v>-17578.39</v>
          </cell>
          <cell r="AW190">
            <v>-26707.129999999997</v>
          </cell>
          <cell r="AX190">
            <v>-43045.02</v>
          </cell>
        </row>
        <row r="191">
          <cell r="B191" t="str">
            <v xml:space="preserve">0 Other Revenue Drittland 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-4010.96</v>
          </cell>
          <cell r="AW191">
            <v>-4010.96</v>
          </cell>
          <cell r="AX191">
            <v>-4010.96</v>
          </cell>
        </row>
        <row r="192">
          <cell r="B192" t="str">
            <v>1 Erlöse Online-Shop Drittland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</row>
        <row r="193">
          <cell r="B193" t="str">
            <v>5 Other B2B  Revenue Drittland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</row>
        <row r="194">
          <cell r="B194" t="str">
            <v>7 Display Advertising Drittland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</row>
        <row r="195">
          <cell r="B195" t="str">
            <v>9 Native Production Drittland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</row>
        <row r="196">
          <cell r="B196" t="str">
            <v>0 Other Operative Revenues 19% USt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</row>
        <row r="197">
          <cell r="B197" t="str">
            <v>1 Other Operative Revenues 19% -Affiliates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</row>
        <row r="198">
          <cell r="B198" t="str">
            <v>2 Erlöse Online-Shop 19%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</row>
        <row r="199">
          <cell r="B199" t="str">
            <v>0 Native Adverstising19% USt</v>
          </cell>
          <cell r="AR199">
            <v>-2875</v>
          </cell>
          <cell r="AS199">
            <v>-5750</v>
          </cell>
          <cell r="AT199">
            <v>-8625</v>
          </cell>
          <cell r="AU199">
            <v>-11500</v>
          </cell>
          <cell r="AV199">
            <v>-14375</v>
          </cell>
          <cell r="AW199">
            <v>-17250</v>
          </cell>
          <cell r="AX199">
            <v>-20125</v>
          </cell>
        </row>
        <row r="200">
          <cell r="B200" t="str">
            <v xml:space="preserve">1 Native Adverstising 19% USt </v>
          </cell>
          <cell r="AR200">
            <v>-6484.31</v>
          </cell>
          <cell r="AS200">
            <v>-13412.39</v>
          </cell>
          <cell r="AT200">
            <v>-33398.399999999994</v>
          </cell>
          <cell r="AU200">
            <v>-61509.569999999992</v>
          </cell>
          <cell r="AV200">
            <v>-131299.84</v>
          </cell>
          <cell r="AW200">
            <v>-200087.97</v>
          </cell>
          <cell r="AX200">
            <v>-209595.12</v>
          </cell>
        </row>
        <row r="201">
          <cell r="B201" t="str">
            <v>0 Other B2B Revenues19% USt</v>
          </cell>
          <cell r="AR201">
            <v>-11725.33</v>
          </cell>
          <cell r="AS201">
            <v>-23450.67</v>
          </cell>
          <cell r="AT201">
            <v>-23450.67</v>
          </cell>
          <cell r="AU201">
            <v>-23450.67</v>
          </cell>
          <cell r="AV201">
            <v>-23450.67</v>
          </cell>
          <cell r="AW201">
            <v>-23804.219999999998</v>
          </cell>
          <cell r="AX201">
            <v>-23804.219999999998</v>
          </cell>
        </row>
        <row r="202">
          <cell r="B202" t="str">
            <v>0 Service Production19% USt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</row>
        <row r="203">
          <cell r="B203" t="str">
            <v>1 Service Production19% USt - Affiliates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</row>
        <row r="204">
          <cell r="B204" t="str">
            <v>2 Native Advertising 19% USt - Affiliates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</row>
        <row r="205">
          <cell r="B205" t="str">
            <v>0 Native Production 19% USt</v>
          </cell>
          <cell r="AR205">
            <v>0</v>
          </cell>
          <cell r="AS205">
            <v>-24293.3</v>
          </cell>
          <cell r="AT205">
            <v>-48505</v>
          </cell>
          <cell r="AU205">
            <v>-48505</v>
          </cell>
          <cell r="AV205">
            <v>-83828.010000000009</v>
          </cell>
          <cell r="AW205">
            <v>-95978.400000000009</v>
          </cell>
          <cell r="AX205">
            <v>-95978.400000000009</v>
          </cell>
        </row>
        <row r="206">
          <cell r="B206" t="str">
            <v>1 Native Production 19% USt - Affiliates</v>
          </cell>
          <cell r="AR206">
            <v>-67728.75</v>
          </cell>
          <cell r="AS206">
            <v>-119402.5</v>
          </cell>
          <cell r="AT206">
            <v>-185871.25</v>
          </cell>
          <cell r="AU206">
            <v>-287524.92</v>
          </cell>
          <cell r="AV206">
            <v>-320872.25</v>
          </cell>
          <cell r="AW206">
            <v>-474952.57999999996</v>
          </cell>
          <cell r="AX206">
            <v>-618882.92999999993</v>
          </cell>
        </row>
        <row r="207">
          <cell r="B207" t="str">
            <v>0 Verrechnete sonstige Sachbezüge</v>
          </cell>
          <cell r="AR207">
            <v>0</v>
          </cell>
          <cell r="AS207">
            <v>0</v>
          </cell>
          <cell r="AT207">
            <v>0</v>
          </cell>
          <cell r="AU207">
            <v>-300</v>
          </cell>
          <cell r="AV207">
            <v>-600</v>
          </cell>
          <cell r="AW207">
            <v>-900</v>
          </cell>
          <cell r="AX207">
            <v>-1200</v>
          </cell>
        </row>
        <row r="208">
          <cell r="B208" t="str">
            <v>0 Verrech. sonstige Sachbezüge Fzg 19% USt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</row>
        <row r="209">
          <cell r="B209" t="str">
            <v>0 Verrechn. sonstige Sachbezüge 19% USt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</row>
        <row r="210">
          <cell r="B210" t="str">
            <v>0 Gewährte Rabatte 19 % USt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</row>
        <row r="211">
          <cell r="B211" t="str">
            <v>0 Erlöse Sachanlageverkäufe 19% USt, BG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</row>
        <row r="212">
          <cell r="B212" t="str">
            <v>2 BV UFL - Native Advertising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</row>
        <row r="213">
          <cell r="B213" t="str">
            <v>9 BV UFL - Native Production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</row>
        <row r="214">
          <cell r="B214" t="str">
            <v>1 BV Gewürzmischungen Online-Shop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</row>
        <row r="215">
          <cell r="B215" t="str">
            <v>2 BV Sets Online-Shop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</row>
        <row r="216">
          <cell r="B216" t="str">
            <v>0 Saldenvorträge Sachkonten</v>
          </cell>
          <cell r="AR216">
            <v>2842581.45</v>
          </cell>
          <cell r="AS216">
            <v>2842581.45</v>
          </cell>
          <cell r="AT216">
            <v>2842581.45</v>
          </cell>
          <cell r="AU216">
            <v>2842581.45</v>
          </cell>
          <cell r="AV216">
            <v>2842581.45</v>
          </cell>
          <cell r="AW216">
            <v>2842581.45</v>
          </cell>
          <cell r="AX216">
            <v>2842581.45</v>
          </cell>
        </row>
        <row r="217">
          <cell r="B217" t="str">
            <v>0 Saldenvorträge Debitoren</v>
          </cell>
          <cell r="AR217">
            <v>-122130.64</v>
          </cell>
          <cell r="AS217">
            <v>-122130.64</v>
          </cell>
          <cell r="AT217">
            <v>-122130.64</v>
          </cell>
          <cell r="AU217">
            <v>-122130.64</v>
          </cell>
          <cell r="AV217">
            <v>-122130.64</v>
          </cell>
          <cell r="AW217">
            <v>-122130.64</v>
          </cell>
          <cell r="AX217">
            <v>-122130.64</v>
          </cell>
        </row>
        <row r="218">
          <cell r="B218" t="str">
            <v>0 Saldenvorträge Kreditoren</v>
          </cell>
          <cell r="AR218">
            <v>-382.34</v>
          </cell>
          <cell r="AS218">
            <v>-382.34</v>
          </cell>
          <cell r="AT218">
            <v>-382.34</v>
          </cell>
          <cell r="AU218">
            <v>-382.34</v>
          </cell>
          <cell r="AV218">
            <v>-382.34</v>
          </cell>
          <cell r="AW218">
            <v>-382.34</v>
          </cell>
          <cell r="AX218">
            <v>-382.34</v>
          </cell>
        </row>
        <row r="219">
          <cell r="B219" t="str">
            <v>0 Auftragsbestand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</row>
        <row r="220">
          <cell r="B220" t="str">
            <v>0 Gegenkonto zu Konten 9120, 9135-9140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</row>
        <row r="222">
          <cell r="AR222">
            <v>-2.3463258003175724E-9</v>
          </cell>
          <cell r="AS222">
            <v>-2.8119870876253117E-9</v>
          </cell>
          <cell r="AT222">
            <v>-4.836806510866154E-10</v>
          </cell>
          <cell r="AU222">
            <v>-9.4934193839435466E-10</v>
          </cell>
          <cell r="AV222">
            <v>-1.4150032257020939E-9</v>
          </cell>
          <cell r="AW222">
            <v>-1.8019363778876141E-11</v>
          </cell>
          <cell r="AX222">
            <v>-1.4150032257020939E-9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C5F1-6BFE-48DA-BA47-798FA1871183}">
  <sheetPr>
    <tabColor rgb="FF7030A0"/>
    <pageSetUpPr autoPageBreaks="0"/>
  </sheetPr>
  <dimension ref="A1:BC537"/>
  <sheetViews>
    <sheetView tabSelected="1" zoomScale="70" zoomScaleNormal="70" workbookViewId="0">
      <selection activeCell="C31" sqref="C31"/>
    </sheetView>
  </sheetViews>
  <sheetFormatPr defaultColWidth="8.85546875" defaultRowHeight="15" outlineLevelRow="2" outlineLevelCol="1" x14ac:dyDescent="0.25"/>
  <cols>
    <col min="1" max="1" width="9" style="5" customWidth="1"/>
    <col min="2" max="2" width="47.42578125" style="6" bestFit="1" customWidth="1"/>
    <col min="3" max="3" width="72.7109375" customWidth="1" outlineLevel="1"/>
    <col min="4" max="4" width="86.42578125" bestFit="1" customWidth="1"/>
    <col min="5" max="5" width="56.5703125" customWidth="1" outlineLevel="1"/>
    <col min="6" max="9" width="18.7109375" style="8" customWidth="1"/>
    <col min="10" max="10" width="20" style="8" customWidth="1" outlineLevel="1"/>
    <col min="11" max="11" width="20" style="8" customWidth="1"/>
    <col min="12" max="46" width="20" style="8" customWidth="1" outlineLevel="1"/>
    <col min="47" max="48" width="20" style="8" customWidth="1"/>
    <col min="49" max="54" width="20" style="8" customWidth="1" outlineLevel="1"/>
    <col min="55" max="55" width="20" style="8" customWidth="1"/>
  </cols>
  <sheetData>
    <row r="1" spans="1:55" s="4" customFormat="1" x14ac:dyDescent="0.25">
      <c r="A1" s="1" t="s">
        <v>0</v>
      </c>
      <c r="B1" s="1"/>
      <c r="C1" s="1" t="s">
        <v>0</v>
      </c>
      <c r="D1" s="1" t="s">
        <v>0</v>
      </c>
      <c r="E1" s="1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3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1" t="s">
        <v>50</v>
      </c>
      <c r="BC1" s="2"/>
    </row>
    <row r="2" spans="1:55" outlineLevel="1" collapsed="1" x14ac:dyDescent="0.25">
      <c r="A2" s="5" t="s">
        <v>51</v>
      </c>
      <c r="B2" s="6" t="s">
        <v>52</v>
      </c>
      <c r="C2" t="s">
        <v>53</v>
      </c>
      <c r="F2" s="7">
        <f t="shared" ref="F2:F66" si="0">W2</f>
        <v>1</v>
      </c>
      <c r="G2" s="7">
        <f t="shared" ref="G2:G66" si="1">AI2</f>
        <v>1</v>
      </c>
      <c r="H2" s="7">
        <f t="shared" ref="H2:H66" si="2">AU2</f>
        <v>1</v>
      </c>
      <c r="I2" s="7">
        <f>BB2</f>
        <v>1</v>
      </c>
      <c r="K2" s="8">
        <f>AP2</f>
        <v>1</v>
      </c>
      <c r="L2" s="8">
        <v>756.15</v>
      </c>
      <c r="M2" s="8">
        <v>630.29</v>
      </c>
      <c r="N2" s="8">
        <v>504.43</v>
      </c>
      <c r="O2" s="8">
        <v>378.58</v>
      </c>
      <c r="P2" s="8">
        <v>252.72</v>
      </c>
      <c r="Q2" s="8">
        <v>126.86</v>
      </c>
      <c r="R2" s="8">
        <v>1.01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f>IFERROR(INDEX([1]SuSa_2024!BN:BN,MATCH($B2,[1]SuSa_2024!$B:$B,0)),"0")</f>
        <v>1</v>
      </c>
      <c r="AK2" s="8">
        <f>IFERROR(INDEX([1]SuSa_2024!BO:BO,MATCH($B2,[1]SuSa_2024!$B:$B,0)),"0")</f>
        <v>1</v>
      </c>
      <c r="AL2" s="8">
        <f>IFERROR(INDEX([1]SuSa_2024!BP:BP,MATCH($B2,[1]SuSa_2024!$B:$B,0)),"0")</f>
        <v>1</v>
      </c>
      <c r="AM2" s="8">
        <f>IFERROR(INDEX([1]SuSa_2024!BQ:BQ,MATCH($B2,[1]SuSa_2024!$B:$B,0)),"0")</f>
        <v>1</v>
      </c>
      <c r="AN2" s="8">
        <f>IFERROR(INDEX([1]SuSa_2024!BR:BR,MATCH($B2,[1]SuSa_2024!$B:$B,0)),"0")</f>
        <v>1</v>
      </c>
      <c r="AO2" s="8">
        <f>IFERROR(INDEX([1]SuSa_2024!BS:BS,MATCH($B2,[1]SuSa_2024!$B:$B,0)),"0")</f>
        <v>1</v>
      </c>
      <c r="AP2" s="8">
        <f>IFERROR(INDEX([1]SuSa_2024!BT:BT,MATCH($B2,[1]SuSa_2024!$B:$B,0)),"0")</f>
        <v>1</v>
      </c>
      <c r="AQ2" s="8">
        <f>IFERROR(INDEX([1]SuSa_2024!BU:BU,MATCH($B2,[1]SuSa_2024!$B:$B,0)),"0")</f>
        <v>1</v>
      </c>
      <c r="AR2" s="8">
        <f>IFERROR(INDEX([1]SuSa_2024!BV:BV,MATCH($B2,[1]SuSa_2024!$B:$B,0)),"0")</f>
        <v>1</v>
      </c>
      <c r="AS2" s="8">
        <f>IFERROR(INDEX([1]SuSa_2024!BW:BW,MATCH($B2,[1]SuSa_2024!$B:$B,0)),"0")</f>
        <v>1</v>
      </c>
      <c r="AT2" s="8">
        <f>IFERROR(INDEX([1]SuSa_2024!BX:BX,MATCH($B2,[1]SuSa_2024!$B:$B,0)),"0")</f>
        <v>1</v>
      </c>
      <c r="AU2" s="8">
        <f>IFERROR(INDEX([1]SuSa_2024!BY:BY,MATCH($B2,[1]SuSa_2024!$B:$B,0)),"0")</f>
        <v>1</v>
      </c>
      <c r="AV2" s="8">
        <f>IFERROR(INDEX([1]SuSa_2025!AR:AR,MATCH($B2,[1]SuSa_2025!$B:$B,0)),"0")</f>
        <v>1</v>
      </c>
      <c r="AW2" s="8">
        <f>IFERROR(INDEX([1]SuSa_2025!AS:AS,MATCH($B2,[1]SuSa_2025!$B:$B,0)),"0")</f>
        <v>1</v>
      </c>
      <c r="AX2" s="8">
        <f>IFERROR(INDEX([1]SuSa_2025!AT:AT,MATCH($B2,[1]SuSa_2025!$B:$B,0)),"0")</f>
        <v>1</v>
      </c>
      <c r="AY2" s="8">
        <f>IFERROR(INDEX([1]SuSa_2025!AU:AU,MATCH($B2,[1]SuSa_2025!$B:$B,0)),"0")</f>
        <v>1</v>
      </c>
      <c r="AZ2" s="8">
        <f>IFERROR(INDEX([1]SuSa_2025!AV:AV,MATCH($B2,[1]SuSa_2025!$B:$B,0)),"0")</f>
        <v>1</v>
      </c>
      <c r="BA2" s="8">
        <f>IFERROR(INDEX([1]SuSa_2025!AW:AW,MATCH($B2,[1]SuSa_2025!$B:$B,0)),"0")</f>
        <v>1</v>
      </c>
      <c r="BB2" s="8">
        <f>IFERROR(INDEX([1]SuSa_2025!AX:AX,MATCH($B2,[1]SuSa_2025!$B:$B,0)),"0")</f>
        <v>1</v>
      </c>
    </row>
    <row r="3" spans="1:55" outlineLevel="1" collapsed="1" x14ac:dyDescent="0.25">
      <c r="A3" s="5" t="s">
        <v>54</v>
      </c>
      <c r="B3" s="6" t="s">
        <v>55</v>
      </c>
      <c r="C3" t="s">
        <v>56</v>
      </c>
      <c r="F3" s="7">
        <f t="shared" si="0"/>
        <v>394130</v>
      </c>
      <c r="G3" s="7">
        <f t="shared" si="1"/>
        <v>8</v>
      </c>
      <c r="H3" s="7">
        <f t="shared" si="2"/>
        <v>8</v>
      </c>
      <c r="I3" s="7">
        <f t="shared" ref="I3:I66" si="3">BB3</f>
        <v>8</v>
      </c>
      <c r="K3" s="8">
        <f t="shared" ref="K3:K66" si="4">AP3</f>
        <v>8</v>
      </c>
      <c r="L3" s="8">
        <v>757155.01</v>
      </c>
      <c r="M3" s="8">
        <v>726055.01</v>
      </c>
      <c r="N3" s="8">
        <v>627501.28</v>
      </c>
      <c r="O3" s="8">
        <v>656880.01</v>
      </c>
      <c r="P3" s="8">
        <v>624036.27</v>
      </c>
      <c r="Q3" s="8">
        <v>591192.53</v>
      </c>
      <c r="R3" s="8">
        <v>558348.76</v>
      </c>
      <c r="S3" s="8">
        <v>525505.02</v>
      </c>
      <c r="T3" s="8">
        <v>492661.28</v>
      </c>
      <c r="U3" s="8">
        <v>459817.51</v>
      </c>
      <c r="V3" s="8">
        <v>426973.77</v>
      </c>
      <c r="W3" s="8">
        <v>394130</v>
      </c>
      <c r="X3" s="8">
        <v>361286.51</v>
      </c>
      <c r="Y3" s="8">
        <v>328443.01</v>
      </c>
      <c r="Z3" s="8">
        <v>295599.52</v>
      </c>
      <c r="AA3" s="8">
        <v>262756.01</v>
      </c>
      <c r="AB3" s="8">
        <v>229912.51</v>
      </c>
      <c r="AC3" s="8">
        <v>197069.02</v>
      </c>
      <c r="AD3" s="8">
        <v>164225.51</v>
      </c>
      <c r="AE3" s="8">
        <v>131382.01</v>
      </c>
      <c r="AF3" s="8">
        <v>98538.52</v>
      </c>
      <c r="AG3" s="8">
        <v>65695.009999999995</v>
      </c>
      <c r="AH3" s="8">
        <v>32851.51</v>
      </c>
      <c r="AI3" s="8">
        <v>8</v>
      </c>
      <c r="AJ3" s="8">
        <f>IFERROR(INDEX([1]SuSa_2024!BN:BN,MATCH($B3,[1]SuSa_2024!$B:$B,0)),"0")</f>
        <v>8</v>
      </c>
      <c r="AK3" s="8">
        <f>IFERROR(INDEX([1]SuSa_2024!BO:BO,MATCH($B3,[1]SuSa_2024!$B:$B,0)),"0")</f>
        <v>8</v>
      </c>
      <c r="AL3" s="8">
        <f>IFERROR(INDEX([1]SuSa_2024!BP:BP,MATCH($B3,[1]SuSa_2024!$B:$B,0)),"0")</f>
        <v>8</v>
      </c>
      <c r="AM3" s="8">
        <f>IFERROR(INDEX([1]SuSa_2024!BQ:BQ,MATCH($B3,[1]SuSa_2024!$B:$B,0)),"0")</f>
        <v>8</v>
      </c>
      <c r="AN3" s="8">
        <f>IFERROR(INDEX([1]SuSa_2024!BR:BR,MATCH($B3,[1]SuSa_2024!$B:$B,0)),"0")</f>
        <v>8</v>
      </c>
      <c r="AO3" s="8">
        <f>IFERROR(INDEX([1]SuSa_2024!BS:BS,MATCH($B3,[1]SuSa_2024!$B:$B,0)),"0")</f>
        <v>8</v>
      </c>
      <c r="AP3" s="8">
        <f>IFERROR(INDEX([1]SuSa_2024!BT:BT,MATCH($B3,[1]SuSa_2024!$B:$B,0)),"0")</f>
        <v>8</v>
      </c>
      <c r="AQ3" s="8">
        <f>IFERROR(INDEX([1]SuSa_2024!BU:BU,MATCH($B3,[1]SuSa_2024!$B:$B,0)),"0")</f>
        <v>8</v>
      </c>
      <c r="AR3" s="8">
        <f>IFERROR(INDEX([1]SuSa_2024!BV:BV,MATCH($B3,[1]SuSa_2024!$B:$B,0)),"0")</f>
        <v>8</v>
      </c>
      <c r="AS3" s="8">
        <f>IFERROR(INDEX([1]SuSa_2024!BW:BW,MATCH($B3,[1]SuSa_2024!$B:$B,0)),"0")</f>
        <v>8</v>
      </c>
      <c r="AT3" s="8">
        <f>IFERROR(INDEX([1]SuSa_2024!BX:BX,MATCH($B3,[1]SuSa_2024!$B:$B,0)),"0")</f>
        <v>8</v>
      </c>
      <c r="AU3" s="8">
        <f>IFERROR(INDEX([1]SuSa_2024!BY:BY,MATCH($B3,[1]SuSa_2024!$B:$B,0)),"0")</f>
        <v>8</v>
      </c>
      <c r="AV3" s="8">
        <f>IFERROR(INDEX([1]SuSa_2025!AR:AR,MATCH($B3,[1]SuSa_2025!$B:$B,0)),"0")</f>
        <v>8</v>
      </c>
      <c r="AW3" s="8">
        <f>IFERROR(INDEX([1]SuSa_2025!AS:AS,MATCH($B3,[1]SuSa_2025!$B:$B,0)),"0")</f>
        <v>8</v>
      </c>
      <c r="AX3" s="8">
        <f>IFERROR(INDEX([1]SuSa_2025!AT:AT,MATCH($B3,[1]SuSa_2025!$B:$B,0)),"0")</f>
        <v>8</v>
      </c>
      <c r="AY3" s="8">
        <f>IFERROR(INDEX([1]SuSa_2025!AU:AU,MATCH($B3,[1]SuSa_2025!$B:$B,0)),"0")</f>
        <v>8</v>
      </c>
      <c r="AZ3" s="8">
        <f>IFERROR(INDEX([1]SuSa_2025!AV:AV,MATCH($B3,[1]SuSa_2025!$B:$B,0)),"0")</f>
        <v>8</v>
      </c>
      <c r="BA3" s="8">
        <f>IFERROR(INDEX([1]SuSa_2025!AW:AW,MATCH($B3,[1]SuSa_2025!$B:$B,0)),"0")</f>
        <v>8</v>
      </c>
      <c r="BB3" s="8">
        <f>IFERROR(INDEX([1]SuSa_2025!AX:AX,MATCH($B3,[1]SuSa_2025!$B:$B,0)),"0")</f>
        <v>8</v>
      </c>
    </row>
    <row r="4" spans="1:55" outlineLevel="1" collapsed="1" x14ac:dyDescent="0.25">
      <c r="A4" s="5" t="s">
        <v>57</v>
      </c>
      <c r="B4" s="6" t="s">
        <v>58</v>
      </c>
      <c r="C4" t="s">
        <v>59</v>
      </c>
      <c r="F4" s="7">
        <f t="shared" si="0"/>
        <v>0</v>
      </c>
      <c r="G4" s="7">
        <f t="shared" si="1"/>
        <v>0</v>
      </c>
      <c r="H4" s="7" t="str">
        <f t="shared" si="2"/>
        <v>0</v>
      </c>
      <c r="I4" s="7" t="str">
        <f t="shared" si="3"/>
        <v>0</v>
      </c>
      <c r="K4" s="8" t="str">
        <f t="shared" si="4"/>
        <v>0</v>
      </c>
      <c r="L4" s="8">
        <v>-10762.73</v>
      </c>
      <c r="M4" s="8">
        <v>-21525.48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AJ4" s="8" t="str">
        <f>IFERROR(INDEX([1]SuSa_2024!BN:BN,MATCH($B4,[1]SuSa_2024!$B:$B,0)),"0")</f>
        <v>0</v>
      </c>
      <c r="AK4" s="8" t="str">
        <f>IFERROR(INDEX([1]SuSa_2024!BO:BO,MATCH($B4,[1]SuSa_2024!$B:$B,0)),"0")</f>
        <v>0</v>
      </c>
      <c r="AL4" s="8" t="str">
        <f>IFERROR(INDEX([1]SuSa_2024!BP:BP,MATCH($B4,[1]SuSa_2024!$B:$B,0)),"0")</f>
        <v>0</v>
      </c>
      <c r="AM4" s="8" t="str">
        <f>IFERROR(INDEX([1]SuSa_2024!BQ:BQ,MATCH($B4,[1]SuSa_2024!$B:$B,0)),"0")</f>
        <v>0</v>
      </c>
      <c r="AN4" s="8" t="str">
        <f>IFERROR(INDEX([1]SuSa_2024!BR:BR,MATCH($B4,[1]SuSa_2024!$B:$B,0)),"0")</f>
        <v>0</v>
      </c>
      <c r="AO4" s="8" t="str">
        <f>IFERROR(INDEX([1]SuSa_2024!BS:BS,MATCH($B4,[1]SuSa_2024!$B:$B,0)),"0")</f>
        <v>0</v>
      </c>
      <c r="AP4" s="8" t="str">
        <f>IFERROR(INDEX([1]SuSa_2024!BT:BT,MATCH($B4,[1]SuSa_2024!$B:$B,0)),"0")</f>
        <v>0</v>
      </c>
      <c r="AQ4" s="8" t="str">
        <f>IFERROR(INDEX([1]SuSa_2024!BU:BU,MATCH($B4,[1]SuSa_2024!$B:$B,0)),"0")</f>
        <v>0</v>
      </c>
      <c r="AR4" s="8" t="str">
        <f>IFERROR(INDEX([1]SuSa_2024!BV:BV,MATCH($B4,[1]SuSa_2024!$B:$B,0)),"0")</f>
        <v>0</v>
      </c>
      <c r="AS4" s="8" t="str">
        <f>IFERROR(INDEX([1]SuSa_2024!BW:BW,MATCH($B4,[1]SuSa_2024!$B:$B,0)),"0")</f>
        <v>0</v>
      </c>
      <c r="AT4" s="8" t="str">
        <f>IFERROR(INDEX([1]SuSa_2024!BX:BX,MATCH($B4,[1]SuSa_2024!$B:$B,0)),"0")</f>
        <v>0</v>
      </c>
      <c r="AU4" s="8" t="str">
        <f>IFERROR(INDEX([1]SuSa_2024!BY:BY,MATCH($B4,[1]SuSa_2024!$B:$B,0)),"0")</f>
        <v>0</v>
      </c>
      <c r="AV4" s="8" t="str">
        <f>IFERROR(INDEX([1]SuSa_2025!AR:AR,MATCH($B4,[1]SuSa_2025!$B:$B,0)),"0")</f>
        <v>0</v>
      </c>
      <c r="AW4" s="8" t="str">
        <f>IFERROR(INDEX([1]SuSa_2025!AS:AS,MATCH($B4,[1]SuSa_2025!$B:$B,0)),"0")</f>
        <v>0</v>
      </c>
      <c r="AX4" s="8" t="str">
        <f>IFERROR(INDEX([1]SuSa_2025!AT:AT,MATCH($B4,[1]SuSa_2025!$B:$B,0)),"0")</f>
        <v>0</v>
      </c>
      <c r="AY4" s="8" t="str">
        <f>IFERROR(INDEX([1]SuSa_2025!AU:AU,MATCH($B4,[1]SuSa_2025!$B:$B,0)),"0")</f>
        <v>0</v>
      </c>
      <c r="AZ4" s="8" t="str">
        <f>IFERROR(INDEX([1]SuSa_2025!AV:AV,MATCH($B4,[1]SuSa_2025!$B:$B,0)),"0")</f>
        <v>0</v>
      </c>
      <c r="BA4" s="8" t="str">
        <f>IFERROR(INDEX([1]SuSa_2025!AW:AW,MATCH($B4,[1]SuSa_2025!$B:$B,0)),"0")</f>
        <v>0</v>
      </c>
      <c r="BB4" s="8" t="str">
        <f>IFERROR(INDEX([1]SuSa_2025!AX:AX,MATCH($B4,[1]SuSa_2025!$B:$B,0)),"0")</f>
        <v>0</v>
      </c>
    </row>
    <row r="5" spans="1:55" outlineLevel="1" collapsed="1" x14ac:dyDescent="0.25">
      <c r="A5" s="5" t="s">
        <v>60</v>
      </c>
      <c r="B5" s="6" t="s">
        <v>61</v>
      </c>
      <c r="C5" t="s">
        <v>62</v>
      </c>
      <c r="F5" s="7">
        <f t="shared" si="0"/>
        <v>0</v>
      </c>
      <c r="G5" s="7">
        <f t="shared" si="1"/>
        <v>0</v>
      </c>
      <c r="H5" s="7">
        <f t="shared" si="2"/>
        <v>0</v>
      </c>
      <c r="I5" s="7">
        <f t="shared" si="3"/>
        <v>0</v>
      </c>
      <c r="K5" s="8">
        <f t="shared" si="4"/>
        <v>0</v>
      </c>
      <c r="AJ5" s="8">
        <f>IFERROR(INDEX([1]SuSa_2024!BN:BN,MATCH($B5,[1]SuSa_2024!$B:$B,0)),"0")</f>
        <v>0</v>
      </c>
      <c r="AK5" s="8">
        <f>IFERROR(INDEX([1]SuSa_2024!BO:BO,MATCH($B5,[1]SuSa_2024!$B:$B,0)),"0")</f>
        <v>0</v>
      </c>
      <c r="AL5" s="8">
        <f>IFERROR(INDEX([1]SuSa_2024!BP:BP,MATCH($B5,[1]SuSa_2024!$B:$B,0)),"0")</f>
        <v>0</v>
      </c>
      <c r="AM5" s="8">
        <f>IFERROR(INDEX([1]SuSa_2024!BQ:BQ,MATCH($B5,[1]SuSa_2024!$B:$B,0)),"0")</f>
        <v>0</v>
      </c>
      <c r="AN5" s="8">
        <f>IFERROR(INDEX([1]SuSa_2024!BR:BR,MATCH($B5,[1]SuSa_2024!$B:$B,0)),"0")</f>
        <v>0</v>
      </c>
      <c r="AO5" s="8">
        <f>IFERROR(INDEX([1]SuSa_2024!BS:BS,MATCH($B5,[1]SuSa_2024!$B:$B,0)),"0")</f>
        <v>0</v>
      </c>
      <c r="AP5" s="8">
        <f>IFERROR(INDEX([1]SuSa_2024!BT:BT,MATCH($B5,[1]SuSa_2024!$B:$B,0)),"0")</f>
        <v>0</v>
      </c>
      <c r="AQ5" s="8">
        <f>IFERROR(INDEX([1]SuSa_2024!BU:BU,MATCH($B5,[1]SuSa_2024!$B:$B,0)),"0")</f>
        <v>0</v>
      </c>
      <c r="AR5" s="8">
        <f>IFERROR(INDEX([1]SuSa_2024!BV:BV,MATCH($B5,[1]SuSa_2024!$B:$B,0)),"0")</f>
        <v>0</v>
      </c>
      <c r="AS5" s="8">
        <f>IFERROR(INDEX([1]SuSa_2024!BW:BW,MATCH($B5,[1]SuSa_2024!$B:$B,0)),"0")</f>
        <v>0</v>
      </c>
      <c r="AT5" s="8">
        <f>IFERROR(INDEX([1]SuSa_2024!BX:BX,MATCH($B5,[1]SuSa_2024!$B:$B,0)),"0")</f>
        <v>0</v>
      </c>
      <c r="AU5" s="8">
        <f>IFERROR(INDEX([1]SuSa_2024!BY:BY,MATCH($B5,[1]SuSa_2024!$B:$B,0)),"0")</f>
        <v>0</v>
      </c>
      <c r="AV5" s="8">
        <f>IFERROR(INDEX([1]SuSa_2025!AR:AR,MATCH($B5,[1]SuSa_2025!$B:$B,0)),"0")</f>
        <v>0</v>
      </c>
      <c r="AW5" s="8">
        <f>IFERROR(INDEX([1]SuSa_2025!AS:AS,MATCH($B5,[1]SuSa_2025!$B:$B,0)),"0")</f>
        <v>0</v>
      </c>
      <c r="AX5" s="8">
        <f>IFERROR(INDEX([1]SuSa_2025!AT:AT,MATCH($B5,[1]SuSa_2025!$B:$B,0)),"0")</f>
        <v>0</v>
      </c>
      <c r="AY5" s="8">
        <f>IFERROR(INDEX([1]SuSa_2025!AU:AU,MATCH($B5,[1]SuSa_2025!$B:$B,0)),"0")</f>
        <v>0</v>
      </c>
      <c r="AZ5" s="8">
        <f>IFERROR(INDEX([1]SuSa_2025!AV:AV,MATCH($B5,[1]SuSa_2025!$B:$B,0)),"0")</f>
        <v>0</v>
      </c>
      <c r="BA5" s="8">
        <f>IFERROR(INDEX([1]SuSa_2025!AW:AW,MATCH($B5,[1]SuSa_2025!$B:$B,0)),"0")</f>
        <v>0</v>
      </c>
      <c r="BB5" s="8">
        <f>IFERROR(INDEX([1]SuSa_2025!AX:AX,MATCH($B5,[1]SuSa_2025!$B:$B,0)),"0")</f>
        <v>0</v>
      </c>
    </row>
    <row r="6" spans="1:55" outlineLevel="1" collapsed="1" x14ac:dyDescent="0.25">
      <c r="A6" s="5" t="s">
        <v>63</v>
      </c>
      <c r="B6" s="6" t="s">
        <v>64</v>
      </c>
      <c r="C6" t="s">
        <v>65</v>
      </c>
      <c r="F6" s="7">
        <f t="shared" si="0"/>
        <v>6122</v>
      </c>
      <c r="G6" s="7">
        <f t="shared" si="1"/>
        <v>4718</v>
      </c>
      <c r="H6" s="7">
        <f t="shared" si="2"/>
        <v>3658.0000000000009</v>
      </c>
      <c r="I6" s="7">
        <f t="shared" si="3"/>
        <v>3112.02</v>
      </c>
      <c r="K6" s="8">
        <f t="shared" si="4"/>
        <v>4048.0200000000009</v>
      </c>
      <c r="L6" s="8">
        <v>4430.1099999999997</v>
      </c>
      <c r="M6" s="8">
        <v>4296.1899999999996</v>
      </c>
      <c r="N6" s="8">
        <v>4162.3</v>
      </c>
      <c r="O6" s="8">
        <v>4028.36</v>
      </c>
      <c r="P6" s="8">
        <v>3771.27</v>
      </c>
      <c r="Q6" s="8">
        <v>3648.54</v>
      </c>
      <c r="R6" s="8">
        <v>3525.77</v>
      </c>
      <c r="S6" s="8">
        <v>3403.02</v>
      </c>
      <c r="T6" s="8">
        <v>3280.29</v>
      </c>
      <c r="U6" s="8">
        <v>3157.52</v>
      </c>
      <c r="V6" s="8">
        <v>3034.77</v>
      </c>
      <c r="W6" s="8">
        <v>6122</v>
      </c>
      <c r="X6" s="8">
        <v>5977.86</v>
      </c>
      <c r="Y6" s="8">
        <v>5833.69</v>
      </c>
      <c r="Z6" s="8">
        <v>5689.55</v>
      </c>
      <c r="AA6" s="8">
        <v>5545.36</v>
      </c>
      <c r="AB6" s="8">
        <v>5441.94</v>
      </c>
      <c r="AC6" s="8">
        <v>5338.55</v>
      </c>
      <c r="AD6" s="8">
        <v>5235.1099999999997</v>
      </c>
      <c r="AE6" s="8">
        <v>5131.6899999999996</v>
      </c>
      <c r="AF6" s="8">
        <v>5028.3</v>
      </c>
      <c r="AG6" s="8">
        <v>4924.8599999999997</v>
      </c>
      <c r="AH6" s="8">
        <v>4821.4399999999996</v>
      </c>
      <c r="AI6" s="8">
        <v>4718</v>
      </c>
      <c r="AJ6" s="8">
        <f>IFERROR(INDEX([1]SuSa_2024!BN:BN,MATCH($B6,[1]SuSa_2024!$B:$B,0)),"0")</f>
        <v>4615.22</v>
      </c>
      <c r="AK6" s="8">
        <f>IFERROR(INDEX([1]SuSa_2024!BO:BO,MATCH($B6,[1]SuSa_2024!$B:$B,0)),"0")</f>
        <v>4512.42</v>
      </c>
      <c r="AL6" s="8">
        <f>IFERROR(INDEX([1]SuSa_2024!BP:BP,MATCH($B6,[1]SuSa_2024!$B:$B,0)),"0")</f>
        <v>4409.6400000000003</v>
      </c>
      <c r="AM6" s="8">
        <f>IFERROR(INDEX([1]SuSa_2024!BQ:BQ,MATCH($B6,[1]SuSa_2024!$B:$B,0)),"0")</f>
        <v>4306.8200000000006</v>
      </c>
      <c r="AN6" s="8">
        <f>IFERROR(INDEX([1]SuSa_2024!BR:BR,MATCH($B6,[1]SuSa_2024!$B:$B,0)),"0")</f>
        <v>4204.0200000000004</v>
      </c>
      <c r="AO6" s="8">
        <f>IFERROR(INDEX([1]SuSa_2024!BS:BS,MATCH($B6,[1]SuSa_2024!$B:$B,0)),"0")</f>
        <v>4126.0400000000009</v>
      </c>
      <c r="AP6" s="8">
        <f>IFERROR(INDEX([1]SuSa_2024!BT:BT,MATCH($B6,[1]SuSa_2024!$B:$B,0)),"0")</f>
        <v>4048.0200000000009</v>
      </c>
      <c r="AQ6" s="8">
        <f>IFERROR(INDEX([1]SuSa_2024!BU:BU,MATCH($B6,[1]SuSa_2024!$B:$B,0)),"0")</f>
        <v>3970.0200000000009</v>
      </c>
      <c r="AR6" s="8">
        <f>IFERROR(INDEX([1]SuSa_2024!BV:BV,MATCH($B6,[1]SuSa_2024!$B:$B,0)),"0")</f>
        <v>3892.0400000000009</v>
      </c>
      <c r="AS6" s="8">
        <f>IFERROR(INDEX([1]SuSa_2024!BW:BW,MATCH($B6,[1]SuSa_2024!$B:$B,0)),"0")</f>
        <v>3814.0200000000009</v>
      </c>
      <c r="AT6" s="8">
        <f>IFERROR(INDEX([1]SuSa_2024!BX:BX,MATCH($B6,[1]SuSa_2024!$B:$B,0)),"0")</f>
        <v>3736.0200000000009</v>
      </c>
      <c r="AU6" s="8">
        <f>IFERROR(INDEX([1]SuSa_2024!BY:BY,MATCH($B6,[1]SuSa_2024!$B:$B,0)),"0")</f>
        <v>3658.0000000000009</v>
      </c>
      <c r="AV6" s="8">
        <f>IFERROR(INDEX([1]SuSa_2025!AR:AR,MATCH($B6,[1]SuSa_2025!$B:$B,0)),"0")</f>
        <v>3580.02</v>
      </c>
      <c r="AW6" s="8">
        <f>IFERROR(INDEX([1]SuSa_2025!AS:AS,MATCH($B6,[1]SuSa_2025!$B:$B,0)),"0")</f>
        <v>3502.02</v>
      </c>
      <c r="AX6" s="8">
        <f>IFERROR(INDEX([1]SuSa_2025!AT:AT,MATCH($B6,[1]SuSa_2025!$B:$B,0)),"0")</f>
        <v>3424.04</v>
      </c>
      <c r="AY6" s="8">
        <f>IFERROR(INDEX([1]SuSa_2025!AU:AU,MATCH($B6,[1]SuSa_2025!$B:$B,0)),"0")</f>
        <v>3424.04</v>
      </c>
      <c r="AZ6" s="8">
        <f>IFERROR(INDEX([1]SuSa_2025!AV:AV,MATCH($B6,[1]SuSa_2025!$B:$B,0)),"0")</f>
        <v>3424.04</v>
      </c>
      <c r="BA6" s="8">
        <f>IFERROR(INDEX([1]SuSa_2025!AW:AW,MATCH($B6,[1]SuSa_2025!$B:$B,0)),"0")</f>
        <v>3190.04</v>
      </c>
      <c r="BB6" s="8">
        <f>IFERROR(INDEX([1]SuSa_2025!AX:AX,MATCH($B6,[1]SuSa_2025!$B:$B,0)),"0")</f>
        <v>3112.02</v>
      </c>
    </row>
    <row r="7" spans="1:55" outlineLevel="1" collapsed="1" x14ac:dyDescent="0.25">
      <c r="A7" s="5" t="s">
        <v>66</v>
      </c>
      <c r="B7" s="6" t="s">
        <v>67</v>
      </c>
      <c r="C7" t="s">
        <v>68</v>
      </c>
      <c r="F7" s="7">
        <f t="shared" si="0"/>
        <v>132748</v>
      </c>
      <c r="G7" s="7">
        <f t="shared" si="1"/>
        <v>55967</v>
      </c>
      <c r="H7" s="7">
        <f t="shared" si="2"/>
        <v>43706</v>
      </c>
      <c r="I7" s="7">
        <f t="shared" si="3"/>
        <v>36730.19</v>
      </c>
      <c r="K7" s="8">
        <f t="shared" si="4"/>
        <v>48814.78</v>
      </c>
      <c r="L7" s="8">
        <v>153711.28</v>
      </c>
      <c r="M7" s="8">
        <v>151805.53</v>
      </c>
      <c r="N7" s="8">
        <v>149899.81</v>
      </c>
      <c r="O7" s="8">
        <v>147994.03</v>
      </c>
      <c r="P7" s="8">
        <v>146088.28</v>
      </c>
      <c r="Q7" s="8">
        <v>144182.56</v>
      </c>
      <c r="R7" s="8">
        <v>147235.12</v>
      </c>
      <c r="S7" s="8">
        <v>145301.37</v>
      </c>
      <c r="T7" s="8">
        <v>143360.82</v>
      </c>
      <c r="U7" s="8">
        <v>141420.20000000001</v>
      </c>
      <c r="V7" s="8">
        <v>139479.62</v>
      </c>
      <c r="W7" s="8">
        <v>132748</v>
      </c>
      <c r="X7" s="8">
        <v>130842.28</v>
      </c>
      <c r="Y7" s="8">
        <v>128936.53</v>
      </c>
      <c r="Z7" s="8">
        <v>127030.81</v>
      </c>
      <c r="AA7" s="8">
        <v>125125.03</v>
      </c>
      <c r="AB7" s="8">
        <v>123219.28</v>
      </c>
      <c r="AC7" s="8">
        <v>121313.56</v>
      </c>
      <c r="AD7" s="8">
        <v>119407.78</v>
      </c>
      <c r="AE7" s="8">
        <v>117502.03</v>
      </c>
      <c r="AF7" s="8">
        <v>115596.31</v>
      </c>
      <c r="AG7" s="8">
        <v>113690.53</v>
      </c>
      <c r="AH7" s="8">
        <v>111784.78</v>
      </c>
      <c r="AI7" s="8">
        <v>55967</v>
      </c>
      <c r="AJ7" s="8">
        <f>IFERROR(INDEX([1]SuSa_2024!BN:BN,MATCH($B7,[1]SuSa_2024!$B:$B,0)),"0")</f>
        <v>54061.279999999999</v>
      </c>
      <c r="AK7" s="8">
        <f>IFERROR(INDEX([1]SuSa_2024!BO:BO,MATCH($B7,[1]SuSa_2024!$B:$B,0)),"0")</f>
        <v>52155.53</v>
      </c>
      <c r="AL7" s="8">
        <f>IFERROR(INDEX([1]SuSa_2024!BP:BP,MATCH($B7,[1]SuSa_2024!$B:$B,0)),"0")</f>
        <v>50249.81</v>
      </c>
      <c r="AM7" s="8">
        <f>IFERROR(INDEX([1]SuSa_2024!BQ:BQ,MATCH($B7,[1]SuSa_2024!$B:$B,0)),"0")</f>
        <v>48344.03</v>
      </c>
      <c r="AN7" s="8">
        <f>IFERROR(INDEX([1]SuSa_2024!BR:BR,MATCH($B7,[1]SuSa_2024!$B:$B,0)),"0")</f>
        <v>50858.28</v>
      </c>
      <c r="AO7" s="8">
        <f>IFERROR(INDEX([1]SuSa_2024!BS:BS,MATCH($B7,[1]SuSa_2024!$B:$B,0)),"0")</f>
        <v>49836.56</v>
      </c>
      <c r="AP7" s="8">
        <f>IFERROR(INDEX([1]SuSa_2024!BT:BT,MATCH($B7,[1]SuSa_2024!$B:$B,0)),"0")</f>
        <v>48814.78</v>
      </c>
      <c r="AQ7" s="8">
        <f>IFERROR(INDEX([1]SuSa_2024!BU:BU,MATCH($B7,[1]SuSa_2024!$B:$B,0)),"0")</f>
        <v>47793.03</v>
      </c>
      <c r="AR7" s="8">
        <f>IFERROR(INDEX([1]SuSa_2024!BV:BV,MATCH($B7,[1]SuSa_2024!$B:$B,0)),"0")</f>
        <v>46771.31</v>
      </c>
      <c r="AS7" s="8">
        <f>IFERROR(INDEX([1]SuSa_2024!BW:BW,MATCH($B7,[1]SuSa_2024!$B:$B,0)),"0")</f>
        <v>45749.53</v>
      </c>
      <c r="AT7" s="8">
        <f>IFERROR(INDEX([1]SuSa_2024!BX:BX,MATCH($B7,[1]SuSa_2024!$B:$B,0)),"0")</f>
        <v>44727.78</v>
      </c>
      <c r="AU7" s="8">
        <f>IFERROR(INDEX([1]SuSa_2024!BY:BY,MATCH($B7,[1]SuSa_2024!$B:$B,0)),"0")</f>
        <v>43706</v>
      </c>
      <c r="AV7" s="8">
        <f>IFERROR(INDEX([1]SuSa_2025!AR:AR,MATCH($B7,[1]SuSa_2025!$B:$B,0)),"0")</f>
        <v>42687.19</v>
      </c>
      <c r="AW7" s="8">
        <f>IFERROR(INDEX([1]SuSa_2025!AS:AS,MATCH($B7,[1]SuSa_2025!$B:$B,0)),"0")</f>
        <v>41694.36</v>
      </c>
      <c r="AX7" s="8">
        <f>IFERROR(INDEX([1]SuSa_2025!AT:AT,MATCH($B7,[1]SuSa_2025!$B:$B,0)),"0")</f>
        <v>40701.550000000003</v>
      </c>
      <c r="AY7" s="8">
        <f>IFERROR(INDEX([1]SuSa_2025!AU:AU,MATCH($B7,[1]SuSa_2025!$B:$B,0)),"0")</f>
        <v>40701.550000000003</v>
      </c>
      <c r="AZ7" s="8">
        <f>IFERROR(INDEX([1]SuSa_2025!AV:AV,MATCH($B7,[1]SuSa_2025!$B:$B,0)),"0")</f>
        <v>40701.550000000003</v>
      </c>
      <c r="BA7" s="8">
        <f>IFERROR(INDEX([1]SuSa_2025!AW:AW,MATCH($B7,[1]SuSa_2025!$B:$B,0)),"0")</f>
        <v>37723.050000000003</v>
      </c>
      <c r="BB7" s="8">
        <f>IFERROR(INDEX([1]SuSa_2025!AX:AX,MATCH($B7,[1]SuSa_2025!$B:$B,0)),"0")</f>
        <v>36730.19</v>
      </c>
    </row>
    <row r="8" spans="1:55" outlineLevel="1" collapsed="1" x14ac:dyDescent="0.25">
      <c r="A8" s="5" t="s">
        <v>69</v>
      </c>
      <c r="B8" s="6" t="s">
        <v>70</v>
      </c>
      <c r="C8" t="s">
        <v>71</v>
      </c>
      <c r="F8" s="7">
        <f t="shared" si="0"/>
        <v>48505</v>
      </c>
      <c r="G8" s="7">
        <f t="shared" si="1"/>
        <v>46605</v>
      </c>
      <c r="H8" s="7">
        <f t="shared" si="2"/>
        <v>26193.000000000007</v>
      </c>
      <c r="I8" s="7">
        <f t="shared" si="3"/>
        <v>16112.419999999998</v>
      </c>
      <c r="K8" s="8">
        <f t="shared" si="4"/>
        <v>35232.140000000007</v>
      </c>
      <c r="L8" s="8">
        <v>52564.13</v>
      </c>
      <c r="M8" s="8">
        <v>56168.41</v>
      </c>
      <c r="N8" s="8">
        <v>54632.19</v>
      </c>
      <c r="O8" s="8">
        <v>57873.5</v>
      </c>
      <c r="P8" s="8">
        <v>55412.54</v>
      </c>
      <c r="Q8" s="8">
        <v>55283.05</v>
      </c>
      <c r="R8" s="8">
        <v>55383.83</v>
      </c>
      <c r="S8" s="8">
        <v>55732.34</v>
      </c>
      <c r="T8" s="8">
        <v>53104.09</v>
      </c>
      <c r="U8" s="8">
        <v>50533.36</v>
      </c>
      <c r="V8" s="8">
        <v>47962.81</v>
      </c>
      <c r="W8" s="8">
        <v>48505</v>
      </c>
      <c r="X8" s="8">
        <v>46408.87</v>
      </c>
      <c r="Y8" s="8">
        <v>43876.01</v>
      </c>
      <c r="Z8" s="8">
        <v>41489.370000000003</v>
      </c>
      <c r="AA8" s="8">
        <v>44124.73</v>
      </c>
      <c r="AB8" s="8">
        <v>45126.63</v>
      </c>
      <c r="AC8" s="8">
        <v>48303.08</v>
      </c>
      <c r="AD8" s="8">
        <v>46616.62</v>
      </c>
      <c r="AE8" s="8">
        <v>47529.43</v>
      </c>
      <c r="AF8" s="8">
        <v>45343.41</v>
      </c>
      <c r="AG8" s="8">
        <v>43249.91</v>
      </c>
      <c r="AH8" s="8">
        <v>48774.36</v>
      </c>
      <c r="AI8" s="8">
        <v>46605</v>
      </c>
      <c r="AJ8" s="8">
        <f>IFERROR(INDEX([1]SuSa_2024!BN:BN,MATCH($B8,[1]SuSa_2024!$B:$B,0)),"0")</f>
        <v>45240.35</v>
      </c>
      <c r="AK8" s="8">
        <f>IFERROR(INDEX([1]SuSa_2024!BO:BO,MATCH($B8,[1]SuSa_2024!$B:$B,0)),"0")</f>
        <v>44743.82</v>
      </c>
      <c r="AL8" s="8">
        <f>IFERROR(INDEX([1]SuSa_2024!BP:BP,MATCH($B8,[1]SuSa_2024!$B:$B,0)),"0")</f>
        <v>45407.71</v>
      </c>
      <c r="AM8" s="8">
        <f>IFERROR(INDEX([1]SuSa_2024!BQ:BQ,MATCH($B8,[1]SuSa_2024!$B:$B,0)),"0")</f>
        <v>42705.51</v>
      </c>
      <c r="AN8" s="8">
        <f>IFERROR(INDEX([1]SuSa_2024!BR:BR,MATCH($B8,[1]SuSa_2024!$B:$B,0)),"0")</f>
        <v>42070.490000000005</v>
      </c>
      <c r="AO8" s="8">
        <f>IFERROR(INDEX([1]SuSa_2024!BS:BS,MATCH($B8,[1]SuSa_2024!$B:$B,0)),"0")</f>
        <v>37133.210000000006</v>
      </c>
      <c r="AP8" s="8">
        <f>IFERROR(INDEX([1]SuSa_2024!BT:BT,MATCH($B8,[1]SuSa_2024!$B:$B,0)),"0")</f>
        <v>35232.140000000007</v>
      </c>
      <c r="AQ8" s="8">
        <f>IFERROR(INDEX([1]SuSa_2024!BU:BU,MATCH($B8,[1]SuSa_2024!$B:$B,0)),"0")</f>
        <v>33331.260000000009</v>
      </c>
      <c r="AR8" s="8">
        <f>IFERROR(INDEX([1]SuSa_2024!BV:BV,MATCH($B8,[1]SuSa_2024!$B:$B,0)),"0")</f>
        <v>31448.720000000008</v>
      </c>
      <c r="AS8" s="8">
        <f>IFERROR(INDEX([1]SuSa_2024!BW:BW,MATCH($B8,[1]SuSa_2024!$B:$B,0)),"0")</f>
        <v>29571.540000000008</v>
      </c>
      <c r="AT8" s="8">
        <f>IFERROR(INDEX([1]SuSa_2024!BX:BX,MATCH($B8,[1]SuSa_2024!$B:$B,0)),"0")</f>
        <v>27795.380000000008</v>
      </c>
      <c r="AU8" s="8">
        <f>IFERROR(INDEX([1]SuSa_2024!BY:BY,MATCH($B8,[1]SuSa_2024!$B:$B,0)),"0")</f>
        <v>26193.000000000007</v>
      </c>
      <c r="AV8" s="8">
        <f>IFERROR(INDEX([1]SuSa_2025!AR:AR,MATCH($B8,[1]SuSa_2025!$B:$B,0)),"0")</f>
        <v>24442.74</v>
      </c>
      <c r="AW8" s="8">
        <f>IFERROR(INDEX([1]SuSa_2025!AS:AS,MATCH($B8,[1]SuSa_2025!$B:$B,0)),"0")</f>
        <v>22816.32</v>
      </c>
      <c r="AX8" s="8">
        <f>IFERROR(INDEX([1]SuSa_2025!AT:AT,MATCH($B8,[1]SuSa_2025!$B:$B,0)),"0")</f>
        <v>21256.05</v>
      </c>
      <c r="AY8" s="8">
        <f>IFERROR(INDEX([1]SuSa_2025!AU:AU,MATCH($B8,[1]SuSa_2025!$B:$B,0)),"0")</f>
        <v>21256.05</v>
      </c>
      <c r="AZ8" s="8">
        <f>IFERROR(INDEX([1]SuSa_2025!AV:AV,MATCH($B8,[1]SuSa_2025!$B:$B,0)),"0")</f>
        <v>21256.05</v>
      </c>
      <c r="BA8" s="8">
        <f>IFERROR(INDEX([1]SuSa_2025!AW:AW,MATCH($B8,[1]SuSa_2025!$B:$B,0)),"0")</f>
        <v>17326.509999999998</v>
      </c>
      <c r="BB8" s="8">
        <f>IFERROR(INDEX([1]SuSa_2025!AX:AX,MATCH($B8,[1]SuSa_2025!$B:$B,0)),"0")</f>
        <v>16112.419999999998</v>
      </c>
    </row>
    <row r="9" spans="1:55" outlineLevel="1" collapsed="1" x14ac:dyDescent="0.25">
      <c r="A9" s="5" t="s">
        <v>72</v>
      </c>
      <c r="B9" s="6" t="s">
        <v>73</v>
      </c>
      <c r="C9" t="s">
        <v>74</v>
      </c>
      <c r="F9" s="7">
        <f t="shared" si="0"/>
        <v>155929</v>
      </c>
      <c r="G9" s="7">
        <f t="shared" si="1"/>
        <v>134007</v>
      </c>
      <c r="H9" s="7">
        <f t="shared" si="2"/>
        <v>110365</v>
      </c>
      <c r="I9" s="7">
        <f t="shared" si="3"/>
        <v>101517.35</v>
      </c>
      <c r="K9" s="8">
        <f t="shared" si="4"/>
        <v>120128.81</v>
      </c>
      <c r="L9" s="8">
        <v>177618.05</v>
      </c>
      <c r="M9" s="8">
        <v>175641.05</v>
      </c>
      <c r="N9" s="8">
        <v>173664.1</v>
      </c>
      <c r="O9" s="8">
        <v>171687.05</v>
      </c>
      <c r="P9" s="8">
        <v>169717.3</v>
      </c>
      <c r="Q9" s="8">
        <v>167747.6</v>
      </c>
      <c r="R9" s="8">
        <v>165777.79999999999</v>
      </c>
      <c r="S9" s="8">
        <v>163808.04999999999</v>
      </c>
      <c r="T9" s="8">
        <v>161838.35</v>
      </c>
      <c r="U9" s="8">
        <v>159868.54999999999</v>
      </c>
      <c r="V9" s="8">
        <v>157898.79999999999</v>
      </c>
      <c r="W9" s="8">
        <v>155929</v>
      </c>
      <c r="X9" s="8">
        <v>153959.29999999999</v>
      </c>
      <c r="Y9" s="8">
        <v>151989.54999999999</v>
      </c>
      <c r="Z9" s="8">
        <v>150019.85</v>
      </c>
      <c r="AA9" s="8">
        <v>149868.01</v>
      </c>
      <c r="AB9" s="8">
        <v>147885.39000000001</v>
      </c>
      <c r="AC9" s="8">
        <v>145902.82</v>
      </c>
      <c r="AD9" s="8">
        <v>143920.15</v>
      </c>
      <c r="AE9" s="8">
        <v>141937.53</v>
      </c>
      <c r="AF9" s="8">
        <v>139954.96</v>
      </c>
      <c r="AG9" s="8">
        <v>137972.29</v>
      </c>
      <c r="AH9" s="8">
        <v>135989.67000000001</v>
      </c>
      <c r="AI9" s="8">
        <v>134007</v>
      </c>
      <c r="AJ9" s="8">
        <f>IFERROR(INDEX([1]SuSa_2024!BN:BN,MATCH($B9,[1]SuSa_2024!$B:$B,0)),"0")</f>
        <v>132024.73000000001</v>
      </c>
      <c r="AK9" s="8">
        <f>IFERROR(INDEX([1]SuSa_2024!BO:BO,MATCH($B9,[1]SuSa_2024!$B:$B,0)),"0")</f>
        <v>130042.41</v>
      </c>
      <c r="AL9" s="8">
        <f>IFERROR(INDEX([1]SuSa_2024!BP:BP,MATCH($B9,[1]SuSa_2024!$B:$B,0)),"0")</f>
        <v>128060.14</v>
      </c>
      <c r="AM9" s="8">
        <f>IFERROR(INDEX([1]SuSa_2024!BQ:BQ,MATCH($B9,[1]SuSa_2024!$B:$B,0)),"0")</f>
        <v>126075.77</v>
      </c>
      <c r="AN9" s="8">
        <f>IFERROR(INDEX([1]SuSa_2024!BR:BR,MATCH($B9,[1]SuSa_2024!$B:$B,0)),"0")</f>
        <v>124093.45</v>
      </c>
      <c r="AO9" s="8">
        <f>IFERROR(INDEX([1]SuSa_2024!BS:BS,MATCH($B9,[1]SuSa_2024!$B:$B,0)),"0")</f>
        <v>122111.18</v>
      </c>
      <c r="AP9" s="8">
        <f>IFERROR(INDEX([1]SuSa_2024!BT:BT,MATCH($B9,[1]SuSa_2024!$B:$B,0)),"0")</f>
        <v>120128.81</v>
      </c>
      <c r="AQ9" s="8">
        <f>IFERROR(INDEX([1]SuSa_2024!BU:BU,MATCH($B9,[1]SuSa_2024!$B:$B,0)),"0")</f>
        <v>118176.05</v>
      </c>
      <c r="AR9" s="8">
        <f>IFERROR(INDEX([1]SuSa_2024!BV:BV,MATCH($B9,[1]SuSa_2024!$B:$B,0)),"0")</f>
        <v>116223.35</v>
      </c>
      <c r="AS9" s="8">
        <f>IFERROR(INDEX([1]SuSa_2024!BW:BW,MATCH($B9,[1]SuSa_2024!$B:$B,0)),"0")</f>
        <v>114270.55</v>
      </c>
      <c r="AT9" s="8">
        <f>IFERROR(INDEX([1]SuSa_2024!BX:BX,MATCH($B9,[1]SuSa_2024!$B:$B,0)),"0")</f>
        <v>112317.8</v>
      </c>
      <c r="AU9" s="8">
        <f>IFERROR(INDEX([1]SuSa_2024!BY:BY,MATCH($B9,[1]SuSa_2024!$B:$B,0)),"0")</f>
        <v>110365</v>
      </c>
      <c r="AV9" s="8">
        <f>IFERROR(INDEX([1]SuSa_2025!AR:AR,MATCH($B9,[1]SuSa_2025!$B:$B,0)),"0")</f>
        <v>108412.3</v>
      </c>
      <c r="AW9" s="8">
        <f>IFERROR(INDEX([1]SuSa_2025!AS:AS,MATCH($B9,[1]SuSa_2025!$B:$B,0)),"0")</f>
        <v>106459.55</v>
      </c>
      <c r="AX9" s="8">
        <f>IFERROR(INDEX([1]SuSa_2025!AT:AT,MATCH($B9,[1]SuSa_2025!$B:$B,0)),"0")</f>
        <v>104506.85</v>
      </c>
      <c r="AY9" s="8">
        <f>IFERROR(INDEX([1]SuSa_2025!AU:AU,MATCH($B9,[1]SuSa_2025!$B:$B,0)),"0")</f>
        <v>108713.57</v>
      </c>
      <c r="AZ9" s="8">
        <f>IFERROR(INDEX([1]SuSa_2025!AV:AV,MATCH($B9,[1]SuSa_2025!$B:$B,0)),"0")</f>
        <v>109895.91</v>
      </c>
      <c r="BA9" s="8">
        <f>IFERROR(INDEX([1]SuSa_2025!AW:AW,MATCH($B9,[1]SuSa_2025!$B:$B,0)),"0")</f>
        <v>103620.27</v>
      </c>
      <c r="BB9" s="8">
        <f>IFERROR(INDEX([1]SuSa_2025!AX:AX,MATCH($B9,[1]SuSa_2025!$B:$B,0)),"0")</f>
        <v>101517.35</v>
      </c>
    </row>
    <row r="10" spans="1:55" outlineLevel="1" collapsed="1" x14ac:dyDescent="0.25">
      <c r="A10" s="5" t="s">
        <v>75</v>
      </c>
      <c r="B10" s="6" t="s">
        <v>76</v>
      </c>
      <c r="C10" t="s">
        <v>77</v>
      </c>
      <c r="F10" s="7">
        <f t="shared" si="0"/>
        <v>27238</v>
      </c>
      <c r="G10" s="7">
        <f t="shared" si="1"/>
        <v>22796</v>
      </c>
      <c r="H10" s="7">
        <f t="shared" si="2"/>
        <v>18354</v>
      </c>
      <c r="I10" s="7">
        <f t="shared" si="3"/>
        <v>15762.84</v>
      </c>
      <c r="K10" s="8">
        <f t="shared" si="4"/>
        <v>20204.84</v>
      </c>
      <c r="L10" s="8">
        <v>31309.84</v>
      </c>
      <c r="M10" s="8">
        <v>30939.68</v>
      </c>
      <c r="N10" s="8">
        <v>30569.52</v>
      </c>
      <c r="O10" s="8">
        <v>30199.34</v>
      </c>
      <c r="P10" s="8">
        <v>29829.18</v>
      </c>
      <c r="Q10" s="8">
        <v>29459.02</v>
      </c>
      <c r="R10" s="8">
        <v>29088.84</v>
      </c>
      <c r="S10" s="8">
        <v>28718.68</v>
      </c>
      <c r="T10" s="8">
        <v>28348.52</v>
      </c>
      <c r="U10" s="8">
        <v>27978.34</v>
      </c>
      <c r="V10" s="8">
        <v>27608.18</v>
      </c>
      <c r="W10" s="8">
        <v>27238</v>
      </c>
      <c r="X10" s="8">
        <v>26867.84</v>
      </c>
      <c r="Y10" s="8">
        <v>26497.68</v>
      </c>
      <c r="Z10" s="8">
        <v>26127.52</v>
      </c>
      <c r="AA10" s="8">
        <v>25757.34</v>
      </c>
      <c r="AB10" s="8">
        <v>25387.18</v>
      </c>
      <c r="AC10" s="8">
        <v>25017.02</v>
      </c>
      <c r="AD10" s="8">
        <v>24646.84</v>
      </c>
      <c r="AE10" s="8">
        <v>24276.68</v>
      </c>
      <c r="AF10" s="8">
        <v>23906.52</v>
      </c>
      <c r="AG10" s="8">
        <v>23536.34</v>
      </c>
      <c r="AH10" s="8">
        <v>23166.18</v>
      </c>
      <c r="AI10" s="8">
        <v>22796</v>
      </c>
      <c r="AJ10" s="8">
        <f>IFERROR(INDEX([1]SuSa_2024!BN:BN,MATCH($B10,[1]SuSa_2024!$B:$B,0)),"0")</f>
        <v>22425.84</v>
      </c>
      <c r="AK10" s="8">
        <f>IFERROR(INDEX([1]SuSa_2024!BO:BO,MATCH($B10,[1]SuSa_2024!$B:$B,0)),"0")</f>
        <v>22055.68</v>
      </c>
      <c r="AL10" s="8">
        <f>IFERROR(INDEX([1]SuSa_2024!BP:BP,MATCH($B10,[1]SuSa_2024!$B:$B,0)),"0")</f>
        <v>21685.52</v>
      </c>
      <c r="AM10" s="8">
        <f>IFERROR(INDEX([1]SuSa_2024!BQ:BQ,MATCH($B10,[1]SuSa_2024!$B:$B,0)),"0")</f>
        <v>21315.34</v>
      </c>
      <c r="AN10" s="8">
        <f>IFERROR(INDEX([1]SuSa_2024!BR:BR,MATCH($B10,[1]SuSa_2024!$B:$B,0)),"0")</f>
        <v>20945.18</v>
      </c>
      <c r="AO10" s="8">
        <f>IFERROR(INDEX([1]SuSa_2024!BS:BS,MATCH($B10,[1]SuSa_2024!$B:$B,0)),"0")</f>
        <v>20575.02</v>
      </c>
      <c r="AP10" s="8">
        <f>IFERROR(INDEX([1]SuSa_2024!BT:BT,MATCH($B10,[1]SuSa_2024!$B:$B,0)),"0")</f>
        <v>20204.84</v>
      </c>
      <c r="AQ10" s="8">
        <f>IFERROR(INDEX([1]SuSa_2024!BU:BU,MATCH($B10,[1]SuSa_2024!$B:$B,0)),"0")</f>
        <v>19834.68</v>
      </c>
      <c r="AR10" s="8">
        <f>IFERROR(INDEX([1]SuSa_2024!BV:BV,MATCH($B10,[1]SuSa_2024!$B:$B,0)),"0")</f>
        <v>19464.52</v>
      </c>
      <c r="AS10" s="8">
        <f>IFERROR(INDEX([1]SuSa_2024!BW:BW,MATCH($B10,[1]SuSa_2024!$B:$B,0)),"0")</f>
        <v>19094.34</v>
      </c>
      <c r="AT10" s="8">
        <f>IFERROR(INDEX([1]SuSa_2024!BX:BX,MATCH($B10,[1]SuSa_2024!$B:$B,0)),"0")</f>
        <v>18724.18</v>
      </c>
      <c r="AU10" s="8">
        <f>IFERROR(INDEX([1]SuSa_2024!BY:BY,MATCH($B10,[1]SuSa_2024!$B:$B,0)),"0")</f>
        <v>18354</v>
      </c>
      <c r="AV10" s="8">
        <f>IFERROR(INDEX([1]SuSa_2025!AR:AR,MATCH($B10,[1]SuSa_2025!$B:$B,0)),"0")</f>
        <v>17983.84</v>
      </c>
      <c r="AW10" s="8">
        <f>IFERROR(INDEX([1]SuSa_2025!AS:AS,MATCH($B10,[1]SuSa_2025!$B:$B,0)),"0")</f>
        <v>17613.68</v>
      </c>
      <c r="AX10" s="8">
        <f>IFERROR(INDEX([1]SuSa_2025!AT:AT,MATCH($B10,[1]SuSa_2025!$B:$B,0)),"0")</f>
        <v>17243.52</v>
      </c>
      <c r="AY10" s="8">
        <f>IFERROR(INDEX([1]SuSa_2025!AU:AU,MATCH($B10,[1]SuSa_2025!$B:$B,0)),"0")</f>
        <v>17243.52</v>
      </c>
      <c r="AZ10" s="8">
        <f>IFERROR(INDEX([1]SuSa_2025!AV:AV,MATCH($B10,[1]SuSa_2025!$B:$B,0)),"0")</f>
        <v>17243.52</v>
      </c>
      <c r="BA10" s="8">
        <f>IFERROR(INDEX([1]SuSa_2025!AW:AW,MATCH($B10,[1]SuSa_2025!$B:$B,0)),"0")</f>
        <v>16133.02</v>
      </c>
      <c r="BB10" s="8">
        <f>IFERROR(INDEX([1]SuSa_2025!AX:AX,MATCH($B10,[1]SuSa_2025!$B:$B,0)),"0")</f>
        <v>15762.84</v>
      </c>
    </row>
    <row r="11" spans="1:55" outlineLevel="1" collapsed="1" x14ac:dyDescent="0.25">
      <c r="A11" s="5" t="s">
        <v>78</v>
      </c>
      <c r="B11" s="6" t="s">
        <v>79</v>
      </c>
      <c r="C11" t="s">
        <v>80</v>
      </c>
      <c r="F11" s="7">
        <f t="shared" si="0"/>
        <v>5147</v>
      </c>
      <c r="G11" s="7">
        <f t="shared" si="1"/>
        <v>3063</v>
      </c>
      <c r="H11" s="7">
        <f t="shared" si="2"/>
        <v>2120</v>
      </c>
      <c r="I11" s="7">
        <f t="shared" si="3"/>
        <v>1738.6</v>
      </c>
      <c r="K11" s="8">
        <f t="shared" si="4"/>
        <v>2773.29</v>
      </c>
      <c r="L11" s="8">
        <v>7420.66</v>
      </c>
      <c r="M11" s="8">
        <v>7207.23</v>
      </c>
      <c r="N11" s="8">
        <v>6993.89</v>
      </c>
      <c r="O11" s="8">
        <v>6780.41</v>
      </c>
      <c r="P11" s="8">
        <v>6575.98</v>
      </c>
      <c r="Q11" s="8">
        <v>6371.64</v>
      </c>
      <c r="R11" s="8">
        <v>6167.16</v>
      </c>
      <c r="S11" s="8">
        <v>5962.73</v>
      </c>
      <c r="T11" s="8">
        <v>5758.39</v>
      </c>
      <c r="U11" s="8">
        <v>5553.91</v>
      </c>
      <c r="V11" s="8">
        <v>5349.48</v>
      </c>
      <c r="W11" s="8">
        <v>5147</v>
      </c>
      <c r="X11" s="8">
        <v>4959.92</v>
      </c>
      <c r="Y11" s="8">
        <v>4772.78</v>
      </c>
      <c r="Z11" s="8">
        <v>4585.7</v>
      </c>
      <c r="AA11" s="8">
        <v>4398.5200000000004</v>
      </c>
      <c r="AB11" s="8">
        <v>4211.38</v>
      </c>
      <c r="AC11" s="8">
        <v>4035.5</v>
      </c>
      <c r="AD11" s="8">
        <v>3866.35</v>
      </c>
      <c r="AE11" s="8">
        <v>3697.24</v>
      </c>
      <c r="AF11" s="8">
        <v>3528.19</v>
      </c>
      <c r="AG11" s="8">
        <v>3359.05</v>
      </c>
      <c r="AH11" s="8">
        <v>3209.54</v>
      </c>
      <c r="AI11" s="8">
        <v>3063</v>
      </c>
      <c r="AJ11" s="8">
        <f>IFERROR(INDEX([1]SuSa_2024!BN:BN,MATCH($B11,[1]SuSa_2024!$B:$B,0)),"0")</f>
        <v>2940.69</v>
      </c>
      <c r="AK11" s="8">
        <f>IFERROR(INDEX([1]SuSa_2024!BO:BO,MATCH($B11,[1]SuSa_2024!$B:$B,0)),"0")</f>
        <v>2818.35</v>
      </c>
      <c r="AL11" s="8">
        <f>IFERROR(INDEX([1]SuSa_2024!BP:BP,MATCH($B11,[1]SuSa_2024!$B:$B,0)),"0")</f>
        <v>3319.27</v>
      </c>
      <c r="AM11" s="8">
        <f>IFERROR(INDEX([1]SuSa_2024!BQ:BQ,MATCH($B11,[1]SuSa_2024!$B:$B,0)),"0")</f>
        <v>3152.77</v>
      </c>
      <c r="AN11" s="8">
        <f>IFERROR(INDEX([1]SuSa_2024!BR:BR,MATCH($B11,[1]SuSa_2024!$B:$B,0)),"0")</f>
        <v>2998.54</v>
      </c>
      <c r="AO11" s="8">
        <f>IFERROR(INDEX([1]SuSa_2024!BS:BS,MATCH($B11,[1]SuSa_2024!$B:$B,0)),"0")</f>
        <v>2885.94</v>
      </c>
      <c r="AP11" s="8">
        <f>IFERROR(INDEX([1]SuSa_2024!BT:BT,MATCH($B11,[1]SuSa_2024!$B:$B,0)),"0")</f>
        <v>2773.29</v>
      </c>
      <c r="AQ11" s="8">
        <f>IFERROR(INDEX([1]SuSa_2024!BU:BU,MATCH($B11,[1]SuSa_2024!$B:$B,0)),"0")</f>
        <v>2660.66</v>
      </c>
      <c r="AR11" s="8">
        <f>IFERROR(INDEX([1]SuSa_2024!BV:BV,MATCH($B11,[1]SuSa_2024!$B:$B,0)),"0")</f>
        <v>2548.0699999999997</v>
      </c>
      <c r="AS11" s="8">
        <f>IFERROR(INDEX([1]SuSa_2024!BW:BW,MATCH($B11,[1]SuSa_2024!$B:$B,0)),"0")</f>
        <v>2439.85</v>
      </c>
      <c r="AT11" s="8">
        <f>IFERROR(INDEX([1]SuSa_2024!BX:BX,MATCH($B11,[1]SuSa_2024!$B:$B,0)),"0")</f>
        <v>2331.67</v>
      </c>
      <c r="AU11" s="8">
        <f>IFERROR(INDEX([1]SuSa_2024!BY:BY,MATCH($B11,[1]SuSa_2024!$B:$B,0)),"0")</f>
        <v>2120</v>
      </c>
      <c r="AV11" s="8">
        <f>IFERROR(INDEX([1]SuSa_2025!AR:AR,MATCH($B11,[1]SuSa_2025!$B:$B,0)),"0")</f>
        <v>2942.75</v>
      </c>
      <c r="AW11" s="8">
        <f>IFERROR(INDEX([1]SuSa_2025!AS:AS,MATCH($B11,[1]SuSa_2025!$B:$B,0)),"0")</f>
        <v>2850.83</v>
      </c>
      <c r="AX11" s="8">
        <f>IFERROR(INDEX([1]SuSa_2025!AT:AT,MATCH($B11,[1]SuSa_2025!$B:$B,0)),"0")</f>
        <v>1890.28</v>
      </c>
      <c r="AY11" s="8">
        <f>IFERROR(INDEX([1]SuSa_2025!AU:AU,MATCH($B11,[1]SuSa_2025!$B:$B,0)),"0")</f>
        <v>1890.28</v>
      </c>
      <c r="AZ11" s="8">
        <f>IFERROR(INDEX([1]SuSa_2025!AV:AV,MATCH($B11,[1]SuSa_2025!$B:$B,0)),"0")</f>
        <v>1890.28</v>
      </c>
      <c r="BA11" s="8">
        <f>IFERROR(INDEX([1]SuSa_2025!AW:AW,MATCH($B11,[1]SuSa_2025!$B:$B,0)),"0")</f>
        <v>2115.98</v>
      </c>
      <c r="BB11" s="8">
        <f>IFERROR(INDEX([1]SuSa_2025!AX:AX,MATCH($B11,[1]SuSa_2025!$B:$B,0)),"0")</f>
        <v>1738.6</v>
      </c>
    </row>
    <row r="12" spans="1:55" outlineLevel="1" collapsed="1" x14ac:dyDescent="0.25">
      <c r="A12" s="5" t="s">
        <v>78</v>
      </c>
      <c r="B12" s="6" t="s">
        <v>81</v>
      </c>
      <c r="C12" t="s">
        <v>82</v>
      </c>
      <c r="F12" s="7">
        <f t="shared" si="0"/>
        <v>0</v>
      </c>
      <c r="G12" s="7">
        <f t="shared" si="1"/>
        <v>419</v>
      </c>
      <c r="H12" s="7">
        <f t="shared" si="2"/>
        <v>227.9999999999998</v>
      </c>
      <c r="I12" s="7">
        <f t="shared" si="3"/>
        <v>116.59</v>
      </c>
      <c r="K12" s="8">
        <f t="shared" si="4"/>
        <v>307.58999999999986</v>
      </c>
      <c r="Z12" s="8">
        <v>317.95</v>
      </c>
      <c r="AA12" s="8">
        <v>308.83999999999997</v>
      </c>
      <c r="AB12" s="8">
        <v>530.62</v>
      </c>
      <c r="AC12" s="8">
        <v>514.66999999999996</v>
      </c>
      <c r="AD12" s="8">
        <v>498.73</v>
      </c>
      <c r="AE12" s="8">
        <v>482.78</v>
      </c>
      <c r="AF12" s="8">
        <v>466.84</v>
      </c>
      <c r="AG12" s="8">
        <v>450.89</v>
      </c>
      <c r="AH12" s="8">
        <v>434.95</v>
      </c>
      <c r="AI12" s="8">
        <v>419</v>
      </c>
      <c r="AJ12" s="8">
        <f>IFERROR(INDEX([1]SuSa_2024!BN:BN,MATCH($B12,[1]SuSa_2024!$B:$B,0)),"0")</f>
        <v>403.09</v>
      </c>
      <c r="AK12" s="8">
        <f>IFERROR(INDEX([1]SuSa_2024!BO:BO,MATCH($B12,[1]SuSa_2024!$B:$B,0)),"0")</f>
        <v>387.17999999999995</v>
      </c>
      <c r="AL12" s="8">
        <f>IFERROR(INDEX([1]SuSa_2024!BP:BP,MATCH($B12,[1]SuSa_2024!$B:$B,0)),"0")</f>
        <v>371.26999999999992</v>
      </c>
      <c r="AM12" s="8">
        <f>IFERROR(INDEX([1]SuSa_2024!BQ:BQ,MATCH($B12,[1]SuSa_2024!$B:$B,0)),"0")</f>
        <v>355.33999999999992</v>
      </c>
      <c r="AN12" s="8">
        <f>IFERROR(INDEX([1]SuSa_2024!BR:BR,MATCH($B12,[1]SuSa_2024!$B:$B,0)),"0")</f>
        <v>339.42999999999989</v>
      </c>
      <c r="AO12" s="8">
        <f>IFERROR(INDEX([1]SuSa_2024!BS:BS,MATCH($B12,[1]SuSa_2024!$B:$B,0)),"0")</f>
        <v>323.51999999999987</v>
      </c>
      <c r="AP12" s="8">
        <f>IFERROR(INDEX([1]SuSa_2024!BT:BT,MATCH($B12,[1]SuSa_2024!$B:$B,0)),"0")</f>
        <v>307.58999999999986</v>
      </c>
      <c r="AQ12" s="8">
        <f>IFERROR(INDEX([1]SuSa_2024!BU:BU,MATCH($B12,[1]SuSa_2024!$B:$B,0)),"0")</f>
        <v>291.67999999999984</v>
      </c>
      <c r="AR12" s="8">
        <f>IFERROR(INDEX([1]SuSa_2024!BV:BV,MATCH($B12,[1]SuSa_2024!$B:$B,0)),"0")</f>
        <v>275.76999999999981</v>
      </c>
      <c r="AS12" s="8">
        <f>IFERROR(INDEX([1]SuSa_2024!BW:BW,MATCH($B12,[1]SuSa_2024!$B:$B,0)),"0")</f>
        <v>259.8399999999998</v>
      </c>
      <c r="AT12" s="8">
        <f>IFERROR(INDEX([1]SuSa_2024!BX:BX,MATCH($B12,[1]SuSa_2024!$B:$B,0)),"0")</f>
        <v>243.92999999999981</v>
      </c>
      <c r="AU12" s="8">
        <f>IFERROR(INDEX([1]SuSa_2024!BY:BY,MATCH($B12,[1]SuSa_2024!$B:$B,0)),"0")</f>
        <v>227.9999999999998</v>
      </c>
      <c r="AV12" s="8">
        <f>IFERROR(INDEX([1]SuSa_2025!AR:AR,MATCH($B12,[1]SuSa_2025!$B:$B,0)),"0")</f>
        <v>212.09</v>
      </c>
      <c r="AW12" s="8">
        <f>IFERROR(INDEX([1]SuSa_2025!AS:AS,MATCH($B12,[1]SuSa_2025!$B:$B,0)),"0")</f>
        <v>196.18</v>
      </c>
      <c r="AX12" s="8">
        <f>IFERROR(INDEX([1]SuSa_2025!AT:AT,MATCH($B12,[1]SuSa_2025!$B:$B,0)),"0")</f>
        <v>180.27</v>
      </c>
      <c r="AY12" s="8">
        <f>IFERROR(INDEX([1]SuSa_2025!AU:AU,MATCH($B12,[1]SuSa_2025!$B:$B,0)),"0")</f>
        <v>180.27</v>
      </c>
      <c r="AZ12" s="8">
        <f>IFERROR(INDEX([1]SuSa_2025!AV:AV,MATCH($B12,[1]SuSa_2025!$B:$B,0)),"0")</f>
        <v>180.27</v>
      </c>
      <c r="BA12" s="8">
        <f>IFERROR(INDEX([1]SuSa_2025!AW:AW,MATCH($B12,[1]SuSa_2025!$B:$B,0)),"0")</f>
        <v>132.52000000000001</v>
      </c>
      <c r="BB12" s="8">
        <f>IFERROR(INDEX([1]SuSa_2025!AX:AX,MATCH($B12,[1]SuSa_2025!$B:$B,0)),"0")</f>
        <v>116.59</v>
      </c>
    </row>
    <row r="13" spans="1:55" outlineLevel="1" x14ac:dyDescent="0.25">
      <c r="A13" s="5" t="s">
        <v>83</v>
      </c>
      <c r="B13" s="9" t="s">
        <v>84</v>
      </c>
      <c r="F13" s="7"/>
      <c r="G13" s="7"/>
      <c r="H13" s="7"/>
      <c r="I13" s="7">
        <f t="shared" si="3"/>
        <v>1273.55</v>
      </c>
      <c r="K13" s="8" t="str">
        <f t="shared" si="4"/>
        <v>0</v>
      </c>
      <c r="AJ13" s="8" t="str">
        <f>IFERROR(INDEX([1]SuSa_2024!BN:BN,MATCH($B13,[1]SuSa_2024!$B:$B,0)),"0")</f>
        <v>0</v>
      </c>
      <c r="AK13" s="8" t="str">
        <f>IFERROR(INDEX([1]SuSa_2024!BO:BO,MATCH($B13,[1]SuSa_2024!$B:$B,0)),"0")</f>
        <v>0</v>
      </c>
      <c r="AL13" s="8" t="str">
        <f>IFERROR(INDEX([1]SuSa_2024!BP:BP,MATCH($B13,[1]SuSa_2024!$B:$B,0)),"0")</f>
        <v>0</v>
      </c>
      <c r="AM13" s="8" t="str">
        <f>IFERROR(INDEX([1]SuSa_2024!BQ:BQ,MATCH($B13,[1]SuSa_2024!$B:$B,0)),"0")</f>
        <v>0</v>
      </c>
      <c r="AN13" s="8" t="str">
        <f>IFERROR(INDEX([1]SuSa_2024!BR:BR,MATCH($B13,[1]SuSa_2024!$B:$B,0)),"0")</f>
        <v>0</v>
      </c>
      <c r="AO13" s="8" t="str">
        <f>IFERROR(INDEX([1]SuSa_2024!BS:BS,MATCH($B13,[1]SuSa_2024!$B:$B,0)),"0")</f>
        <v>0</v>
      </c>
      <c r="AP13" s="8" t="str">
        <f>IFERROR(INDEX([1]SuSa_2024!BT:BT,MATCH($B13,[1]SuSa_2024!$B:$B,0)),"0")</f>
        <v>0</v>
      </c>
      <c r="AQ13" s="8" t="str">
        <f>IFERROR(INDEX([1]SuSa_2024!BU:BU,MATCH($B13,[1]SuSa_2024!$B:$B,0)),"0")</f>
        <v>0</v>
      </c>
      <c r="AR13" s="8" t="str">
        <f>IFERROR(INDEX([1]SuSa_2024!BV:BV,MATCH($B13,[1]SuSa_2024!$B:$B,0)),"0")</f>
        <v>0</v>
      </c>
      <c r="AS13" s="8" t="str">
        <f>IFERROR(INDEX([1]SuSa_2024!BW:BW,MATCH($B13,[1]SuSa_2024!$B:$B,0)),"0")</f>
        <v>0</v>
      </c>
      <c r="AT13" s="8" t="str">
        <f>IFERROR(INDEX([1]SuSa_2024!BX:BX,MATCH($B13,[1]SuSa_2024!$B:$B,0)),"0")</f>
        <v>0</v>
      </c>
      <c r="AU13" s="8" t="str">
        <f>IFERROR(INDEX([1]SuSa_2024!BY:BY,MATCH($B13,[1]SuSa_2024!$B:$B,0)),"0")</f>
        <v>0</v>
      </c>
      <c r="AV13" s="8">
        <f>IFERROR(INDEX([1]SuSa_2025!AR:AR,MATCH($B13,[1]SuSa_2025!$B:$B,0)),"0")</f>
        <v>0</v>
      </c>
      <c r="AW13" s="8">
        <f>IFERROR(INDEX([1]SuSa_2025!AS:AS,MATCH($B13,[1]SuSa_2025!$B:$B,0)),"0")</f>
        <v>0</v>
      </c>
      <c r="AX13" s="8">
        <f>IFERROR(INDEX([1]SuSa_2025!AT:AT,MATCH($B13,[1]SuSa_2025!$B:$B,0)),"0")</f>
        <v>0</v>
      </c>
      <c r="AY13" s="8">
        <f>IFERROR(INDEX([1]SuSa_2025!AU:AU,MATCH($B13,[1]SuSa_2025!$B:$B,0)),"0")</f>
        <v>0</v>
      </c>
      <c r="AZ13" s="8">
        <f>IFERROR(INDEX([1]SuSa_2025!AV:AV,MATCH($B13,[1]SuSa_2025!$B:$B,0)),"0")</f>
        <v>0</v>
      </c>
      <c r="BA13" s="8">
        <f>IFERROR(INDEX([1]SuSa_2025!AW:AW,MATCH($B13,[1]SuSa_2025!$B:$B,0)),"0")</f>
        <v>1528.56</v>
      </c>
      <c r="BB13" s="8">
        <f>IFERROR(INDEX([1]SuSa_2025!AX:AX,MATCH($B13,[1]SuSa_2025!$B:$B,0)),"0")</f>
        <v>1273.55</v>
      </c>
    </row>
    <row r="14" spans="1:55" outlineLevel="1" collapsed="1" x14ac:dyDescent="0.25">
      <c r="A14" s="5" t="s">
        <v>85</v>
      </c>
      <c r="B14" s="6" t="s">
        <v>86</v>
      </c>
      <c r="C14" t="s">
        <v>87</v>
      </c>
      <c r="E14" t="s">
        <v>88</v>
      </c>
      <c r="F14" s="7">
        <f t="shared" si="0"/>
        <v>48138.76</v>
      </c>
      <c r="G14" s="7">
        <f t="shared" si="1"/>
        <v>48138.76</v>
      </c>
      <c r="H14" s="7">
        <f t="shared" si="2"/>
        <v>48138.76</v>
      </c>
      <c r="I14" s="7">
        <f t="shared" si="3"/>
        <v>48138.76</v>
      </c>
      <c r="K14" s="8">
        <f t="shared" si="4"/>
        <v>48138.76</v>
      </c>
      <c r="L14" s="8">
        <v>48138.76</v>
      </c>
      <c r="M14" s="8">
        <v>48138.76</v>
      </c>
      <c r="N14" s="8">
        <v>48138.76</v>
      </c>
      <c r="O14" s="8">
        <v>48138.76</v>
      </c>
      <c r="P14" s="8">
        <v>48138.76</v>
      </c>
      <c r="Q14" s="8">
        <v>48138.76</v>
      </c>
      <c r="R14" s="8">
        <v>48138.76</v>
      </c>
      <c r="S14" s="8">
        <v>48138.76</v>
      </c>
      <c r="T14" s="8">
        <v>48138.76</v>
      </c>
      <c r="U14" s="8">
        <v>48138.76</v>
      </c>
      <c r="V14" s="8">
        <v>48138.76</v>
      </c>
      <c r="W14" s="8">
        <v>48138.76</v>
      </c>
      <c r="X14" s="8">
        <v>48138.76</v>
      </c>
      <c r="Y14" s="8">
        <v>48138.76</v>
      </c>
      <c r="Z14" s="8">
        <v>48138.76</v>
      </c>
      <c r="AA14" s="8">
        <v>48138.76</v>
      </c>
      <c r="AB14" s="8">
        <v>48138.76</v>
      </c>
      <c r="AC14" s="8">
        <v>48138.76</v>
      </c>
      <c r="AD14" s="8">
        <v>48138.76</v>
      </c>
      <c r="AE14" s="8">
        <v>48138.76</v>
      </c>
      <c r="AF14" s="8">
        <v>48138.76</v>
      </c>
      <c r="AG14" s="8">
        <v>48138.76</v>
      </c>
      <c r="AH14" s="8">
        <v>48138.76</v>
      </c>
      <c r="AI14" s="8">
        <v>48138.76</v>
      </c>
      <c r="AJ14" s="8">
        <f>IFERROR(INDEX([1]SuSa_2024!BN:BN,MATCH($B14,[1]SuSa_2024!$B:$B,0)),"0")</f>
        <v>48138.76</v>
      </c>
      <c r="AK14" s="8">
        <f>IFERROR(INDEX([1]SuSa_2024!BO:BO,MATCH($B14,[1]SuSa_2024!$B:$B,0)),"0")</f>
        <v>48138.76</v>
      </c>
      <c r="AL14" s="8">
        <f>IFERROR(INDEX([1]SuSa_2024!BP:BP,MATCH($B14,[1]SuSa_2024!$B:$B,0)),"0")</f>
        <v>48138.76</v>
      </c>
      <c r="AM14" s="8">
        <f>IFERROR(INDEX([1]SuSa_2024!BQ:BQ,MATCH($B14,[1]SuSa_2024!$B:$B,0)),"0")</f>
        <v>48138.76</v>
      </c>
      <c r="AN14" s="8">
        <f>IFERROR(INDEX([1]SuSa_2024!BR:BR,MATCH($B14,[1]SuSa_2024!$B:$B,0)),"0")</f>
        <v>48138.76</v>
      </c>
      <c r="AO14" s="8">
        <f>IFERROR(INDEX([1]SuSa_2024!BS:BS,MATCH($B14,[1]SuSa_2024!$B:$B,0)),"0")</f>
        <v>48138.76</v>
      </c>
      <c r="AP14" s="8">
        <f>IFERROR(INDEX([1]SuSa_2024!BT:BT,MATCH($B14,[1]SuSa_2024!$B:$B,0)),"0")</f>
        <v>48138.76</v>
      </c>
      <c r="AQ14" s="8">
        <f>IFERROR(INDEX([1]SuSa_2024!BU:BU,MATCH($B14,[1]SuSa_2024!$B:$B,0)),"0")</f>
        <v>48138.76</v>
      </c>
      <c r="AR14" s="8">
        <f>IFERROR(INDEX([1]SuSa_2024!BV:BV,MATCH($B14,[1]SuSa_2024!$B:$B,0)),"0")</f>
        <v>48138.76</v>
      </c>
      <c r="AS14" s="8">
        <f>IFERROR(INDEX([1]SuSa_2024!BW:BW,MATCH($B14,[1]SuSa_2024!$B:$B,0)),"0")</f>
        <v>48138.76</v>
      </c>
      <c r="AT14" s="8">
        <f>IFERROR(INDEX([1]SuSa_2024!BX:BX,MATCH($B14,[1]SuSa_2024!$B:$B,0)),"0")</f>
        <v>48138.76</v>
      </c>
      <c r="AU14" s="8">
        <f>IFERROR(INDEX([1]SuSa_2024!BY:BY,MATCH($B14,[1]SuSa_2024!$B:$B,0)),"0")</f>
        <v>48138.76</v>
      </c>
      <c r="AV14" s="8">
        <f>IFERROR(INDEX([1]SuSa_2025!AR:AR,MATCH($B14,[1]SuSa_2025!$B:$B,0)),"0")</f>
        <v>48138.76</v>
      </c>
      <c r="AW14" s="8">
        <f>IFERROR(INDEX([1]SuSa_2025!AS:AS,MATCH($B14,[1]SuSa_2025!$B:$B,0)),"0")</f>
        <v>48138.76</v>
      </c>
      <c r="AX14" s="8">
        <f>IFERROR(INDEX([1]SuSa_2025!AT:AT,MATCH($B14,[1]SuSa_2025!$B:$B,0)),"0")</f>
        <v>48138.76</v>
      </c>
      <c r="AY14" s="8">
        <f>IFERROR(INDEX([1]SuSa_2025!AU:AU,MATCH($B14,[1]SuSa_2025!$B:$B,0)),"0")</f>
        <v>48138.76</v>
      </c>
      <c r="AZ14" s="8">
        <f>IFERROR(INDEX([1]SuSa_2025!AV:AV,MATCH($B14,[1]SuSa_2025!$B:$B,0)),"0")</f>
        <v>48138.76</v>
      </c>
      <c r="BA14" s="8">
        <f>IFERROR(INDEX([1]SuSa_2025!AW:AW,MATCH($B14,[1]SuSa_2025!$B:$B,0)),"0")</f>
        <v>48138.76</v>
      </c>
      <c r="BB14" s="8">
        <f>IFERROR(INDEX([1]SuSa_2025!AX:AX,MATCH($B14,[1]SuSa_2025!$B:$B,0)),"0")</f>
        <v>48138.76</v>
      </c>
    </row>
    <row r="15" spans="1:55" ht="14.25" customHeight="1" outlineLevel="1" collapsed="1" x14ac:dyDescent="0.25">
      <c r="A15" s="5" t="s">
        <v>89</v>
      </c>
      <c r="B15" s="6" t="s">
        <v>90</v>
      </c>
      <c r="C15" t="s">
        <v>91</v>
      </c>
      <c r="F15" s="7">
        <f t="shared" si="0"/>
        <v>0</v>
      </c>
      <c r="G15" s="7">
        <f t="shared" si="1"/>
        <v>0</v>
      </c>
      <c r="H15" s="7" t="str">
        <f t="shared" si="2"/>
        <v>0</v>
      </c>
      <c r="I15" s="7" t="str">
        <f t="shared" si="3"/>
        <v>0</v>
      </c>
      <c r="K15" s="8" t="str">
        <f t="shared" si="4"/>
        <v>0</v>
      </c>
      <c r="L15" s="8">
        <v>-2893.43</v>
      </c>
      <c r="M15" s="8">
        <v>-2893.43</v>
      </c>
      <c r="N15" s="8">
        <v>-2893.43</v>
      </c>
      <c r="O15" s="8">
        <v>-2893.43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AJ15" s="8" t="str">
        <f>IFERROR(INDEX([1]SuSa_2024!BN:BN,MATCH($B15,[1]SuSa_2024!$B:$B,0)),"0")</f>
        <v>0</v>
      </c>
      <c r="AK15" s="8" t="str">
        <f>IFERROR(INDEX([1]SuSa_2024!BO:BO,MATCH($B15,[1]SuSa_2024!$B:$B,0)),"0")</f>
        <v>0</v>
      </c>
      <c r="AL15" s="8" t="str">
        <f>IFERROR(INDEX([1]SuSa_2024!BP:BP,MATCH($B15,[1]SuSa_2024!$B:$B,0)),"0")</f>
        <v>0</v>
      </c>
      <c r="AM15" s="8" t="str">
        <f>IFERROR(INDEX([1]SuSa_2024!BQ:BQ,MATCH($B15,[1]SuSa_2024!$B:$B,0)),"0")</f>
        <v>0</v>
      </c>
      <c r="AN15" s="8" t="str">
        <f>IFERROR(INDEX([1]SuSa_2024!BR:BR,MATCH($B15,[1]SuSa_2024!$B:$B,0)),"0")</f>
        <v>0</v>
      </c>
      <c r="AO15" s="8" t="str">
        <f>IFERROR(INDEX([1]SuSa_2024!BS:BS,MATCH($B15,[1]SuSa_2024!$B:$B,0)),"0")</f>
        <v>0</v>
      </c>
      <c r="AP15" s="8" t="str">
        <f>IFERROR(INDEX([1]SuSa_2024!BT:BT,MATCH($B15,[1]SuSa_2024!$B:$B,0)),"0")</f>
        <v>0</v>
      </c>
      <c r="AQ15" s="8" t="str">
        <f>IFERROR(INDEX([1]SuSa_2024!BU:BU,MATCH($B15,[1]SuSa_2024!$B:$B,0)),"0")</f>
        <v>0</v>
      </c>
      <c r="AR15" s="8" t="str">
        <f>IFERROR(INDEX([1]SuSa_2024!BV:BV,MATCH($B15,[1]SuSa_2024!$B:$B,0)),"0")</f>
        <v>0</v>
      </c>
      <c r="AS15" s="8" t="str">
        <f>IFERROR(INDEX([1]SuSa_2024!BW:BW,MATCH($B15,[1]SuSa_2024!$B:$B,0)),"0")</f>
        <v>0</v>
      </c>
      <c r="AT15" s="8" t="str">
        <f>IFERROR(INDEX([1]SuSa_2024!BX:BX,MATCH($B15,[1]SuSa_2024!$B:$B,0)),"0")</f>
        <v>0</v>
      </c>
      <c r="AU15" s="8" t="str">
        <f>IFERROR(INDEX([1]SuSa_2024!BY:BY,MATCH($B15,[1]SuSa_2024!$B:$B,0)),"0")</f>
        <v>0</v>
      </c>
      <c r="AV15" s="8" t="str">
        <f>IFERROR(INDEX([1]SuSa_2025!AR:AR,MATCH($B15,[1]SuSa_2025!$B:$B,0)),"0")</f>
        <v>0</v>
      </c>
      <c r="AW15" s="8" t="str">
        <f>IFERROR(INDEX([1]SuSa_2025!AS:AS,MATCH($B15,[1]SuSa_2025!$B:$B,0)),"0")</f>
        <v>0</v>
      </c>
      <c r="AX15" s="8" t="str">
        <f>IFERROR(INDEX([1]SuSa_2025!AT:AT,MATCH($B15,[1]SuSa_2025!$B:$B,0)),"0")</f>
        <v>0</v>
      </c>
      <c r="AY15" s="8" t="str">
        <f>IFERROR(INDEX([1]SuSa_2025!AU:AU,MATCH($B15,[1]SuSa_2025!$B:$B,0)),"0")</f>
        <v>0</v>
      </c>
      <c r="AZ15" s="8" t="str">
        <f>IFERROR(INDEX([1]SuSa_2025!AV:AV,MATCH($B15,[1]SuSa_2025!$B:$B,0)),"0")</f>
        <v>0</v>
      </c>
      <c r="BA15" s="8" t="str">
        <f>IFERROR(INDEX([1]SuSa_2025!AW:AW,MATCH($B15,[1]SuSa_2025!$B:$B,0)),"0")</f>
        <v>0</v>
      </c>
      <c r="BB15" s="8" t="str">
        <f>IFERROR(INDEX([1]SuSa_2025!AX:AX,MATCH($B15,[1]SuSa_2025!$B:$B,0)),"0")</f>
        <v>0</v>
      </c>
    </row>
    <row r="16" spans="1:55" outlineLevel="1" collapsed="1" x14ac:dyDescent="0.25">
      <c r="A16" s="5" t="s">
        <v>92</v>
      </c>
      <c r="B16" s="6" t="s">
        <v>93</v>
      </c>
      <c r="C16" t="s">
        <v>94</v>
      </c>
      <c r="F16" s="7">
        <f t="shared" si="0"/>
        <v>-3604535.08</v>
      </c>
      <c r="G16" s="7">
        <f t="shared" si="1"/>
        <v>208709.58</v>
      </c>
      <c r="H16" s="7">
        <f t="shared" si="2"/>
        <v>0</v>
      </c>
      <c r="I16" s="7">
        <f t="shared" si="3"/>
        <v>0</v>
      </c>
      <c r="K16" s="8">
        <f t="shared" si="4"/>
        <v>0</v>
      </c>
      <c r="R16" s="8">
        <v>-48692.23</v>
      </c>
      <c r="S16" s="8">
        <v>-396093.96</v>
      </c>
      <c r="T16" s="8">
        <v>-680928.05</v>
      </c>
      <c r="U16" s="8">
        <v>-901750.01</v>
      </c>
      <c r="V16" s="8">
        <v>-1243736.3500000001</v>
      </c>
      <c r="W16" s="8">
        <v>-3604535.08</v>
      </c>
      <c r="X16" s="8">
        <v>-3932685.25</v>
      </c>
      <c r="Y16" s="8">
        <v>-4218237.54</v>
      </c>
      <c r="Z16" s="8">
        <v>-4583387.7699999996</v>
      </c>
      <c r="AA16" s="8">
        <v>-4694967.2300000004</v>
      </c>
      <c r="AB16" s="8">
        <v>-5135836.2699999996</v>
      </c>
      <c r="AC16" s="8">
        <v>-5179193.3499999996</v>
      </c>
      <c r="AD16" s="8">
        <v>-5304058.53</v>
      </c>
      <c r="AE16" s="8">
        <v>-5453132.6799999997</v>
      </c>
      <c r="AF16" s="8">
        <v>-5554347.8899999997</v>
      </c>
      <c r="AG16" s="8">
        <v>-5417030.8300000001</v>
      </c>
      <c r="AH16" s="8">
        <v>-5682957.6500000004</v>
      </c>
      <c r="AI16" s="8">
        <v>208709.58</v>
      </c>
      <c r="AJ16" s="8">
        <f>IFERROR(INDEX([1]SuSa_2024!BN:BN,MATCH($B16,[1]SuSa_2024!$B:$B,0)),"0")</f>
        <v>-302445.36</v>
      </c>
      <c r="AK16" s="8">
        <f>IFERROR(INDEX([1]SuSa_2024!BO:BO,MATCH($B16,[1]SuSa_2024!$B:$B,0)),"0")</f>
        <v>-520357.08999999997</v>
      </c>
      <c r="AL16" s="8">
        <f>IFERROR(INDEX([1]SuSa_2024!BP:BP,MATCH($B16,[1]SuSa_2024!$B:$B,0)),"0")</f>
        <v>-746228.52</v>
      </c>
      <c r="AM16" s="8">
        <f>IFERROR(INDEX([1]SuSa_2024!BQ:BQ,MATCH($B16,[1]SuSa_2024!$B:$B,0)),"0")</f>
        <v>-1292727.57</v>
      </c>
      <c r="AN16" s="8">
        <f>IFERROR(INDEX([1]SuSa_2024!BR:BR,MATCH($B16,[1]SuSa_2024!$B:$B,0)),"0")</f>
        <v>-2250903.6100000003</v>
      </c>
      <c r="AO16" s="8">
        <f>IFERROR(INDEX([1]SuSa_2024!BS:BS,MATCH($B16,[1]SuSa_2024!$B:$B,0)),"0")</f>
        <v>0</v>
      </c>
      <c r="AP16" s="8">
        <f>IFERROR(INDEX([1]SuSa_2024!BT:BT,MATCH($B16,[1]SuSa_2024!$B:$B,0)),"0")</f>
        <v>0</v>
      </c>
      <c r="AQ16" s="8">
        <f>IFERROR(INDEX([1]SuSa_2024!BU:BU,MATCH($B16,[1]SuSa_2024!$B:$B,0)),"0")</f>
        <v>0</v>
      </c>
      <c r="AR16" s="8">
        <f>IFERROR(INDEX([1]SuSa_2024!BV:BV,MATCH($B16,[1]SuSa_2024!$B:$B,0)),"0")</f>
        <v>0</v>
      </c>
      <c r="AS16" s="8">
        <f>IFERROR(INDEX([1]SuSa_2024!BW:BW,MATCH($B16,[1]SuSa_2024!$B:$B,0)),"0")</f>
        <v>0</v>
      </c>
      <c r="AT16" s="8">
        <f>IFERROR(INDEX([1]SuSa_2024!BX:BX,MATCH($B16,[1]SuSa_2024!$B:$B,0)),"0")</f>
        <v>0</v>
      </c>
      <c r="AU16" s="8">
        <f>IFERROR(INDEX([1]SuSa_2024!BY:BY,MATCH($B16,[1]SuSa_2024!$B:$B,0)),"0")</f>
        <v>0</v>
      </c>
      <c r="AV16" s="8">
        <f>IFERROR(INDEX([1]SuSa_2025!AR:AR,MATCH($B16,[1]SuSa_2025!$B:$B,0)),"0")</f>
        <v>0</v>
      </c>
      <c r="AW16" s="8">
        <f>IFERROR(INDEX([1]SuSa_2025!AS:AS,MATCH($B16,[1]SuSa_2025!$B:$B,0)),"0")</f>
        <v>0</v>
      </c>
      <c r="AX16" s="8">
        <f>IFERROR(INDEX([1]SuSa_2025!AT:AT,MATCH($B16,[1]SuSa_2025!$B:$B,0)),"0")</f>
        <v>0</v>
      </c>
      <c r="AY16" s="8">
        <f>IFERROR(INDEX([1]SuSa_2025!AU:AU,MATCH($B16,[1]SuSa_2025!$B:$B,0)),"0")</f>
        <v>0</v>
      </c>
      <c r="AZ16" s="8">
        <f>IFERROR(INDEX([1]SuSa_2025!AV:AV,MATCH($B16,[1]SuSa_2025!$B:$B,0)),"0")</f>
        <v>0</v>
      </c>
      <c r="BA16" s="8">
        <f>IFERROR(INDEX([1]SuSa_2025!AW:AW,MATCH($B16,[1]SuSa_2025!$B:$B,0)),"0")</f>
        <v>0</v>
      </c>
      <c r="BB16" s="8">
        <f>IFERROR(INDEX([1]SuSa_2025!AX:AX,MATCH($B16,[1]SuSa_2025!$B:$B,0)),"0")</f>
        <v>0</v>
      </c>
    </row>
    <row r="17" spans="1:55" outlineLevel="1" collapsed="1" x14ac:dyDescent="0.25">
      <c r="A17" s="5" t="s">
        <v>95</v>
      </c>
      <c r="B17" s="6" t="s">
        <v>96</v>
      </c>
      <c r="C17" t="s">
        <v>97</v>
      </c>
      <c r="F17" s="7">
        <f t="shared" si="0"/>
        <v>-90355</v>
      </c>
      <c r="G17" s="7">
        <f t="shared" si="1"/>
        <v>-90355</v>
      </c>
      <c r="H17" s="7">
        <f t="shared" si="2"/>
        <v>-90355</v>
      </c>
      <c r="I17" s="7">
        <f t="shared" si="3"/>
        <v>-90355</v>
      </c>
      <c r="K17" s="8">
        <f t="shared" si="4"/>
        <v>-90355</v>
      </c>
      <c r="L17" s="8">
        <v>-74227</v>
      </c>
      <c r="M17" s="8">
        <v>-90355</v>
      </c>
      <c r="N17" s="8">
        <v>-90355</v>
      </c>
      <c r="O17" s="8">
        <v>-90355</v>
      </c>
      <c r="P17" s="8">
        <v>-90355</v>
      </c>
      <c r="Q17" s="8">
        <v>-90355</v>
      </c>
      <c r="R17" s="8">
        <v>-90355</v>
      </c>
      <c r="S17" s="8">
        <v>-90355</v>
      </c>
      <c r="T17" s="8">
        <v>-90355</v>
      </c>
      <c r="U17" s="8">
        <v>-90355</v>
      </c>
      <c r="V17" s="8">
        <v>-90355</v>
      </c>
      <c r="W17" s="8">
        <v>-90355</v>
      </c>
      <c r="X17" s="8">
        <v>-90355</v>
      </c>
      <c r="Y17" s="8">
        <v>-90355</v>
      </c>
      <c r="Z17" s="8">
        <v>-90355</v>
      </c>
      <c r="AA17" s="8">
        <v>-90355</v>
      </c>
      <c r="AB17" s="8">
        <v>-90355</v>
      </c>
      <c r="AC17" s="8">
        <v>-90355</v>
      </c>
      <c r="AD17" s="8">
        <v>-90355</v>
      </c>
      <c r="AE17" s="8">
        <v>-90355</v>
      </c>
      <c r="AF17" s="8">
        <v>-90355</v>
      </c>
      <c r="AG17" s="8">
        <v>-90355</v>
      </c>
      <c r="AH17" s="8">
        <v>-90355</v>
      </c>
      <c r="AI17" s="8">
        <v>-90355</v>
      </c>
      <c r="AJ17" s="8">
        <f>IFERROR(INDEX([1]SuSa_2024!BN:BN,MATCH($B17,[1]SuSa_2024!$B:$B,0)),"0")</f>
        <v>-90355</v>
      </c>
      <c r="AK17" s="8">
        <f>IFERROR(INDEX([1]SuSa_2024!BO:BO,MATCH($B17,[1]SuSa_2024!$B:$B,0)),"0")</f>
        <v>-90355</v>
      </c>
      <c r="AL17" s="8">
        <f>IFERROR(INDEX([1]SuSa_2024!BP:BP,MATCH($B17,[1]SuSa_2024!$B:$B,0)),"0")</f>
        <v>-90355</v>
      </c>
      <c r="AM17" s="8">
        <f>IFERROR(INDEX([1]SuSa_2024!BQ:BQ,MATCH($B17,[1]SuSa_2024!$B:$B,0)),"0")</f>
        <v>-90355</v>
      </c>
      <c r="AN17" s="8">
        <f>IFERROR(INDEX([1]SuSa_2024!BR:BR,MATCH($B17,[1]SuSa_2024!$B:$B,0)),"0")</f>
        <v>-90355</v>
      </c>
      <c r="AO17" s="8">
        <f>IFERROR(INDEX([1]SuSa_2024!BS:BS,MATCH($B17,[1]SuSa_2024!$B:$B,0)),"0")</f>
        <v>-90355</v>
      </c>
      <c r="AP17" s="8">
        <f>IFERROR(INDEX([1]SuSa_2024!BT:BT,MATCH($B17,[1]SuSa_2024!$B:$B,0)),"0")</f>
        <v>-90355</v>
      </c>
      <c r="AQ17" s="8">
        <f>IFERROR(INDEX([1]SuSa_2024!BU:BU,MATCH($B17,[1]SuSa_2024!$B:$B,0)),"0")</f>
        <v>-90355</v>
      </c>
      <c r="AR17" s="8">
        <f>IFERROR(INDEX([1]SuSa_2024!BV:BV,MATCH($B17,[1]SuSa_2024!$B:$B,0)),"0")</f>
        <v>-90355</v>
      </c>
      <c r="AS17" s="8">
        <f>IFERROR(INDEX([1]SuSa_2024!BW:BW,MATCH($B17,[1]SuSa_2024!$B:$B,0)),"0")</f>
        <v>-90355</v>
      </c>
      <c r="AT17" s="8">
        <f>IFERROR(INDEX([1]SuSa_2024!BX:BX,MATCH($B17,[1]SuSa_2024!$B:$B,0)),"0")</f>
        <v>-90355</v>
      </c>
      <c r="AU17" s="8">
        <f>IFERROR(INDEX([1]SuSa_2024!BY:BY,MATCH($B17,[1]SuSa_2024!$B:$B,0)),"0")</f>
        <v>-90355</v>
      </c>
      <c r="AV17" s="8">
        <f>IFERROR(INDEX([1]SuSa_2025!AR:AR,MATCH($B17,[1]SuSa_2025!$B:$B,0)),"0")</f>
        <v>-90355</v>
      </c>
      <c r="AW17" s="8">
        <f>IFERROR(INDEX([1]SuSa_2025!AS:AS,MATCH($B17,[1]SuSa_2025!$B:$B,0)),"0")</f>
        <v>-90355</v>
      </c>
      <c r="AX17" s="8">
        <f>IFERROR(INDEX([1]SuSa_2025!AT:AT,MATCH($B17,[1]SuSa_2025!$B:$B,0)),"0")</f>
        <v>-90355</v>
      </c>
      <c r="AY17" s="8">
        <f>IFERROR(INDEX([1]SuSa_2025!AU:AU,MATCH($B17,[1]SuSa_2025!$B:$B,0)),"0")</f>
        <v>-90355</v>
      </c>
      <c r="AZ17" s="8">
        <f>IFERROR(INDEX([1]SuSa_2025!AV:AV,MATCH($B17,[1]SuSa_2025!$B:$B,0)),"0")</f>
        <v>-90355</v>
      </c>
      <c r="BA17" s="8">
        <f>IFERROR(INDEX([1]SuSa_2025!AW:AW,MATCH($B17,[1]SuSa_2025!$B:$B,0)),"0")</f>
        <v>-90355</v>
      </c>
      <c r="BB17" s="8">
        <f>IFERROR(INDEX([1]SuSa_2025!AX:AX,MATCH($B17,[1]SuSa_2025!$B:$B,0)),"0")</f>
        <v>-90355</v>
      </c>
    </row>
    <row r="18" spans="1:55" outlineLevel="1" collapsed="1" x14ac:dyDescent="0.25">
      <c r="A18" s="5" t="s">
        <v>98</v>
      </c>
      <c r="B18" s="6" t="s">
        <v>99</v>
      </c>
      <c r="C18" t="s">
        <v>100</v>
      </c>
      <c r="F18" s="7">
        <f t="shared" si="0"/>
        <v>-14872625.34</v>
      </c>
      <c r="G18" s="7">
        <f t="shared" si="1"/>
        <v>-20872625.34</v>
      </c>
      <c r="H18" s="7">
        <f t="shared" si="2"/>
        <v>-24184071.600000001</v>
      </c>
      <c r="I18" s="7">
        <f t="shared" si="3"/>
        <v>-24184071.600000001</v>
      </c>
      <c r="K18" s="8">
        <f t="shared" si="4"/>
        <v>-24184071.600000001</v>
      </c>
      <c r="L18" s="8">
        <v>-11872625.34</v>
      </c>
      <c r="M18" s="8">
        <v>-14872625.34</v>
      </c>
      <c r="N18" s="8">
        <v>-14872625.34</v>
      </c>
      <c r="O18" s="8">
        <v>-14872625.34</v>
      </c>
      <c r="P18" s="8">
        <v>-14872625.34</v>
      </c>
      <c r="Q18" s="8">
        <v>-14872625.34</v>
      </c>
      <c r="R18" s="8">
        <v>-14872625.34</v>
      </c>
      <c r="S18" s="8">
        <v>-14872625.34</v>
      </c>
      <c r="T18" s="8">
        <v>-14872625.34</v>
      </c>
      <c r="U18" s="8">
        <v>-14872625.34</v>
      </c>
      <c r="V18" s="8">
        <v>-14872625.34</v>
      </c>
      <c r="W18" s="8">
        <v>-14872625.34</v>
      </c>
      <c r="X18" s="8">
        <v>-14872625.34</v>
      </c>
      <c r="Y18" s="8">
        <v>-14872625.34</v>
      </c>
      <c r="Z18" s="8">
        <v>-14872625.34</v>
      </c>
      <c r="AA18" s="8">
        <v>-14872625.34</v>
      </c>
      <c r="AB18" s="8">
        <v>-14872625.34</v>
      </c>
      <c r="AC18" s="8">
        <v>-14872625.34</v>
      </c>
      <c r="AD18" s="8">
        <v>-14872625.34</v>
      </c>
      <c r="AE18" s="8">
        <v>-14872625.34</v>
      </c>
      <c r="AF18" s="8">
        <v>-14872625.34</v>
      </c>
      <c r="AG18" s="8">
        <v>-14872625.34</v>
      </c>
      <c r="AH18" s="8">
        <v>-14872625.34</v>
      </c>
      <c r="AI18" s="8">
        <v>-20872625.34</v>
      </c>
      <c r="AJ18" s="8">
        <f>IFERROR(INDEX([1]SuSa_2024!BN:BN,MATCH($B18,[1]SuSa_2024!$B:$B,0)),"0")</f>
        <v>-20872625.34</v>
      </c>
      <c r="AK18" s="8">
        <f>IFERROR(INDEX([1]SuSa_2024!BO:BO,MATCH($B18,[1]SuSa_2024!$B:$B,0)),"0")</f>
        <v>-20872625.34</v>
      </c>
      <c r="AL18" s="8">
        <f>IFERROR(INDEX([1]SuSa_2024!BP:BP,MATCH($B18,[1]SuSa_2024!$B:$B,0)),"0")</f>
        <v>-20872625.34</v>
      </c>
      <c r="AM18" s="8">
        <f>IFERROR(INDEX([1]SuSa_2024!BQ:BQ,MATCH($B18,[1]SuSa_2024!$B:$B,0)),"0")</f>
        <v>-20872625.34</v>
      </c>
      <c r="AN18" s="8">
        <f>IFERROR(INDEX([1]SuSa_2024!BR:BR,MATCH($B18,[1]SuSa_2024!$B:$B,0)),"0")</f>
        <v>-20872625.34</v>
      </c>
      <c r="AO18" s="8">
        <f>IFERROR(INDEX([1]SuSa_2024!BS:BS,MATCH($B18,[1]SuSa_2024!$B:$B,0)),"0")</f>
        <v>-24184071.600000001</v>
      </c>
      <c r="AP18" s="8">
        <f>IFERROR(INDEX([1]SuSa_2024!BT:BT,MATCH($B18,[1]SuSa_2024!$B:$B,0)),"0")</f>
        <v>-24184071.600000001</v>
      </c>
      <c r="AQ18" s="8">
        <f>IFERROR(INDEX([1]SuSa_2024!BU:BU,MATCH($B18,[1]SuSa_2024!$B:$B,0)),"0")</f>
        <v>-24184071.600000001</v>
      </c>
      <c r="AR18" s="8">
        <f>IFERROR(INDEX([1]SuSa_2024!BV:BV,MATCH($B18,[1]SuSa_2024!$B:$B,0)),"0")</f>
        <v>-24184071.600000001</v>
      </c>
      <c r="AS18" s="8">
        <f>IFERROR(INDEX([1]SuSa_2024!BW:BW,MATCH($B18,[1]SuSa_2024!$B:$B,0)),"0")</f>
        <v>-24184071.600000001</v>
      </c>
      <c r="AT18" s="8">
        <f>IFERROR(INDEX([1]SuSa_2024!BX:BX,MATCH($B18,[1]SuSa_2024!$B:$B,0)),"0")</f>
        <v>-24184071.600000001</v>
      </c>
      <c r="AU18" s="8">
        <f>IFERROR(INDEX([1]SuSa_2024!BY:BY,MATCH($B18,[1]SuSa_2024!$B:$B,0)),"0")</f>
        <v>-24184071.600000001</v>
      </c>
      <c r="AV18" s="8">
        <f>IFERROR(INDEX([1]SuSa_2025!AR:AR,MATCH($B18,[1]SuSa_2025!$B:$B,0)),"0")</f>
        <v>-24184071.600000001</v>
      </c>
      <c r="AW18" s="8">
        <f>IFERROR(INDEX([1]SuSa_2025!AS:AS,MATCH($B18,[1]SuSa_2025!$B:$B,0)),"0")</f>
        <v>-24184071.600000001</v>
      </c>
      <c r="AX18" s="8">
        <f>IFERROR(INDEX([1]SuSa_2025!AT:AT,MATCH($B18,[1]SuSa_2025!$B:$B,0)),"0")</f>
        <v>-24184071.600000001</v>
      </c>
      <c r="AY18" s="8">
        <f>IFERROR(INDEX([1]SuSa_2025!AU:AU,MATCH($B18,[1]SuSa_2025!$B:$B,0)),"0")</f>
        <v>-24184071.600000001</v>
      </c>
      <c r="AZ18" s="8">
        <f>IFERROR(INDEX([1]SuSa_2025!AV:AV,MATCH($B18,[1]SuSa_2025!$B:$B,0)),"0")</f>
        <v>-24184071.600000001</v>
      </c>
      <c r="BA18" s="8">
        <f>IFERROR(INDEX([1]SuSa_2025!AW:AW,MATCH($B18,[1]SuSa_2025!$B:$B,0)),"0")</f>
        <v>-24184071.600000001</v>
      </c>
      <c r="BB18" s="8">
        <f>IFERROR(INDEX([1]SuSa_2025!AX:AX,MATCH($B18,[1]SuSa_2025!$B:$B,0)),"0")</f>
        <v>-24184071.600000001</v>
      </c>
    </row>
    <row r="19" spans="1:55" outlineLevel="1" collapsed="1" x14ac:dyDescent="0.25">
      <c r="A19" s="5" t="s">
        <v>101</v>
      </c>
      <c r="B19" s="6" t="s">
        <v>102</v>
      </c>
      <c r="C19" t="s">
        <v>103</v>
      </c>
      <c r="F19" s="7">
        <f t="shared" si="0"/>
        <v>0</v>
      </c>
      <c r="G19" s="7">
        <f t="shared" si="1"/>
        <v>0</v>
      </c>
      <c r="H19" s="7" t="str">
        <f t="shared" si="2"/>
        <v>0</v>
      </c>
      <c r="I19" s="7" t="str">
        <f t="shared" si="3"/>
        <v>0</v>
      </c>
      <c r="K19" s="8" t="str">
        <f t="shared" si="4"/>
        <v>0</v>
      </c>
      <c r="AJ19" s="8" t="str">
        <f>IFERROR(INDEX([1]SuSa_2024!BN:BN,MATCH($B19,[1]SuSa_2024!$B:$B,0)),"0")</f>
        <v>0</v>
      </c>
      <c r="AK19" s="8" t="str">
        <f>IFERROR(INDEX([1]SuSa_2024!BO:BO,MATCH($B19,[1]SuSa_2024!$B:$B,0)),"0")</f>
        <v>0</v>
      </c>
      <c r="AL19" s="8" t="str">
        <f>IFERROR(INDEX([1]SuSa_2024!BP:BP,MATCH($B19,[1]SuSa_2024!$B:$B,0)),"0")</f>
        <v>0</v>
      </c>
      <c r="AM19" s="8" t="str">
        <f>IFERROR(INDEX([1]SuSa_2024!BQ:BQ,MATCH($B19,[1]SuSa_2024!$B:$B,0)),"0")</f>
        <v>0</v>
      </c>
      <c r="AN19" s="8" t="str">
        <f>IFERROR(INDEX([1]SuSa_2024!BR:BR,MATCH($B19,[1]SuSa_2024!$B:$B,0)),"0")</f>
        <v>0</v>
      </c>
      <c r="AO19" s="8" t="str">
        <f>IFERROR(INDEX([1]SuSa_2024!BS:BS,MATCH($B19,[1]SuSa_2024!$B:$B,0)),"0")</f>
        <v>0</v>
      </c>
      <c r="AP19" s="8" t="str">
        <f>IFERROR(INDEX([1]SuSa_2024!BT:BT,MATCH($B19,[1]SuSa_2024!$B:$B,0)),"0")</f>
        <v>0</v>
      </c>
      <c r="AQ19" s="8" t="str">
        <f>IFERROR(INDEX([1]SuSa_2024!BU:BU,MATCH($B19,[1]SuSa_2024!$B:$B,0)),"0")</f>
        <v>0</v>
      </c>
      <c r="AR19" s="8" t="str">
        <f>IFERROR(INDEX([1]SuSa_2024!BV:BV,MATCH($B19,[1]SuSa_2024!$B:$B,0)),"0")</f>
        <v>0</v>
      </c>
      <c r="AS19" s="8" t="str">
        <f>IFERROR(INDEX([1]SuSa_2024!BW:BW,MATCH($B19,[1]SuSa_2024!$B:$B,0)),"0")</f>
        <v>0</v>
      </c>
      <c r="AT19" s="8" t="str">
        <f>IFERROR(INDEX([1]SuSa_2024!BX:BX,MATCH($B19,[1]SuSa_2024!$B:$B,0)),"0")</f>
        <v>0</v>
      </c>
      <c r="AU19" s="8" t="str">
        <f>IFERROR(INDEX([1]SuSa_2024!BY:BY,MATCH($B19,[1]SuSa_2024!$B:$B,0)),"0")</f>
        <v>0</v>
      </c>
      <c r="AV19" s="8" t="str">
        <f>IFERROR(INDEX([1]SuSa_2025!AR:AR,MATCH($B19,[1]SuSa_2025!$B:$B,0)),"0")</f>
        <v>0</v>
      </c>
      <c r="AW19" s="8" t="str">
        <f>IFERROR(INDEX([1]SuSa_2025!AS:AS,MATCH($B19,[1]SuSa_2025!$B:$B,0)),"0")</f>
        <v>0</v>
      </c>
      <c r="AX19" s="8" t="str">
        <f>IFERROR(INDEX([1]SuSa_2025!AT:AT,MATCH($B19,[1]SuSa_2025!$B:$B,0)),"0")</f>
        <v>0</v>
      </c>
      <c r="AY19" s="8" t="str">
        <f>IFERROR(INDEX([1]SuSa_2025!AU:AU,MATCH($B19,[1]SuSa_2025!$B:$B,0)),"0")</f>
        <v>0</v>
      </c>
      <c r="AZ19" s="8" t="str">
        <f>IFERROR(INDEX([1]SuSa_2025!AV:AV,MATCH($B19,[1]SuSa_2025!$B:$B,0)),"0")</f>
        <v>0</v>
      </c>
      <c r="BA19" s="8" t="str">
        <f>IFERROR(INDEX([1]SuSa_2025!AW:AW,MATCH($B19,[1]SuSa_2025!$B:$B,0)),"0")</f>
        <v>0</v>
      </c>
      <c r="BB19" s="8" t="str">
        <f>IFERROR(INDEX([1]SuSa_2025!AX:AX,MATCH($B19,[1]SuSa_2025!$B:$B,0)),"0")</f>
        <v>0</v>
      </c>
    </row>
    <row r="20" spans="1:55" outlineLevel="1" collapsed="1" x14ac:dyDescent="0.25">
      <c r="A20" s="5" t="s">
        <v>104</v>
      </c>
      <c r="B20" s="6" t="s">
        <v>105</v>
      </c>
      <c r="C20" t="s">
        <v>106</v>
      </c>
      <c r="F20" s="7">
        <f t="shared" si="0"/>
        <v>0</v>
      </c>
      <c r="G20" s="7">
        <f t="shared" si="1"/>
        <v>17865402.25</v>
      </c>
      <c r="H20" s="7">
        <f t="shared" si="2"/>
        <v>20956901.109999999</v>
      </c>
      <c r="I20" s="7">
        <f t="shared" si="3"/>
        <v>20956901.109999999</v>
      </c>
      <c r="K20" s="8">
        <f t="shared" si="4"/>
        <v>20956901.109999999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17865402.25</v>
      </c>
      <c r="Y20" s="8">
        <v>17865402.25</v>
      </c>
      <c r="Z20" s="8">
        <v>17865402.25</v>
      </c>
      <c r="AA20" s="8">
        <v>17865402.25</v>
      </c>
      <c r="AB20" s="8">
        <v>17865402.25</v>
      </c>
      <c r="AC20" s="8">
        <v>17865402.25</v>
      </c>
      <c r="AD20" s="8">
        <v>17865402.25</v>
      </c>
      <c r="AE20" s="8">
        <v>17865402.25</v>
      </c>
      <c r="AF20" s="8">
        <v>17865402.25</v>
      </c>
      <c r="AG20" s="8">
        <v>17865402.25</v>
      </c>
      <c r="AH20" s="8">
        <v>17865402.25</v>
      </c>
      <c r="AI20" s="8">
        <v>17865402.25</v>
      </c>
      <c r="AJ20" s="8">
        <f>IFERROR(INDEX([1]SuSa_2024!BN:BN,MATCH($B20,[1]SuSa_2024!$B:$B,0)),"0")</f>
        <v>20956901.109999999</v>
      </c>
      <c r="AK20" s="8">
        <f>IFERROR(INDEX([1]SuSa_2024!BO:BO,MATCH($B20,[1]SuSa_2024!$B:$B,0)),"0")</f>
        <v>20956901.109999999</v>
      </c>
      <c r="AL20" s="8">
        <f>IFERROR(INDEX([1]SuSa_2024!BP:BP,MATCH($B20,[1]SuSa_2024!$B:$B,0)),"0")</f>
        <v>20956901.109999999</v>
      </c>
      <c r="AM20" s="8">
        <f>IFERROR(INDEX([1]SuSa_2024!BQ:BQ,MATCH($B20,[1]SuSa_2024!$B:$B,0)),"0")</f>
        <v>20956901.109999999</v>
      </c>
      <c r="AN20" s="8">
        <f>IFERROR(INDEX([1]SuSa_2024!BR:BR,MATCH($B20,[1]SuSa_2024!$B:$B,0)),"0")</f>
        <v>20956901.109999999</v>
      </c>
      <c r="AO20" s="8">
        <f>IFERROR(INDEX([1]SuSa_2024!BS:BS,MATCH($B20,[1]SuSa_2024!$B:$B,0)),"0")</f>
        <v>20956901.109999999</v>
      </c>
      <c r="AP20" s="8">
        <f>IFERROR(INDEX([1]SuSa_2024!BT:BT,MATCH($B20,[1]SuSa_2024!$B:$B,0)),"0")</f>
        <v>20956901.109999999</v>
      </c>
      <c r="AQ20" s="8">
        <f>IFERROR(INDEX([1]SuSa_2024!BU:BU,MATCH($B20,[1]SuSa_2024!$B:$B,0)),"0")</f>
        <v>20956901.109999999</v>
      </c>
      <c r="AR20" s="8">
        <f>IFERROR(INDEX([1]SuSa_2024!BV:BV,MATCH($B20,[1]SuSa_2024!$B:$B,0)),"0")</f>
        <v>20956901.109999999</v>
      </c>
      <c r="AS20" s="8">
        <f>IFERROR(INDEX([1]SuSa_2024!BW:BW,MATCH($B20,[1]SuSa_2024!$B:$B,0)),"0")</f>
        <v>20956901.109999999</v>
      </c>
      <c r="AT20" s="8">
        <f>IFERROR(INDEX([1]SuSa_2024!BX:BX,MATCH($B20,[1]SuSa_2024!$B:$B,0)),"0")</f>
        <v>20956901.109999999</v>
      </c>
      <c r="AU20" s="8">
        <f>IFERROR(INDEX([1]SuSa_2024!BY:BY,MATCH($B20,[1]SuSa_2024!$B:$B,0)),"0")</f>
        <v>20956901.109999999</v>
      </c>
      <c r="AV20" s="8">
        <f>IFERROR(INDEX([1]SuSa_2025!AR:AR,MATCH($B20,[1]SuSa_2025!$B:$B,0)),"0")</f>
        <v>20956901.109999999</v>
      </c>
      <c r="AW20" s="8">
        <f>IFERROR(INDEX([1]SuSa_2025!AS:AS,MATCH($B20,[1]SuSa_2025!$B:$B,0)),"0")</f>
        <v>20956901.109999999</v>
      </c>
      <c r="AX20" s="8">
        <f>IFERROR(INDEX([1]SuSa_2025!AT:AT,MATCH($B20,[1]SuSa_2025!$B:$B,0)),"0")</f>
        <v>20956901.109999999</v>
      </c>
      <c r="AY20" s="8">
        <f>IFERROR(INDEX([1]SuSa_2025!AU:AU,MATCH($B20,[1]SuSa_2025!$B:$B,0)),"0")</f>
        <v>20956901.109999999</v>
      </c>
      <c r="AZ20" s="8">
        <f>IFERROR(INDEX([1]SuSa_2025!AV:AV,MATCH($B20,[1]SuSa_2025!$B:$B,0)),"0")</f>
        <v>20956901.109999999</v>
      </c>
      <c r="BA20" s="8">
        <f>IFERROR(INDEX([1]SuSa_2025!AW:AW,MATCH($B20,[1]SuSa_2025!$B:$B,0)),"0")</f>
        <v>20956901.109999999</v>
      </c>
      <c r="BB20" s="8">
        <f>IFERROR(INDEX([1]SuSa_2025!AX:AX,MATCH($B20,[1]SuSa_2025!$B:$B,0)),"0")</f>
        <v>20956901.109999999</v>
      </c>
    </row>
    <row r="21" spans="1:55" s="12" customFormat="1" outlineLevel="1" collapsed="1" x14ac:dyDescent="0.25">
      <c r="A21" s="10" t="s">
        <v>107</v>
      </c>
      <c r="B21" s="11" t="s">
        <v>108</v>
      </c>
      <c r="C21" s="12" t="s">
        <v>109</v>
      </c>
      <c r="E21" s="12" t="s">
        <v>110</v>
      </c>
      <c r="F21" s="13">
        <f t="shared" si="0"/>
        <v>-491160.39</v>
      </c>
      <c r="G21" s="13">
        <f t="shared" si="1"/>
        <v>-676002.86</v>
      </c>
      <c r="H21" s="13">
        <f t="shared" si="2"/>
        <v>-78836.000000000058</v>
      </c>
      <c r="I21" s="13">
        <f t="shared" si="3"/>
        <v>-73452</v>
      </c>
      <c r="J21" s="14"/>
      <c r="K21" s="14">
        <f t="shared" si="4"/>
        <v>-165808.04000000004</v>
      </c>
      <c r="L21" s="14">
        <v>-290364.11</v>
      </c>
      <c r="M21" s="14">
        <v>-237288.04</v>
      </c>
      <c r="N21" s="14">
        <v>-224328.04</v>
      </c>
      <c r="O21" s="14">
        <v>-224328.04</v>
      </c>
      <c r="P21" s="14">
        <v>-224328.04</v>
      </c>
      <c r="Q21" s="14">
        <v>-224328.04</v>
      </c>
      <c r="R21" s="14">
        <v>-189236.47</v>
      </c>
      <c r="S21" s="14">
        <v>-189236.47</v>
      </c>
      <c r="T21" s="14">
        <v>-189236.47</v>
      </c>
      <c r="U21" s="14">
        <v>-189236.47</v>
      </c>
      <c r="V21" s="14">
        <v>-189236.47</v>
      </c>
      <c r="W21" s="14">
        <v>-491160.39</v>
      </c>
      <c r="X21" s="14">
        <v>-459668.19</v>
      </c>
      <c r="Y21" s="14">
        <v>-483057.18</v>
      </c>
      <c r="Z21" s="14">
        <v>-479472.2</v>
      </c>
      <c r="AA21" s="14">
        <v>-501770.82</v>
      </c>
      <c r="AB21" s="14">
        <v>-526728.34</v>
      </c>
      <c r="AC21" s="14">
        <v>-551967.66</v>
      </c>
      <c r="AD21" s="14">
        <v>-578514.67000000004</v>
      </c>
      <c r="AE21" s="14">
        <v>-581811.68000000005</v>
      </c>
      <c r="AF21" s="14">
        <v>-609671.18999999994</v>
      </c>
      <c r="AG21" s="14">
        <v>-637530.69999999995</v>
      </c>
      <c r="AH21" s="14">
        <v>-665390.21</v>
      </c>
      <c r="AI21" s="14">
        <v>-676002.86</v>
      </c>
      <c r="AJ21" s="8">
        <f>IFERROR(INDEX([1]SuSa_2024!BN:BN,MATCH($B21,[1]SuSa_2024!$B:$B,0)),"0")</f>
        <v>-697581.5</v>
      </c>
      <c r="AK21" s="8">
        <f>IFERROR(INDEX([1]SuSa_2024!BO:BO,MATCH($B21,[1]SuSa_2024!$B:$B,0)),"0")</f>
        <v>-620314.84</v>
      </c>
      <c r="AL21" s="8">
        <f>IFERROR(INDEX([1]SuSa_2024!BP:BP,MATCH($B21,[1]SuSa_2024!$B:$B,0)),"0")</f>
        <v>-640364.72</v>
      </c>
      <c r="AM21" s="8">
        <f>IFERROR(INDEX([1]SuSa_2024!BQ:BQ,MATCH($B21,[1]SuSa_2024!$B:$B,0)),"0")</f>
        <v>-115708.28000000003</v>
      </c>
      <c r="AN21" s="8">
        <f>IFERROR(INDEX([1]SuSa_2024!BR:BR,MATCH($B21,[1]SuSa_2024!$B:$B,0)),"0")</f>
        <v>-140758.16000000003</v>
      </c>
      <c r="AO21" s="8">
        <f>IFERROR(INDEX([1]SuSa_2024!BS:BS,MATCH($B21,[1]SuSa_2024!$B:$B,0)),"0")</f>
        <v>-165808.04000000004</v>
      </c>
      <c r="AP21" s="8">
        <f>IFERROR(INDEX([1]SuSa_2024!BT:BT,MATCH($B21,[1]SuSa_2024!$B:$B,0)),"0")</f>
        <v>-165808.04000000004</v>
      </c>
      <c r="AQ21" s="8">
        <f>IFERROR(INDEX([1]SuSa_2024!BU:BU,MATCH($B21,[1]SuSa_2024!$B:$B,0)),"0")</f>
        <v>-215907.80000000005</v>
      </c>
      <c r="AR21" s="8">
        <f>IFERROR(INDEX([1]SuSa_2024!BV:BV,MATCH($B21,[1]SuSa_2024!$B:$B,0)),"0")</f>
        <v>-240957.68000000005</v>
      </c>
      <c r="AS21" s="8">
        <f>IFERROR(INDEX([1]SuSa_2024!BW:BW,MATCH($B21,[1]SuSa_2024!$B:$B,0)),"0")</f>
        <v>-266007.56000000006</v>
      </c>
      <c r="AT21" s="8">
        <f>IFERROR(INDEX([1]SuSa_2024!BX:BX,MATCH($B21,[1]SuSa_2024!$B:$B,0)),"0")</f>
        <v>-291057.44000000006</v>
      </c>
      <c r="AU21" s="8">
        <f>IFERROR(INDEX([1]SuSa_2024!BY:BY,MATCH($B21,[1]SuSa_2024!$B:$B,0)),"0")</f>
        <v>-78836.000000000058</v>
      </c>
      <c r="AV21" s="8">
        <f>IFERROR(INDEX([1]SuSa_2025!AR:AR,MATCH($B21,[1]SuSa_2025!$B:$B,0)),"0")</f>
        <v>-48704</v>
      </c>
      <c r="AW21" s="8">
        <f>IFERROR(INDEX([1]SuSa_2025!AS:AS,MATCH($B21,[1]SuSa_2025!$B:$B,0)),"0")</f>
        <v>-52412</v>
      </c>
      <c r="AX21" s="8">
        <f>IFERROR(INDEX([1]SuSa_2025!AT:AT,MATCH($B21,[1]SuSa_2025!$B:$B,0)),"0")</f>
        <v>-56120</v>
      </c>
      <c r="AY21" s="8">
        <f>IFERROR(INDEX([1]SuSa_2025!AU:AU,MATCH($B21,[1]SuSa_2025!$B:$B,0)),"0")</f>
        <v>-59828</v>
      </c>
      <c r="AZ21" s="8">
        <f>IFERROR(INDEX([1]SuSa_2025!AV:AV,MATCH($B21,[1]SuSa_2025!$B:$B,0)),"0")</f>
        <v>-63536</v>
      </c>
      <c r="BA21" s="8">
        <f>IFERROR(INDEX([1]SuSa_2025!AW:AW,MATCH($B21,[1]SuSa_2025!$B:$B,0)),"0")</f>
        <v>-67244</v>
      </c>
      <c r="BB21" s="8">
        <f>IFERROR(INDEX([1]SuSa_2025!AX:AX,MATCH($B21,[1]SuSa_2025!$B:$B,0)),"0")</f>
        <v>-73452</v>
      </c>
      <c r="BC21" s="14"/>
    </row>
    <row r="22" spans="1:55" outlineLevel="1" collapsed="1" x14ac:dyDescent="0.25">
      <c r="A22" s="5" t="s">
        <v>111</v>
      </c>
      <c r="B22" s="6" t="s">
        <v>112</v>
      </c>
      <c r="C22" t="s">
        <v>113</v>
      </c>
      <c r="F22" s="7">
        <f t="shared" si="0"/>
        <v>-1071.31</v>
      </c>
      <c r="G22" s="7">
        <f t="shared" si="1"/>
        <v>-1033.81</v>
      </c>
      <c r="H22" s="7">
        <f t="shared" si="2"/>
        <v>-1033.81</v>
      </c>
      <c r="I22" s="7">
        <f t="shared" si="3"/>
        <v>-1033.81</v>
      </c>
      <c r="K22" s="8">
        <f t="shared" si="4"/>
        <v>-1033.81</v>
      </c>
      <c r="L22" s="8">
        <v>-1110.23</v>
      </c>
      <c r="M22" s="8">
        <v>-1110.23</v>
      </c>
      <c r="N22" s="8">
        <v>-1110.23</v>
      </c>
      <c r="O22" s="8">
        <v>-1110.23</v>
      </c>
      <c r="P22" s="8">
        <v>-1110.23</v>
      </c>
      <c r="Q22" s="8">
        <v>-1110.23</v>
      </c>
      <c r="R22" s="8">
        <v>-1110.23</v>
      </c>
      <c r="S22" s="8">
        <v>-1110.23</v>
      </c>
      <c r="T22" s="8">
        <v>-1110.23</v>
      </c>
      <c r="U22" s="8">
        <v>-1110.23</v>
      </c>
      <c r="V22" s="8">
        <v>-1110.23</v>
      </c>
      <c r="W22" s="8">
        <v>-1071.31</v>
      </c>
      <c r="X22" s="8">
        <v>-1071.31</v>
      </c>
      <c r="Y22" s="8">
        <v>-1071.31</v>
      </c>
      <c r="Z22" s="8">
        <v>-1071.31</v>
      </c>
      <c r="AA22" s="8">
        <v>-1071.31</v>
      </c>
      <c r="AB22" s="8">
        <v>-1071.31</v>
      </c>
      <c r="AC22" s="8">
        <v>-1071.31</v>
      </c>
      <c r="AD22" s="8">
        <v>-1071.31</v>
      </c>
      <c r="AE22" s="8">
        <v>-1071.31</v>
      </c>
      <c r="AF22" s="8">
        <v>-1071.31</v>
      </c>
      <c r="AG22" s="8">
        <v>-1071.31</v>
      </c>
      <c r="AH22" s="8">
        <v>-1071.31</v>
      </c>
      <c r="AI22" s="8">
        <v>-1033.81</v>
      </c>
      <c r="AJ22" s="8">
        <f>IFERROR(INDEX([1]SuSa_2024!BN:BN,MATCH($B22,[1]SuSa_2024!$B:$B,0)),"0")</f>
        <v>-1033.81</v>
      </c>
      <c r="AK22" s="8">
        <f>IFERROR(INDEX([1]SuSa_2024!BO:BO,MATCH($B22,[1]SuSa_2024!$B:$B,0)),"0")</f>
        <v>-1033.81</v>
      </c>
      <c r="AL22" s="8">
        <f>IFERROR(INDEX([1]SuSa_2024!BP:BP,MATCH($B22,[1]SuSa_2024!$B:$B,0)),"0")</f>
        <v>-1033.81</v>
      </c>
      <c r="AM22" s="8">
        <f>IFERROR(INDEX([1]SuSa_2024!BQ:BQ,MATCH($B22,[1]SuSa_2024!$B:$B,0)),"0")</f>
        <v>-1033.81</v>
      </c>
      <c r="AN22" s="8">
        <f>IFERROR(INDEX([1]SuSa_2024!BR:BR,MATCH($B22,[1]SuSa_2024!$B:$B,0)),"0")</f>
        <v>-1033.81</v>
      </c>
      <c r="AO22" s="8">
        <f>IFERROR(INDEX([1]SuSa_2024!BS:BS,MATCH($B22,[1]SuSa_2024!$B:$B,0)),"0")</f>
        <v>-1033.81</v>
      </c>
      <c r="AP22" s="8">
        <f>IFERROR(INDEX([1]SuSa_2024!BT:BT,MATCH($B22,[1]SuSa_2024!$B:$B,0)),"0")</f>
        <v>-1033.81</v>
      </c>
      <c r="AQ22" s="8">
        <f>IFERROR(INDEX([1]SuSa_2024!BU:BU,MATCH($B22,[1]SuSa_2024!$B:$B,0)),"0")</f>
        <v>-1033.81</v>
      </c>
      <c r="AR22" s="8">
        <f>IFERROR(INDEX([1]SuSa_2024!BV:BV,MATCH($B22,[1]SuSa_2024!$B:$B,0)),"0")</f>
        <v>-1033.81</v>
      </c>
      <c r="AS22" s="8">
        <f>IFERROR(INDEX([1]SuSa_2024!BW:BW,MATCH($B22,[1]SuSa_2024!$B:$B,0)),"0")</f>
        <v>-1033.81</v>
      </c>
      <c r="AT22" s="8">
        <f>IFERROR(INDEX([1]SuSa_2024!BX:BX,MATCH($B22,[1]SuSa_2024!$B:$B,0)),"0")</f>
        <v>-1033.81</v>
      </c>
      <c r="AU22" s="8">
        <f>IFERROR(INDEX([1]SuSa_2024!BY:BY,MATCH($B22,[1]SuSa_2024!$B:$B,0)),"0")</f>
        <v>-1033.81</v>
      </c>
      <c r="AV22" s="8">
        <f>IFERROR(INDEX([1]SuSa_2025!AR:AR,MATCH($B22,[1]SuSa_2025!$B:$B,0)),"0")</f>
        <v>-1033.81</v>
      </c>
      <c r="AW22" s="8">
        <f>IFERROR(INDEX([1]SuSa_2025!AS:AS,MATCH($B22,[1]SuSa_2025!$B:$B,0)),"0")</f>
        <v>-1033.81</v>
      </c>
      <c r="AX22" s="8">
        <f>IFERROR(INDEX([1]SuSa_2025!AT:AT,MATCH($B22,[1]SuSa_2025!$B:$B,0)),"0")</f>
        <v>-1033.81</v>
      </c>
      <c r="AY22" s="8">
        <f>IFERROR(INDEX([1]SuSa_2025!AU:AU,MATCH($B22,[1]SuSa_2025!$B:$B,0)),"0")</f>
        <v>-1033.81</v>
      </c>
      <c r="AZ22" s="8">
        <f>IFERROR(INDEX([1]SuSa_2025!AV:AV,MATCH($B22,[1]SuSa_2025!$B:$B,0)),"0")</f>
        <v>-1033.81</v>
      </c>
      <c r="BA22" s="8">
        <f>IFERROR(INDEX([1]SuSa_2025!AW:AW,MATCH($B22,[1]SuSa_2025!$B:$B,0)),"0")</f>
        <v>-1033.81</v>
      </c>
      <c r="BB22" s="8">
        <f>IFERROR(INDEX([1]SuSa_2025!AX:AX,MATCH($B22,[1]SuSa_2025!$B:$B,0)),"0")</f>
        <v>-1033.81</v>
      </c>
    </row>
    <row r="23" spans="1:55" s="12" customFormat="1" outlineLevel="1" collapsed="1" x14ac:dyDescent="0.25">
      <c r="A23" s="10" t="s">
        <v>114</v>
      </c>
      <c r="B23" s="11" t="s">
        <v>115</v>
      </c>
      <c r="C23" s="12" t="s">
        <v>116</v>
      </c>
      <c r="E23" s="12" t="s">
        <v>117</v>
      </c>
      <c r="F23" s="13">
        <f t="shared" si="0"/>
        <v>-169101.42</v>
      </c>
      <c r="G23" s="13">
        <f t="shared" si="1"/>
        <v>-160570.09</v>
      </c>
      <c r="H23" s="13">
        <f t="shared" si="2"/>
        <v>-14349.999999999985</v>
      </c>
      <c r="I23" s="13">
        <f t="shared" si="3"/>
        <v>-15350</v>
      </c>
      <c r="J23" s="14"/>
      <c r="K23" s="14">
        <f t="shared" si="4"/>
        <v>-86511.76999999999</v>
      </c>
      <c r="L23" s="14">
        <v>-67805.5</v>
      </c>
      <c r="M23" s="14">
        <v>-63772.25</v>
      </c>
      <c r="N23" s="14">
        <v>-80034.399999999994</v>
      </c>
      <c r="O23" s="14">
        <v>-95952.71</v>
      </c>
      <c r="P23" s="14">
        <v>-112043.77</v>
      </c>
      <c r="Q23" s="14">
        <v>-241375.71</v>
      </c>
      <c r="R23" s="14">
        <v>-267354.13</v>
      </c>
      <c r="S23" s="14">
        <v>-270040.19</v>
      </c>
      <c r="T23" s="14">
        <v>-26614.19</v>
      </c>
      <c r="U23" s="14">
        <v>-73954.33</v>
      </c>
      <c r="V23" s="14">
        <v>-135272.29</v>
      </c>
      <c r="W23" s="14">
        <v>-169101.42</v>
      </c>
      <c r="X23" s="14">
        <v>-235535.37</v>
      </c>
      <c r="Y23" s="14">
        <v>-261225.2</v>
      </c>
      <c r="Z23" s="14">
        <v>-234244</v>
      </c>
      <c r="AA23" s="14">
        <v>-206255.39</v>
      </c>
      <c r="AB23" s="14">
        <v>-248666.08</v>
      </c>
      <c r="AC23" s="14">
        <v>-173771.15</v>
      </c>
      <c r="AD23" s="14">
        <v>-164284.92000000001</v>
      </c>
      <c r="AE23" s="14">
        <v>-239175.47</v>
      </c>
      <c r="AF23" s="14">
        <v>-282341.95</v>
      </c>
      <c r="AG23" s="14">
        <v>-308788.28999999998</v>
      </c>
      <c r="AH23" s="14">
        <v>-334815.28000000003</v>
      </c>
      <c r="AI23" s="14">
        <v>-160570.09</v>
      </c>
      <c r="AJ23" s="8">
        <f>IFERROR(INDEX([1]SuSa_2024!BN:BN,MATCH($B23,[1]SuSa_2024!$B:$B,0)),"0")</f>
        <v>-135754.78</v>
      </c>
      <c r="AK23" s="8">
        <f>IFERROR(INDEX([1]SuSa_2024!BO:BO,MATCH($B23,[1]SuSa_2024!$B:$B,0)),"0")</f>
        <v>-106274.73</v>
      </c>
      <c r="AL23" s="8">
        <f>IFERROR(INDEX([1]SuSa_2024!BP:BP,MATCH($B23,[1]SuSa_2024!$B:$B,0)),"0")</f>
        <v>-94730.559999999998</v>
      </c>
      <c r="AM23" s="8">
        <f>IFERROR(INDEX([1]SuSa_2024!BQ:BQ,MATCH($B23,[1]SuSa_2024!$B:$B,0)),"0")</f>
        <v>-99412.78</v>
      </c>
      <c r="AN23" s="8">
        <f>IFERROR(INDEX([1]SuSa_2024!BR:BR,MATCH($B23,[1]SuSa_2024!$B:$B,0)),"0")</f>
        <v>-98480.069999999992</v>
      </c>
      <c r="AO23" s="8">
        <f>IFERROR(INDEX([1]SuSa_2024!BS:BS,MATCH($B23,[1]SuSa_2024!$B:$B,0)),"0")</f>
        <v>-86511.76999999999</v>
      </c>
      <c r="AP23" s="8">
        <f>IFERROR(INDEX([1]SuSa_2024!BT:BT,MATCH($B23,[1]SuSa_2024!$B:$B,0)),"0")</f>
        <v>-86511.76999999999</v>
      </c>
      <c r="AQ23" s="8">
        <f>IFERROR(INDEX([1]SuSa_2024!BU:BU,MATCH($B23,[1]SuSa_2024!$B:$B,0)),"0")</f>
        <v>-87511.76999999999</v>
      </c>
      <c r="AR23" s="8">
        <f>IFERROR(INDEX([1]SuSa_2024!BV:BV,MATCH($B23,[1]SuSa_2024!$B:$B,0)),"0")</f>
        <v>-88011.76999999999</v>
      </c>
      <c r="AS23" s="8">
        <f>IFERROR(INDEX([1]SuSa_2024!BW:BW,MATCH($B23,[1]SuSa_2024!$B:$B,0)),"0")</f>
        <v>-88511.76999999999</v>
      </c>
      <c r="AT23" s="8">
        <f>IFERROR(INDEX([1]SuSa_2024!BX:BX,MATCH($B23,[1]SuSa_2024!$B:$B,0)),"0")</f>
        <v>-89011.76999999999</v>
      </c>
      <c r="AU23" s="8">
        <f>IFERROR(INDEX([1]SuSa_2024!BY:BY,MATCH($B23,[1]SuSa_2024!$B:$B,0)),"0")</f>
        <v>-14349.999999999985</v>
      </c>
      <c r="AV23" s="8">
        <f>IFERROR(INDEX([1]SuSa_2025!AR:AR,MATCH($B23,[1]SuSa_2025!$B:$B,0)),"0")</f>
        <v>-14350</v>
      </c>
      <c r="AW23" s="8">
        <f>IFERROR(INDEX([1]SuSa_2025!AS:AS,MATCH($B23,[1]SuSa_2025!$B:$B,0)),"0")</f>
        <v>-14350</v>
      </c>
      <c r="AX23" s="8">
        <f>IFERROR(INDEX([1]SuSa_2025!AT:AT,MATCH($B23,[1]SuSa_2025!$B:$B,0)),"0")</f>
        <v>-14850</v>
      </c>
      <c r="AY23" s="8">
        <f>IFERROR(INDEX([1]SuSa_2025!AU:AU,MATCH($B23,[1]SuSa_2025!$B:$B,0)),"0")</f>
        <v>-15350</v>
      </c>
      <c r="AZ23" s="8">
        <f>IFERROR(INDEX([1]SuSa_2025!AV:AV,MATCH($B23,[1]SuSa_2025!$B:$B,0)),"0")</f>
        <v>-15350</v>
      </c>
      <c r="BA23" s="8">
        <f>IFERROR(INDEX([1]SuSa_2025!AW:AW,MATCH($B23,[1]SuSa_2025!$B:$B,0)),"0")</f>
        <v>-15350</v>
      </c>
      <c r="BB23" s="8">
        <f>IFERROR(INDEX([1]SuSa_2025!AX:AX,MATCH($B23,[1]SuSa_2025!$B:$B,0)),"0")</f>
        <v>-15350</v>
      </c>
      <c r="BC23" s="14"/>
    </row>
    <row r="24" spans="1:55" s="12" customFormat="1" outlineLevel="1" collapsed="1" x14ac:dyDescent="0.25">
      <c r="A24" s="10" t="s">
        <v>118</v>
      </c>
      <c r="B24" s="11" t="s">
        <v>119</v>
      </c>
      <c r="C24" s="12" t="s">
        <v>120</v>
      </c>
      <c r="F24" s="13">
        <f t="shared" si="0"/>
        <v>-44021</v>
      </c>
      <c r="G24" s="13">
        <f t="shared" si="1"/>
        <v>-57907.040000000001</v>
      </c>
      <c r="H24" s="13">
        <f t="shared" si="2"/>
        <v>-11300.000000000022</v>
      </c>
      <c r="I24" s="13">
        <f t="shared" si="3"/>
        <v>-13349.63</v>
      </c>
      <c r="J24" s="14"/>
      <c r="K24" s="14">
        <f t="shared" si="4"/>
        <v>-35807.98000000001</v>
      </c>
      <c r="L24" s="14">
        <v>-25400</v>
      </c>
      <c r="M24" s="14">
        <v>-25400</v>
      </c>
      <c r="N24" s="14">
        <v>-25400</v>
      </c>
      <c r="O24" s="14">
        <v>-25400</v>
      </c>
      <c r="P24" s="14">
        <v>-25400</v>
      </c>
      <c r="Q24" s="14">
        <v>-25400</v>
      </c>
      <c r="R24" s="14">
        <v>-25400</v>
      </c>
      <c r="S24" s="14">
        <v>-20400</v>
      </c>
      <c r="T24" s="14">
        <v>-20400</v>
      </c>
      <c r="U24" s="14">
        <v>-20400</v>
      </c>
      <c r="V24" s="14">
        <v>-20400</v>
      </c>
      <c r="W24" s="14">
        <v>-44021</v>
      </c>
      <c r="X24" s="14">
        <v>-46389.42</v>
      </c>
      <c r="Y24" s="14">
        <v>-48957.84</v>
      </c>
      <c r="Z24" s="14">
        <v>-38526.26</v>
      </c>
      <c r="AA24" s="14">
        <v>-41094.68</v>
      </c>
      <c r="AB24" s="14">
        <v>-43663.1</v>
      </c>
      <c r="AC24" s="14">
        <v>-46231.519999999997</v>
      </c>
      <c r="AD24" s="14">
        <v>-45064.94</v>
      </c>
      <c r="AE24" s="14">
        <v>-47633.36</v>
      </c>
      <c r="AF24" s="14">
        <v>-50201.78</v>
      </c>
      <c r="AG24" s="14">
        <v>-52770.2</v>
      </c>
      <c r="AH24" s="14">
        <v>-55338.62</v>
      </c>
      <c r="AI24" s="14">
        <v>-57907.040000000001</v>
      </c>
      <c r="AJ24" s="8">
        <f>IFERROR(INDEX([1]SuSa_2024!BN:BN,MATCH($B24,[1]SuSa_2024!$B:$B,0)),"0")</f>
        <v>-49962.37</v>
      </c>
      <c r="AK24" s="8">
        <f>IFERROR(INDEX([1]SuSa_2024!BO:BO,MATCH($B24,[1]SuSa_2024!$B:$B,0)),"0")</f>
        <v>-53295.700000000004</v>
      </c>
      <c r="AL24" s="8">
        <f>IFERROR(INDEX([1]SuSa_2024!BP:BP,MATCH($B24,[1]SuSa_2024!$B:$B,0)),"0")</f>
        <v>-56629.030000000006</v>
      </c>
      <c r="AM24" s="8">
        <f>IFERROR(INDEX([1]SuSa_2024!BQ:BQ,MATCH($B24,[1]SuSa_2024!$B:$B,0)),"0")</f>
        <v>-59962.360000000008</v>
      </c>
      <c r="AN24" s="8">
        <f>IFERROR(INDEX([1]SuSa_2024!BR:BR,MATCH($B24,[1]SuSa_2024!$B:$B,0)),"0")</f>
        <v>-63295.69000000001</v>
      </c>
      <c r="AO24" s="8">
        <f>IFERROR(INDEX([1]SuSa_2024!BS:BS,MATCH($B24,[1]SuSa_2024!$B:$B,0)),"0")</f>
        <v>-35807.98000000001</v>
      </c>
      <c r="AP24" s="8">
        <f>IFERROR(INDEX([1]SuSa_2024!BT:BT,MATCH($B24,[1]SuSa_2024!$B:$B,0)),"0")</f>
        <v>-35807.98000000001</v>
      </c>
      <c r="AQ24" s="8">
        <f>IFERROR(INDEX([1]SuSa_2024!BU:BU,MATCH($B24,[1]SuSa_2024!$B:$B,0)),"0")</f>
        <v>-42474.640000000014</v>
      </c>
      <c r="AR24" s="8">
        <f>IFERROR(INDEX([1]SuSa_2024!BV:BV,MATCH($B24,[1]SuSa_2024!$B:$B,0)),"0")</f>
        <v>-45807.970000000016</v>
      </c>
      <c r="AS24" s="8">
        <f>IFERROR(INDEX([1]SuSa_2024!BW:BW,MATCH($B24,[1]SuSa_2024!$B:$B,0)),"0")</f>
        <v>-49141.300000000017</v>
      </c>
      <c r="AT24" s="8">
        <f>IFERROR(INDEX([1]SuSa_2024!BX:BX,MATCH($B24,[1]SuSa_2024!$B:$B,0)),"0")</f>
        <v>-52474.630000000019</v>
      </c>
      <c r="AU24" s="8">
        <f>IFERROR(INDEX([1]SuSa_2024!BY:BY,MATCH($B24,[1]SuSa_2024!$B:$B,0)),"0")</f>
        <v>-11300.000000000022</v>
      </c>
      <c r="AV24" s="8">
        <f>IFERROR(INDEX([1]SuSa_2025!AR:AR,MATCH($B24,[1]SuSa_2025!$B:$B,0)),"0")</f>
        <v>-11633.33</v>
      </c>
      <c r="AW24" s="8">
        <f>IFERROR(INDEX([1]SuSa_2025!AS:AS,MATCH($B24,[1]SuSa_2025!$B:$B,0)),"0")</f>
        <v>-8633.33</v>
      </c>
      <c r="AX24" s="8">
        <f>IFERROR(INDEX([1]SuSa_2025!AT:AT,MATCH($B24,[1]SuSa_2025!$B:$B,0)),"0")</f>
        <v>-12299.99</v>
      </c>
      <c r="AY24" s="8">
        <f>IFERROR(INDEX([1]SuSa_2025!AU:AU,MATCH($B24,[1]SuSa_2025!$B:$B,0)),"0")</f>
        <v>-12633.32</v>
      </c>
      <c r="AZ24" s="8">
        <f>IFERROR(INDEX([1]SuSa_2025!AV:AV,MATCH($B24,[1]SuSa_2025!$B:$B,0)),"0")</f>
        <v>-12966.65</v>
      </c>
      <c r="BA24" s="8">
        <f>IFERROR(INDEX([1]SuSa_2025!AW:AW,MATCH($B24,[1]SuSa_2025!$B:$B,0)),"0")</f>
        <v>-13016.3</v>
      </c>
      <c r="BB24" s="8">
        <f>IFERROR(INDEX([1]SuSa_2025!AX:AX,MATCH($B24,[1]SuSa_2025!$B:$B,0)),"0")</f>
        <v>-13349.63</v>
      </c>
      <c r="BC24" s="14"/>
    </row>
    <row r="25" spans="1:55" outlineLevel="1" collapsed="1" x14ac:dyDescent="0.25">
      <c r="A25" s="5" t="s">
        <v>121</v>
      </c>
      <c r="B25" s="6" t="s">
        <v>122</v>
      </c>
      <c r="C25" t="s">
        <v>123</v>
      </c>
      <c r="F25" s="7">
        <f t="shared" si="0"/>
        <v>107487.63</v>
      </c>
      <c r="G25" s="7">
        <f t="shared" si="1"/>
        <v>67884.42</v>
      </c>
      <c r="H25" s="7">
        <f t="shared" si="2"/>
        <v>14418.289999999999</v>
      </c>
      <c r="I25" s="7">
        <f t="shared" si="3"/>
        <v>3962.2299999999996</v>
      </c>
      <c r="K25" s="8">
        <f t="shared" si="4"/>
        <v>68348.62</v>
      </c>
      <c r="L25" s="8">
        <v>44532.43</v>
      </c>
      <c r="M25" s="8">
        <v>38665.599999999999</v>
      </c>
      <c r="N25" s="8">
        <v>31471.89</v>
      </c>
      <c r="O25" s="8">
        <v>41474.800000000003</v>
      </c>
      <c r="P25" s="8">
        <v>42738.39</v>
      </c>
      <c r="Q25" s="8">
        <v>41608.129999999997</v>
      </c>
      <c r="R25" s="8">
        <v>76174.23</v>
      </c>
      <c r="S25" s="8">
        <v>72787.86</v>
      </c>
      <c r="T25" s="8">
        <v>63478.720000000001</v>
      </c>
      <c r="U25" s="8">
        <v>56660.73</v>
      </c>
      <c r="V25" s="8">
        <v>61693.47</v>
      </c>
      <c r="W25" s="8">
        <v>107487.63</v>
      </c>
      <c r="X25" s="8">
        <v>149440.93</v>
      </c>
      <c r="Y25" s="8">
        <v>125629.21</v>
      </c>
      <c r="Z25" s="8">
        <v>105410.79</v>
      </c>
      <c r="AA25" s="8">
        <v>88936.28</v>
      </c>
      <c r="AB25" s="8">
        <v>63825.72</v>
      </c>
      <c r="AC25" s="8">
        <v>57192.21</v>
      </c>
      <c r="AD25" s="8">
        <v>89206.23</v>
      </c>
      <c r="AE25" s="8">
        <v>104804.48</v>
      </c>
      <c r="AF25" s="8">
        <v>82339.92</v>
      </c>
      <c r="AG25" s="8">
        <v>60291.67</v>
      </c>
      <c r="AH25" s="8">
        <v>61055.88</v>
      </c>
      <c r="AI25" s="8">
        <v>67884.42</v>
      </c>
      <c r="AJ25" s="8">
        <f>IFERROR(INDEX([1]SuSa_2024!BN:BN,MATCH($B25,[1]SuSa_2024!$B:$B,0)),"0")</f>
        <v>107754.84</v>
      </c>
      <c r="AK25" s="8">
        <f>IFERROR(INDEX([1]SuSa_2024!BO:BO,MATCH($B25,[1]SuSa_2024!$B:$B,0)),"0")</f>
        <v>104112.4</v>
      </c>
      <c r="AL25" s="8">
        <f>IFERROR(INDEX([1]SuSa_2024!BP:BP,MATCH($B25,[1]SuSa_2024!$B:$B,0)),"0")</f>
        <v>95404.28</v>
      </c>
      <c r="AM25" s="8">
        <f>IFERROR(INDEX([1]SuSa_2024!BQ:BQ,MATCH($B25,[1]SuSa_2024!$B:$B,0)),"0")</f>
        <v>89307.19</v>
      </c>
      <c r="AN25" s="8">
        <f>IFERROR(INDEX([1]SuSa_2024!BR:BR,MATCH($B25,[1]SuSa_2024!$B:$B,0)),"0")</f>
        <v>103363.55</v>
      </c>
      <c r="AO25" s="8">
        <f>IFERROR(INDEX([1]SuSa_2024!BS:BS,MATCH($B25,[1]SuSa_2024!$B:$B,0)),"0")</f>
        <v>65096.12</v>
      </c>
      <c r="AP25" s="8">
        <f>IFERROR(INDEX([1]SuSa_2024!BT:BT,MATCH($B25,[1]SuSa_2024!$B:$B,0)),"0")</f>
        <v>68348.62</v>
      </c>
      <c r="AQ25" s="8">
        <f>IFERROR(INDEX([1]SuSa_2024!BU:BU,MATCH($B25,[1]SuSa_2024!$B:$B,0)),"0")</f>
        <v>47837.59</v>
      </c>
      <c r="AR25" s="8">
        <f>IFERROR(INDEX([1]SuSa_2024!BV:BV,MATCH($B25,[1]SuSa_2024!$B:$B,0)),"0")</f>
        <v>37031.06</v>
      </c>
      <c r="AS25" s="8">
        <f>IFERROR(INDEX([1]SuSa_2024!BW:BW,MATCH($B25,[1]SuSa_2024!$B:$B,0)),"0")</f>
        <v>26811.85</v>
      </c>
      <c r="AT25" s="8">
        <f>IFERROR(INDEX([1]SuSa_2024!BX:BX,MATCH($B25,[1]SuSa_2024!$B:$B,0)),"0")</f>
        <v>19391.53</v>
      </c>
      <c r="AU25" s="8">
        <f>IFERROR(INDEX([1]SuSa_2024!BY:BY,MATCH($B25,[1]SuSa_2024!$B:$B,0)),"0")</f>
        <v>14418.289999999999</v>
      </c>
      <c r="AV25" s="8">
        <f>IFERROR(INDEX([1]SuSa_2025!AR:AR,MATCH($B25,[1]SuSa_2025!$B:$B,0)),"0")</f>
        <v>11246.61</v>
      </c>
      <c r="AW25" s="8">
        <f>IFERROR(INDEX([1]SuSa_2025!AS:AS,MATCH($B25,[1]SuSa_2025!$B:$B,0)),"0")</f>
        <v>6277.5300000000007</v>
      </c>
      <c r="AX25" s="8">
        <f>IFERROR(INDEX([1]SuSa_2025!AT:AT,MATCH($B25,[1]SuSa_2025!$B:$B,0)),"0")</f>
        <v>15010.74</v>
      </c>
      <c r="AY25" s="8">
        <f>IFERROR(INDEX([1]SuSa_2025!AU:AU,MATCH($B25,[1]SuSa_2025!$B:$B,0)),"0")</f>
        <v>13425.539999999999</v>
      </c>
      <c r="AZ25" s="8">
        <f>IFERROR(INDEX([1]SuSa_2025!AV:AV,MATCH($B25,[1]SuSa_2025!$B:$B,0)),"0")</f>
        <v>9911.3799999999992</v>
      </c>
      <c r="BA25" s="8">
        <f>IFERROR(INDEX([1]SuSa_2025!AW:AW,MATCH($B25,[1]SuSa_2025!$B:$B,0)),"0")</f>
        <v>6774.1799999999994</v>
      </c>
      <c r="BB25" s="8">
        <f>IFERROR(INDEX([1]SuSa_2025!AX:AX,MATCH($B25,[1]SuSa_2025!$B:$B,0)),"0")</f>
        <v>3962.2299999999996</v>
      </c>
    </row>
    <row r="26" spans="1:55" s="12" customFormat="1" outlineLevel="1" collapsed="1" x14ac:dyDescent="0.25">
      <c r="A26" s="10" t="s">
        <v>124</v>
      </c>
      <c r="B26" s="11" t="s">
        <v>125</v>
      </c>
      <c r="C26" s="12" t="s">
        <v>126</v>
      </c>
      <c r="F26" s="13">
        <f t="shared" si="0"/>
        <v>0</v>
      </c>
      <c r="G26" s="13">
        <f t="shared" si="1"/>
        <v>0</v>
      </c>
      <c r="H26" s="13">
        <f t="shared" si="2"/>
        <v>-29637.86</v>
      </c>
      <c r="I26" s="13">
        <f t="shared" si="3"/>
        <v>-41038.9</v>
      </c>
      <c r="J26" s="14"/>
      <c r="K26" s="14">
        <f t="shared" si="4"/>
        <v>-30593.21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8">
        <f>IFERROR(INDEX([1]SuSa_2024!BN:BN,MATCH($B26,[1]SuSa_2024!$B:$B,0)),"0")</f>
        <v>0</v>
      </c>
      <c r="AK26" s="8">
        <f>IFERROR(INDEX([1]SuSa_2024!BO:BO,MATCH($B26,[1]SuSa_2024!$B:$B,0)),"0")</f>
        <v>0</v>
      </c>
      <c r="AL26" s="8">
        <f>IFERROR(INDEX([1]SuSa_2024!BP:BP,MATCH($B26,[1]SuSa_2024!$B:$B,0)),"0")</f>
        <v>-3150</v>
      </c>
      <c r="AM26" s="8">
        <f>IFERROR(INDEX([1]SuSa_2024!BQ:BQ,MATCH($B26,[1]SuSa_2024!$B:$B,0)),"0")</f>
        <v>31326.17</v>
      </c>
      <c r="AN26" s="8">
        <f>IFERROR(INDEX([1]SuSa_2024!BR:BR,MATCH($B26,[1]SuSa_2024!$B:$B,0)),"0")</f>
        <v>20550</v>
      </c>
      <c r="AO26" s="8">
        <f>IFERROR(INDEX([1]SuSa_2024!BS:BS,MATCH($B26,[1]SuSa_2024!$B:$B,0)),"0")</f>
        <v>-31287.379999999997</v>
      </c>
      <c r="AP26" s="8">
        <f>IFERROR(INDEX([1]SuSa_2024!BT:BT,MATCH($B26,[1]SuSa_2024!$B:$B,0)),"0")</f>
        <v>-30593.21</v>
      </c>
      <c r="AQ26" s="8">
        <f>IFERROR(INDEX([1]SuSa_2024!BU:BU,MATCH($B26,[1]SuSa_2024!$B:$B,0)),"0")</f>
        <v>-17359.43</v>
      </c>
      <c r="AR26" s="8">
        <f>IFERROR(INDEX([1]SuSa_2024!BV:BV,MATCH($B26,[1]SuSa_2024!$B:$B,0)),"0")</f>
        <v>-14949.79</v>
      </c>
      <c r="AS26" s="8">
        <f>IFERROR(INDEX([1]SuSa_2024!BW:BW,MATCH($B26,[1]SuSa_2024!$B:$B,0)),"0")</f>
        <v>-12540.150000000001</v>
      </c>
      <c r="AT26" s="8">
        <f>IFERROR(INDEX([1]SuSa_2024!BX:BX,MATCH($B26,[1]SuSa_2024!$B:$B,0)),"0")</f>
        <v>-10130.510000000002</v>
      </c>
      <c r="AU26" s="8">
        <f>IFERROR(INDEX([1]SuSa_2024!BY:BY,MATCH($B26,[1]SuSa_2024!$B:$B,0)),"0")</f>
        <v>-29637.86</v>
      </c>
      <c r="AV26" s="8">
        <f>IFERROR(INDEX([1]SuSa_2025!AR:AR,MATCH($B26,[1]SuSa_2025!$B:$B,0)),"0")</f>
        <v>-114355.91</v>
      </c>
      <c r="AW26" s="8">
        <f>IFERROR(INDEX([1]SuSa_2025!AS:AS,MATCH($B26,[1]SuSa_2025!$B:$B,0)),"0")</f>
        <v>-44552.69</v>
      </c>
      <c r="AX26" s="8">
        <f>IFERROR(INDEX([1]SuSa_2025!AT:AT,MATCH($B26,[1]SuSa_2025!$B:$B,0)),"0")</f>
        <v>-23702.63</v>
      </c>
      <c r="AY26" s="8">
        <f>IFERROR(INDEX([1]SuSa_2025!AU:AU,MATCH($B26,[1]SuSa_2025!$B:$B,0)),"0")</f>
        <v>-48412.33</v>
      </c>
      <c r="AZ26" s="8">
        <f>IFERROR(INDEX([1]SuSa_2025!AV:AV,MATCH($B26,[1]SuSa_2025!$B:$B,0)),"0")</f>
        <v>-76168.36</v>
      </c>
      <c r="BA26" s="8">
        <f>IFERROR(INDEX([1]SuSa_2025!AW:AW,MATCH($B26,[1]SuSa_2025!$B:$B,0)),"0")</f>
        <v>-31015.39</v>
      </c>
      <c r="BB26" s="8">
        <f>IFERROR(INDEX([1]SuSa_2025!AX:AX,MATCH($B26,[1]SuSa_2025!$B:$B,0)),"0")</f>
        <v>-41038.9</v>
      </c>
      <c r="BC26" s="14"/>
    </row>
    <row r="27" spans="1:55" outlineLevel="1" collapsed="1" x14ac:dyDescent="0.25">
      <c r="A27" s="5" t="s">
        <v>127</v>
      </c>
      <c r="B27" s="6" t="s">
        <v>128</v>
      </c>
      <c r="C27" t="s">
        <v>129</v>
      </c>
      <c r="F27" s="7">
        <f t="shared" si="0"/>
        <v>2141.62</v>
      </c>
      <c r="G27" s="7">
        <f t="shared" si="1"/>
        <v>1812.37</v>
      </c>
      <c r="H27" s="7">
        <f t="shared" si="2"/>
        <v>1762.87</v>
      </c>
      <c r="I27" s="7">
        <f t="shared" si="3"/>
        <v>1762.87</v>
      </c>
      <c r="K27" s="8">
        <f t="shared" si="4"/>
        <v>1762.87</v>
      </c>
      <c r="L27" s="8">
        <v>440.71</v>
      </c>
      <c r="M27" s="8">
        <v>730.08</v>
      </c>
      <c r="N27" s="8">
        <v>676.42</v>
      </c>
      <c r="O27" s="8">
        <v>510.43</v>
      </c>
      <c r="P27" s="8">
        <v>711.32</v>
      </c>
      <c r="Q27" s="8">
        <v>626.21</v>
      </c>
      <c r="R27" s="8">
        <v>558.46</v>
      </c>
      <c r="S27" s="8">
        <v>405.88</v>
      </c>
      <c r="T27" s="8">
        <v>347.02</v>
      </c>
      <c r="U27" s="8">
        <v>322.02</v>
      </c>
      <c r="V27" s="8">
        <v>799.02</v>
      </c>
      <c r="W27" s="8">
        <v>2141.62</v>
      </c>
      <c r="X27" s="8">
        <v>2124.16</v>
      </c>
      <c r="Y27" s="8">
        <v>2090.7199999999998</v>
      </c>
      <c r="Z27" s="8">
        <v>2090.7199999999998</v>
      </c>
      <c r="AA27" s="8">
        <v>2062.3000000000002</v>
      </c>
      <c r="AB27" s="8">
        <v>2062.3000000000002</v>
      </c>
      <c r="AC27" s="8">
        <v>2044.3</v>
      </c>
      <c r="AD27" s="8">
        <v>1894.3</v>
      </c>
      <c r="AE27" s="8">
        <v>1894.3</v>
      </c>
      <c r="AF27" s="8">
        <v>1894.3</v>
      </c>
      <c r="AG27" s="8">
        <v>1830</v>
      </c>
      <c r="AH27" s="8">
        <v>1830</v>
      </c>
      <c r="AI27" s="8">
        <v>1812.37</v>
      </c>
      <c r="AJ27" s="8">
        <f>IFERROR(INDEX([1]SuSa_2024!BN:BN,MATCH($B27,[1]SuSa_2024!$B:$B,0)),"0")</f>
        <v>1762.87</v>
      </c>
      <c r="AK27" s="8">
        <f>IFERROR(INDEX([1]SuSa_2024!BO:BO,MATCH($B27,[1]SuSa_2024!$B:$B,0)),"0")</f>
        <v>1762.87</v>
      </c>
      <c r="AL27" s="8">
        <f>IFERROR(INDEX([1]SuSa_2024!BP:BP,MATCH($B27,[1]SuSa_2024!$B:$B,0)),"0")</f>
        <v>1762.87</v>
      </c>
      <c r="AM27" s="8">
        <f>IFERROR(INDEX([1]SuSa_2024!BQ:BQ,MATCH($B27,[1]SuSa_2024!$B:$B,0)),"0")</f>
        <v>1762.87</v>
      </c>
      <c r="AN27" s="8">
        <f>IFERROR(INDEX([1]SuSa_2024!BR:BR,MATCH($B27,[1]SuSa_2024!$B:$B,0)),"0")</f>
        <v>1762.87</v>
      </c>
      <c r="AO27" s="8">
        <f>IFERROR(INDEX([1]SuSa_2024!BS:BS,MATCH($B27,[1]SuSa_2024!$B:$B,0)),"0")</f>
        <v>1762.87</v>
      </c>
      <c r="AP27" s="8">
        <f>IFERROR(INDEX([1]SuSa_2024!BT:BT,MATCH($B27,[1]SuSa_2024!$B:$B,0)),"0")</f>
        <v>1762.87</v>
      </c>
      <c r="AQ27" s="8">
        <f>IFERROR(INDEX([1]SuSa_2024!BU:BU,MATCH($B27,[1]SuSa_2024!$B:$B,0)),"0")</f>
        <v>1762.87</v>
      </c>
      <c r="AR27" s="8">
        <f>IFERROR(INDEX([1]SuSa_2024!BV:BV,MATCH($B27,[1]SuSa_2024!$B:$B,0)),"0")</f>
        <v>1762.87</v>
      </c>
      <c r="AS27" s="8">
        <f>IFERROR(INDEX([1]SuSa_2024!BW:BW,MATCH($B27,[1]SuSa_2024!$B:$B,0)),"0")</f>
        <v>1762.87</v>
      </c>
      <c r="AT27" s="8">
        <f>IFERROR(INDEX([1]SuSa_2024!BX:BX,MATCH($B27,[1]SuSa_2024!$B:$B,0)),"0")</f>
        <v>1762.87</v>
      </c>
      <c r="AU27" s="8">
        <f>IFERROR(INDEX([1]SuSa_2024!BY:BY,MATCH($B27,[1]SuSa_2024!$B:$B,0)),"0")</f>
        <v>1762.87</v>
      </c>
      <c r="AV27" s="8">
        <f>IFERROR(INDEX([1]SuSa_2025!AR:AR,MATCH($B27,[1]SuSa_2025!$B:$B,0)),"0")</f>
        <v>1762.87</v>
      </c>
      <c r="AW27" s="8">
        <f>IFERROR(INDEX([1]SuSa_2025!AS:AS,MATCH($B27,[1]SuSa_2025!$B:$B,0)),"0")</f>
        <v>1762.87</v>
      </c>
      <c r="AX27" s="8">
        <f>IFERROR(INDEX([1]SuSa_2025!AT:AT,MATCH($B27,[1]SuSa_2025!$B:$B,0)),"0")</f>
        <v>1762.87</v>
      </c>
      <c r="AY27" s="8">
        <f>IFERROR(INDEX([1]SuSa_2025!AU:AU,MATCH($B27,[1]SuSa_2025!$B:$B,0)),"0")</f>
        <v>1762.87</v>
      </c>
      <c r="AZ27" s="8">
        <f>IFERROR(INDEX([1]SuSa_2025!AV:AV,MATCH($B27,[1]SuSa_2025!$B:$B,0)),"0")</f>
        <v>1762.87</v>
      </c>
      <c r="BA27" s="8">
        <f>IFERROR(INDEX([1]SuSa_2025!AW:AW,MATCH($B27,[1]SuSa_2025!$B:$B,0)),"0")</f>
        <v>1762.87</v>
      </c>
      <c r="BB27" s="8">
        <f>IFERROR(INDEX([1]SuSa_2025!AX:AX,MATCH($B27,[1]SuSa_2025!$B:$B,0)),"0")</f>
        <v>1762.87</v>
      </c>
    </row>
    <row r="28" spans="1:55" outlineLevel="1" collapsed="1" x14ac:dyDescent="0.25">
      <c r="A28" s="5" t="s">
        <v>130</v>
      </c>
      <c r="B28" s="6" t="s">
        <v>131</v>
      </c>
      <c r="C28" t="s">
        <v>132</v>
      </c>
      <c r="F28" s="7">
        <f t="shared" si="0"/>
        <v>40118.43</v>
      </c>
      <c r="G28" s="7">
        <f t="shared" si="1"/>
        <v>0</v>
      </c>
      <c r="H28" s="7">
        <f t="shared" si="2"/>
        <v>0</v>
      </c>
      <c r="I28" s="7" t="str">
        <f t="shared" si="3"/>
        <v>0</v>
      </c>
      <c r="K28" s="8">
        <f t="shared" si="4"/>
        <v>0</v>
      </c>
      <c r="L28" s="8">
        <v>747282.54</v>
      </c>
      <c r="M28" s="8">
        <v>454034.08</v>
      </c>
      <c r="N28" s="8">
        <v>213643.44</v>
      </c>
      <c r="O28" s="8">
        <v>804362.85</v>
      </c>
      <c r="P28" s="8">
        <v>325993.39</v>
      </c>
      <c r="Q28" s="8">
        <v>407014.2</v>
      </c>
      <c r="R28" s="8">
        <v>186755.39</v>
      </c>
      <c r="S28" s="8">
        <v>153933.41</v>
      </c>
      <c r="T28" s="8">
        <v>152317.25</v>
      </c>
      <c r="U28" s="8">
        <v>25537.65</v>
      </c>
      <c r="V28" s="8">
        <v>43201.68</v>
      </c>
      <c r="W28" s="8">
        <v>40118.43</v>
      </c>
      <c r="X28" s="8">
        <v>39924.28</v>
      </c>
      <c r="Y28" s="8">
        <v>40440.44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f>IFERROR(INDEX([1]SuSa_2024!BN:BN,MATCH($B28,[1]SuSa_2024!$B:$B,0)),"0")</f>
        <v>0</v>
      </c>
      <c r="AK28" s="8">
        <f>IFERROR(INDEX([1]SuSa_2024!BO:BO,MATCH($B28,[1]SuSa_2024!$B:$B,0)),"0")</f>
        <v>0</v>
      </c>
      <c r="AL28" s="8">
        <f>IFERROR(INDEX([1]SuSa_2024!BP:BP,MATCH($B28,[1]SuSa_2024!$B:$B,0)),"0")</f>
        <v>0</v>
      </c>
      <c r="AM28" s="8">
        <f>IFERROR(INDEX([1]SuSa_2024!BQ:BQ,MATCH($B28,[1]SuSa_2024!$B:$B,0)),"0")</f>
        <v>0</v>
      </c>
      <c r="AN28" s="8">
        <f>IFERROR(INDEX([1]SuSa_2024!BR:BR,MATCH($B28,[1]SuSa_2024!$B:$B,0)),"0")</f>
        <v>0</v>
      </c>
      <c r="AO28" s="8">
        <f>IFERROR(INDEX([1]SuSa_2024!BS:BS,MATCH($B28,[1]SuSa_2024!$B:$B,0)),"0")</f>
        <v>0</v>
      </c>
      <c r="AP28" s="8">
        <f>IFERROR(INDEX([1]SuSa_2024!BT:BT,MATCH($B28,[1]SuSa_2024!$B:$B,0)),"0")</f>
        <v>0</v>
      </c>
      <c r="AQ28" s="8">
        <f>IFERROR(INDEX([1]SuSa_2024!BU:BU,MATCH($B28,[1]SuSa_2024!$B:$B,0)),"0")</f>
        <v>0</v>
      </c>
      <c r="AR28" s="8">
        <f>IFERROR(INDEX([1]SuSa_2024!BV:BV,MATCH($B28,[1]SuSa_2024!$B:$B,0)),"0")</f>
        <v>0</v>
      </c>
      <c r="AS28" s="8">
        <f>IFERROR(INDEX([1]SuSa_2024!BW:BW,MATCH($B28,[1]SuSa_2024!$B:$B,0)),"0")</f>
        <v>0</v>
      </c>
      <c r="AT28" s="8">
        <f>IFERROR(INDEX([1]SuSa_2024!BX:BX,MATCH($B28,[1]SuSa_2024!$B:$B,0)),"0")</f>
        <v>0</v>
      </c>
      <c r="AU28" s="8">
        <f>IFERROR(INDEX([1]SuSa_2024!BY:BY,MATCH($B28,[1]SuSa_2024!$B:$B,0)),"0")</f>
        <v>0</v>
      </c>
      <c r="AV28" s="8" t="str">
        <f>IFERROR(INDEX([1]SuSa_2025!AR:AR,MATCH($B28,[1]SuSa_2025!$B:$B,0)),"0")</f>
        <v>0</v>
      </c>
      <c r="AW28" s="8" t="str">
        <f>IFERROR(INDEX([1]SuSa_2025!AS:AS,MATCH($B28,[1]SuSa_2025!$B:$B,0)),"0")</f>
        <v>0</v>
      </c>
      <c r="AX28" s="8" t="str">
        <f>IFERROR(INDEX([1]SuSa_2025!AT:AT,MATCH($B28,[1]SuSa_2025!$B:$B,0)),"0")</f>
        <v>0</v>
      </c>
      <c r="AY28" s="8" t="str">
        <f>IFERROR(INDEX([1]SuSa_2025!AU:AU,MATCH($B28,[1]SuSa_2025!$B:$B,0)),"0")</f>
        <v>0</v>
      </c>
      <c r="AZ28" s="8" t="str">
        <f>IFERROR(INDEX([1]SuSa_2025!AV:AV,MATCH($B28,[1]SuSa_2025!$B:$B,0)),"0")</f>
        <v>0</v>
      </c>
      <c r="BA28" s="8" t="str">
        <f>IFERROR(INDEX([1]SuSa_2025!AW:AW,MATCH($B28,[1]SuSa_2025!$B:$B,0)),"0")</f>
        <v>0</v>
      </c>
      <c r="BB28" s="8" t="str">
        <f>IFERROR(INDEX([1]SuSa_2025!AX:AX,MATCH($B28,[1]SuSa_2025!$B:$B,0)),"0")</f>
        <v>0</v>
      </c>
    </row>
    <row r="29" spans="1:55" outlineLevel="1" collapsed="1" x14ac:dyDescent="0.25">
      <c r="A29" s="5" t="s">
        <v>133</v>
      </c>
      <c r="B29" s="6" t="s">
        <v>134</v>
      </c>
      <c r="C29" t="s">
        <v>135</v>
      </c>
      <c r="F29" s="7">
        <f t="shared" si="0"/>
        <v>1580.59</v>
      </c>
      <c r="G29" s="7">
        <f t="shared" si="1"/>
        <v>0</v>
      </c>
      <c r="H29" s="7">
        <f t="shared" si="2"/>
        <v>0</v>
      </c>
      <c r="I29" s="7" t="str">
        <f t="shared" si="3"/>
        <v>0</v>
      </c>
      <c r="K29" s="8">
        <f t="shared" si="4"/>
        <v>0</v>
      </c>
      <c r="L29" s="8">
        <v>207930.55</v>
      </c>
      <c r="M29" s="8">
        <v>224058.55</v>
      </c>
      <c r="N29" s="8">
        <v>223894.48</v>
      </c>
      <c r="O29" s="8">
        <v>423894.48</v>
      </c>
      <c r="P29" s="8">
        <v>423894.48</v>
      </c>
      <c r="Q29" s="8">
        <v>23339.17</v>
      </c>
      <c r="R29" s="8">
        <v>0</v>
      </c>
      <c r="S29" s="8">
        <v>0</v>
      </c>
      <c r="T29" s="8">
        <v>-6.99</v>
      </c>
      <c r="U29" s="8">
        <v>-6.99</v>
      </c>
      <c r="V29" s="8">
        <v>-6.99</v>
      </c>
      <c r="W29" s="8">
        <v>1580.59</v>
      </c>
      <c r="X29" s="8">
        <v>1580.59</v>
      </c>
      <c r="Y29" s="8">
        <v>1580.59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f>IFERROR(INDEX([1]SuSa_2024!BN:BN,MATCH($B29,[1]SuSa_2024!$B:$B,0)),"0")</f>
        <v>0</v>
      </c>
      <c r="AK29" s="8">
        <f>IFERROR(INDEX([1]SuSa_2024!BO:BO,MATCH($B29,[1]SuSa_2024!$B:$B,0)),"0")</f>
        <v>0</v>
      </c>
      <c r="AL29" s="8">
        <f>IFERROR(INDEX([1]SuSa_2024!BP:BP,MATCH($B29,[1]SuSa_2024!$B:$B,0)),"0")</f>
        <v>0</v>
      </c>
      <c r="AM29" s="8">
        <f>IFERROR(INDEX([1]SuSa_2024!BQ:BQ,MATCH($B29,[1]SuSa_2024!$B:$B,0)),"0")</f>
        <v>0</v>
      </c>
      <c r="AN29" s="8">
        <f>IFERROR(INDEX([1]SuSa_2024!BR:BR,MATCH($B29,[1]SuSa_2024!$B:$B,0)),"0")</f>
        <v>0</v>
      </c>
      <c r="AO29" s="8">
        <f>IFERROR(INDEX([1]SuSa_2024!BS:BS,MATCH($B29,[1]SuSa_2024!$B:$B,0)),"0")</f>
        <v>0</v>
      </c>
      <c r="AP29" s="8">
        <f>IFERROR(INDEX([1]SuSa_2024!BT:BT,MATCH($B29,[1]SuSa_2024!$B:$B,0)),"0")</f>
        <v>0</v>
      </c>
      <c r="AQ29" s="8">
        <f>IFERROR(INDEX([1]SuSa_2024!BU:BU,MATCH($B29,[1]SuSa_2024!$B:$B,0)),"0")</f>
        <v>0</v>
      </c>
      <c r="AR29" s="8">
        <f>IFERROR(INDEX([1]SuSa_2024!BV:BV,MATCH($B29,[1]SuSa_2024!$B:$B,0)),"0")</f>
        <v>0</v>
      </c>
      <c r="AS29" s="8">
        <f>IFERROR(INDEX([1]SuSa_2024!BW:BW,MATCH($B29,[1]SuSa_2024!$B:$B,0)),"0")</f>
        <v>0</v>
      </c>
      <c r="AT29" s="8">
        <f>IFERROR(INDEX([1]SuSa_2024!BX:BX,MATCH($B29,[1]SuSa_2024!$B:$B,0)),"0")</f>
        <v>0</v>
      </c>
      <c r="AU29" s="8">
        <f>IFERROR(INDEX([1]SuSa_2024!BY:BY,MATCH($B29,[1]SuSa_2024!$B:$B,0)),"0")</f>
        <v>0</v>
      </c>
      <c r="AV29" s="8" t="str">
        <f>IFERROR(INDEX([1]SuSa_2025!AR:AR,MATCH($B29,[1]SuSa_2025!$B:$B,0)),"0")</f>
        <v>0</v>
      </c>
      <c r="AW29" s="8" t="str">
        <f>IFERROR(INDEX([1]SuSa_2025!AS:AS,MATCH($B29,[1]SuSa_2025!$B:$B,0)),"0")</f>
        <v>0</v>
      </c>
      <c r="AX29" s="8" t="str">
        <f>IFERROR(INDEX([1]SuSa_2025!AT:AT,MATCH($B29,[1]SuSa_2025!$B:$B,0)),"0")</f>
        <v>0</v>
      </c>
      <c r="AY29" s="8" t="str">
        <f>IFERROR(INDEX([1]SuSa_2025!AU:AU,MATCH($B29,[1]SuSa_2025!$B:$B,0)),"0")</f>
        <v>0</v>
      </c>
      <c r="AZ29" s="8" t="str">
        <f>IFERROR(INDEX([1]SuSa_2025!AV:AV,MATCH($B29,[1]SuSa_2025!$B:$B,0)),"0")</f>
        <v>0</v>
      </c>
      <c r="BA29" s="8" t="str">
        <f>IFERROR(INDEX([1]SuSa_2025!AW:AW,MATCH($B29,[1]SuSa_2025!$B:$B,0)),"0")</f>
        <v>0</v>
      </c>
      <c r="BB29" s="8" t="str">
        <f>IFERROR(INDEX([1]SuSa_2025!AX:AX,MATCH($B29,[1]SuSa_2025!$B:$B,0)),"0")</f>
        <v>0</v>
      </c>
    </row>
    <row r="30" spans="1:55" outlineLevel="1" collapsed="1" x14ac:dyDescent="0.25">
      <c r="A30" s="5" t="s">
        <v>136</v>
      </c>
      <c r="B30" s="6" t="s">
        <v>137</v>
      </c>
      <c r="C30" t="s">
        <v>138</v>
      </c>
      <c r="F30" s="7">
        <f t="shared" si="0"/>
        <v>0</v>
      </c>
      <c r="G30" s="7">
        <f t="shared" si="1"/>
        <v>0</v>
      </c>
      <c r="H30" s="7">
        <f t="shared" si="2"/>
        <v>12935.200000000092</v>
      </c>
      <c r="I30" s="7" t="str">
        <f t="shared" si="3"/>
        <v>0</v>
      </c>
      <c r="K30" s="8">
        <f t="shared" si="4"/>
        <v>734511.60000000009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f>IFERROR(INDEX([1]SuSa_2024!BN:BN,MATCH($B30,[1]SuSa_2024!$B:$B,0)),"0")</f>
        <v>0</v>
      </c>
      <c r="AK30" s="8">
        <f>IFERROR(INDEX([1]SuSa_2024!BO:BO,MATCH($B30,[1]SuSa_2024!$B:$B,0)),"0")</f>
        <v>0</v>
      </c>
      <c r="AL30" s="8">
        <f>IFERROR(INDEX([1]SuSa_2024!BP:BP,MATCH($B30,[1]SuSa_2024!$B:$B,0)),"0")</f>
        <v>0</v>
      </c>
      <c r="AM30" s="8">
        <f>IFERROR(INDEX([1]SuSa_2024!BQ:BQ,MATCH($B30,[1]SuSa_2024!$B:$B,0)),"0")</f>
        <v>0</v>
      </c>
      <c r="AN30" s="8">
        <f>IFERROR(INDEX([1]SuSa_2024!BR:BR,MATCH($B30,[1]SuSa_2024!$B:$B,0)),"0")</f>
        <v>0</v>
      </c>
      <c r="AO30" s="8">
        <f>IFERROR(INDEX([1]SuSa_2024!BS:BS,MATCH($B30,[1]SuSa_2024!$B:$B,0)),"0")</f>
        <v>920960.81</v>
      </c>
      <c r="AP30" s="8">
        <f>IFERROR(INDEX([1]SuSa_2024!BT:BT,MATCH($B30,[1]SuSa_2024!$B:$B,0)),"0")</f>
        <v>734511.60000000009</v>
      </c>
      <c r="AQ30" s="8">
        <f>IFERROR(INDEX([1]SuSa_2024!BU:BU,MATCH($B30,[1]SuSa_2024!$B:$B,0)),"0")</f>
        <v>494958.60000000009</v>
      </c>
      <c r="AR30" s="8">
        <f>IFERROR(INDEX([1]SuSa_2024!BV:BV,MATCH($B30,[1]SuSa_2024!$B:$B,0)),"0")</f>
        <v>212127.5500000001</v>
      </c>
      <c r="AS30" s="8">
        <f>IFERROR(INDEX([1]SuSa_2024!BW:BW,MATCH($B30,[1]SuSa_2024!$B:$B,0)),"0")</f>
        <v>211439.7600000001</v>
      </c>
      <c r="AT30" s="8">
        <f>IFERROR(INDEX([1]SuSa_2024!BX:BX,MATCH($B30,[1]SuSa_2024!$B:$B,0)),"0")</f>
        <v>49657.69000000009</v>
      </c>
      <c r="AU30" s="8">
        <f>IFERROR(INDEX([1]SuSa_2024!BY:BY,MATCH($B30,[1]SuSa_2024!$B:$B,0)),"0")</f>
        <v>12935.200000000092</v>
      </c>
      <c r="AV30" s="8" t="str">
        <f>IFERROR(INDEX([1]SuSa_2025!AR:AR,MATCH($B30,[1]SuSa_2025!$B:$B,0)),"0")</f>
        <v>0</v>
      </c>
      <c r="AW30" s="8" t="str">
        <f>IFERROR(INDEX([1]SuSa_2025!AS:AS,MATCH($B30,[1]SuSa_2025!$B:$B,0)),"0")</f>
        <v>0</v>
      </c>
      <c r="AX30" s="8" t="str">
        <f>IFERROR(INDEX([1]SuSa_2025!AT:AT,MATCH($B30,[1]SuSa_2025!$B:$B,0)),"0")</f>
        <v>0</v>
      </c>
      <c r="AY30" s="8" t="str">
        <f>IFERROR(INDEX([1]SuSa_2025!AU:AU,MATCH($B30,[1]SuSa_2025!$B:$B,0)),"0")</f>
        <v>0</v>
      </c>
      <c r="AZ30" s="8" t="str">
        <f>IFERROR(INDEX([1]SuSa_2025!AV:AV,MATCH($B30,[1]SuSa_2025!$B:$B,0)),"0")</f>
        <v>0</v>
      </c>
      <c r="BA30" s="8" t="str">
        <f>IFERROR(INDEX([1]SuSa_2025!AW:AW,MATCH($B30,[1]SuSa_2025!$B:$B,0)),"0")</f>
        <v>0</v>
      </c>
      <c r="BB30" s="8" t="str">
        <f>IFERROR(INDEX([1]SuSa_2025!AX:AX,MATCH($B30,[1]SuSa_2025!$B:$B,0)),"0")</f>
        <v>0</v>
      </c>
    </row>
    <row r="31" spans="1:55" outlineLevel="1" collapsed="1" x14ac:dyDescent="0.25">
      <c r="A31" s="5" t="s">
        <v>136</v>
      </c>
      <c r="B31" s="6" t="s">
        <v>139</v>
      </c>
      <c r="C31" t="s">
        <v>140</v>
      </c>
      <c r="F31" s="7">
        <f t="shared" si="0"/>
        <v>0</v>
      </c>
      <c r="G31" s="7">
        <f t="shared" si="1"/>
        <v>0</v>
      </c>
      <c r="H31" s="7">
        <f t="shared" si="2"/>
        <v>319750.68</v>
      </c>
      <c r="I31" s="7">
        <f t="shared" si="3"/>
        <v>97799.77999999997</v>
      </c>
      <c r="K31" s="8">
        <f t="shared" si="4"/>
        <v>0</v>
      </c>
      <c r="AJ31" s="8">
        <f>IFERROR(INDEX([1]SuSa_2024!BN:BN,MATCH($B31,[1]SuSa_2024!$B:$B,0)),"0")</f>
        <v>0</v>
      </c>
      <c r="AK31" s="8">
        <f>IFERROR(INDEX([1]SuSa_2024!BO:BO,MATCH($B31,[1]SuSa_2024!$B:$B,0)),"0")</f>
        <v>0</v>
      </c>
      <c r="AL31" s="8">
        <f>IFERROR(INDEX([1]SuSa_2024!BP:BP,MATCH($B31,[1]SuSa_2024!$B:$B,0)),"0")</f>
        <v>0</v>
      </c>
      <c r="AM31" s="8">
        <f>IFERROR(INDEX([1]SuSa_2024!BQ:BQ,MATCH($B31,[1]SuSa_2024!$B:$B,0)),"0")</f>
        <v>0</v>
      </c>
      <c r="AN31" s="8">
        <f>IFERROR(INDEX([1]SuSa_2024!BR:BR,MATCH($B31,[1]SuSa_2024!$B:$B,0)),"0")</f>
        <v>0</v>
      </c>
      <c r="AO31" s="8">
        <f>IFERROR(INDEX([1]SuSa_2024!BS:BS,MATCH($B31,[1]SuSa_2024!$B:$B,0)),"0")</f>
        <v>0</v>
      </c>
      <c r="AP31" s="8">
        <f>IFERROR(INDEX([1]SuSa_2024!BT:BT,MATCH($B31,[1]SuSa_2024!$B:$B,0)),"0")</f>
        <v>0</v>
      </c>
      <c r="AQ31" s="8">
        <f>IFERROR(INDEX([1]SuSa_2024!BU:BU,MATCH($B31,[1]SuSa_2024!$B:$B,0)),"0")</f>
        <v>0</v>
      </c>
      <c r="AR31" s="8">
        <f>IFERROR(INDEX([1]SuSa_2024!BV:BV,MATCH($B31,[1]SuSa_2024!$B:$B,0)),"0")</f>
        <v>0</v>
      </c>
      <c r="AS31" s="8">
        <f>IFERROR(INDEX([1]SuSa_2024!BW:BW,MATCH($B31,[1]SuSa_2024!$B:$B,0)),"0")</f>
        <v>0</v>
      </c>
      <c r="AT31" s="8">
        <f>IFERROR(INDEX([1]SuSa_2024!BX:BX,MATCH($B31,[1]SuSa_2024!$B:$B,0)),"0")</f>
        <v>17565.25</v>
      </c>
      <c r="AU31" s="8">
        <f>IFERROR(INDEX([1]SuSa_2024!BY:BY,MATCH($B31,[1]SuSa_2024!$B:$B,0)),"0")</f>
        <v>319750.68</v>
      </c>
      <c r="AV31" s="8">
        <f>IFERROR(INDEX([1]SuSa_2025!AR:AR,MATCH($B31,[1]SuSa_2025!$B:$B,0)),"0")</f>
        <v>151846.53</v>
      </c>
      <c r="AW31" s="8">
        <f>IFERROR(INDEX([1]SuSa_2025!AS:AS,MATCH($B31,[1]SuSa_2025!$B:$B,0)),"0")</f>
        <v>157370.96</v>
      </c>
      <c r="AX31" s="8">
        <f>IFERROR(INDEX([1]SuSa_2025!AT:AT,MATCH($B31,[1]SuSa_2025!$B:$B,0)),"0")</f>
        <v>42758.389999999985</v>
      </c>
      <c r="AY31" s="8">
        <f>IFERROR(INDEX([1]SuSa_2025!AU:AU,MATCH($B31,[1]SuSa_2025!$B:$B,0)),"0")</f>
        <v>10366.989999999983</v>
      </c>
      <c r="AZ31" s="8">
        <f>IFERROR(INDEX([1]SuSa_2025!AV:AV,MATCH($B31,[1]SuSa_2025!$B:$B,0)),"0")</f>
        <v>66787.879999999976</v>
      </c>
      <c r="BA31" s="8">
        <f>IFERROR(INDEX([1]SuSa_2025!AW:AW,MATCH($B31,[1]SuSa_2025!$B:$B,0)),"0")</f>
        <v>9909.4899999999761</v>
      </c>
      <c r="BB31" s="8">
        <f>IFERROR(INDEX([1]SuSa_2025!AX:AX,MATCH($B31,[1]SuSa_2025!$B:$B,0)),"0")</f>
        <v>97799.77999999997</v>
      </c>
    </row>
    <row r="32" spans="1:55" outlineLevel="1" collapsed="1" x14ac:dyDescent="0.25">
      <c r="A32" s="5" t="s">
        <v>141</v>
      </c>
      <c r="B32" s="6" t="s">
        <v>142</v>
      </c>
      <c r="C32" t="s">
        <v>143</v>
      </c>
      <c r="F32" s="7">
        <f t="shared" si="0"/>
        <v>0</v>
      </c>
      <c r="G32" s="7">
        <f t="shared" si="1"/>
        <v>3563.48</v>
      </c>
      <c r="H32" s="7">
        <f t="shared" si="2"/>
        <v>685.27999999999975</v>
      </c>
      <c r="I32" s="7">
        <f t="shared" si="3"/>
        <v>596.92999999999995</v>
      </c>
      <c r="K32" s="8">
        <f t="shared" si="4"/>
        <v>412.89999999999964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AF32" s="8">
        <v>3729.63</v>
      </c>
      <c r="AG32" s="8">
        <v>4511.96</v>
      </c>
      <c r="AH32" s="8">
        <v>6214.34</v>
      </c>
      <c r="AI32" s="8">
        <v>3563.48</v>
      </c>
      <c r="AJ32" s="8">
        <f>IFERROR(INDEX([1]SuSa_2024!BN:BN,MATCH($B32,[1]SuSa_2024!$B:$B,0)),"0")</f>
        <v>1031.6999999999998</v>
      </c>
      <c r="AK32" s="8">
        <f>IFERROR(INDEX([1]SuSa_2024!BO:BO,MATCH($B32,[1]SuSa_2024!$B:$B,0)),"0")</f>
        <v>899.47999999999979</v>
      </c>
      <c r="AL32" s="8">
        <f>IFERROR(INDEX([1]SuSa_2024!BP:BP,MATCH($B32,[1]SuSa_2024!$B:$B,0)),"0")</f>
        <v>748.29999999999973</v>
      </c>
      <c r="AM32" s="8">
        <f>IFERROR(INDEX([1]SuSa_2024!BQ:BQ,MATCH($B32,[1]SuSa_2024!$B:$B,0)),"0")</f>
        <v>609.80999999999972</v>
      </c>
      <c r="AN32" s="8">
        <f>IFERROR(INDEX([1]SuSa_2024!BR:BR,MATCH($B32,[1]SuSa_2024!$B:$B,0)),"0")</f>
        <v>1065.4199999999996</v>
      </c>
      <c r="AO32" s="8">
        <f>IFERROR(INDEX([1]SuSa_2024!BS:BS,MATCH($B32,[1]SuSa_2024!$B:$B,0)),"0")</f>
        <v>657.0699999999996</v>
      </c>
      <c r="AP32" s="8">
        <f>IFERROR(INDEX([1]SuSa_2024!BT:BT,MATCH($B32,[1]SuSa_2024!$B:$B,0)),"0")</f>
        <v>412.89999999999964</v>
      </c>
      <c r="AQ32" s="8">
        <f>IFERROR(INDEX([1]SuSa_2024!BU:BU,MATCH($B32,[1]SuSa_2024!$B:$B,0)),"0")</f>
        <v>741.56999999999971</v>
      </c>
      <c r="AR32" s="8">
        <f>IFERROR(INDEX([1]SuSa_2024!BV:BV,MATCH($B32,[1]SuSa_2024!$B:$B,0)),"0")</f>
        <v>475.5799999999997</v>
      </c>
      <c r="AS32" s="8">
        <f>IFERROR(INDEX([1]SuSa_2024!BW:BW,MATCH($B32,[1]SuSa_2024!$B:$B,0)),"0")</f>
        <v>544.92999999999972</v>
      </c>
      <c r="AT32" s="8">
        <f>IFERROR(INDEX([1]SuSa_2024!BX:BX,MATCH($B32,[1]SuSa_2024!$B:$B,0)),"0")</f>
        <v>886.64999999999975</v>
      </c>
      <c r="AU32" s="8">
        <f>IFERROR(INDEX([1]SuSa_2024!BY:BY,MATCH($B32,[1]SuSa_2024!$B:$B,0)),"0")</f>
        <v>685.27999999999975</v>
      </c>
      <c r="AV32" s="8">
        <f>IFERROR(INDEX([1]SuSa_2025!AR:AR,MATCH($B32,[1]SuSa_2025!$B:$B,0)),"0")</f>
        <v>596.92999999999995</v>
      </c>
      <c r="AW32" s="8">
        <f>IFERROR(INDEX([1]SuSa_2025!AS:AS,MATCH($B32,[1]SuSa_2025!$B:$B,0)),"0")</f>
        <v>596.92999999999995</v>
      </c>
      <c r="AX32" s="8">
        <f>IFERROR(INDEX([1]SuSa_2025!AT:AT,MATCH($B32,[1]SuSa_2025!$B:$B,0)),"0")</f>
        <v>596.92999999999995</v>
      </c>
      <c r="AY32" s="8">
        <f>IFERROR(INDEX([1]SuSa_2025!AU:AU,MATCH($B32,[1]SuSa_2025!$B:$B,0)),"0")</f>
        <v>596.92999999999995</v>
      </c>
      <c r="AZ32" s="8">
        <f>IFERROR(INDEX([1]SuSa_2025!AV:AV,MATCH($B32,[1]SuSa_2025!$B:$B,0)),"0")</f>
        <v>596.92999999999995</v>
      </c>
      <c r="BA32" s="8">
        <f>IFERROR(INDEX([1]SuSa_2025!AW:AW,MATCH($B32,[1]SuSa_2025!$B:$B,0)),"0")</f>
        <v>596.92999999999995</v>
      </c>
      <c r="BB32" s="8">
        <f>IFERROR(INDEX([1]SuSa_2025!AX:AX,MATCH($B32,[1]SuSa_2025!$B:$B,0)),"0")</f>
        <v>596.92999999999995</v>
      </c>
    </row>
    <row r="33" spans="1:55" outlineLevel="1" collapsed="1" x14ac:dyDescent="0.25">
      <c r="A33" s="5" t="s">
        <v>141</v>
      </c>
      <c r="B33" s="6" t="s">
        <v>144</v>
      </c>
      <c r="C33" t="s">
        <v>145</v>
      </c>
      <c r="F33" s="7">
        <f t="shared" si="0"/>
        <v>0</v>
      </c>
      <c r="G33" s="7">
        <f t="shared" si="1"/>
        <v>677.18</v>
      </c>
      <c r="H33" s="7">
        <f t="shared" si="2"/>
        <v>953.8599999999999</v>
      </c>
      <c r="I33" s="7">
        <f t="shared" si="3"/>
        <v>953.86</v>
      </c>
      <c r="K33" s="8">
        <f t="shared" si="4"/>
        <v>913.59999999999991</v>
      </c>
      <c r="AF33" s="8">
        <v>217.15</v>
      </c>
      <c r="AG33" s="8">
        <v>426.98</v>
      </c>
      <c r="AH33" s="8">
        <v>643.89</v>
      </c>
      <c r="AI33" s="8">
        <v>677.18</v>
      </c>
      <c r="AJ33" s="8">
        <f>IFERROR(INDEX([1]SuSa_2024!BN:BN,MATCH($B33,[1]SuSa_2024!$B:$B,0)),"0")</f>
        <v>677.18</v>
      </c>
      <c r="AK33" s="8">
        <f>IFERROR(INDEX([1]SuSa_2024!BO:BO,MATCH($B33,[1]SuSa_2024!$B:$B,0)),"0")</f>
        <v>810.45999999999992</v>
      </c>
      <c r="AL33" s="8">
        <f>IFERROR(INDEX([1]SuSa_2024!BP:BP,MATCH($B33,[1]SuSa_2024!$B:$B,0)),"0")</f>
        <v>851.1099999999999</v>
      </c>
      <c r="AM33" s="8">
        <f>IFERROR(INDEX([1]SuSa_2024!BQ:BQ,MATCH($B33,[1]SuSa_2024!$B:$B,0)),"0")</f>
        <v>851.1099999999999</v>
      </c>
      <c r="AN33" s="8">
        <f>IFERROR(INDEX([1]SuSa_2024!BR:BR,MATCH($B33,[1]SuSa_2024!$B:$B,0)),"0")</f>
        <v>913.59999999999991</v>
      </c>
      <c r="AO33" s="8">
        <f>IFERROR(INDEX([1]SuSa_2024!BS:BS,MATCH($B33,[1]SuSa_2024!$B:$B,0)),"0")</f>
        <v>913.59999999999991</v>
      </c>
      <c r="AP33" s="8">
        <f>IFERROR(INDEX([1]SuSa_2024!BT:BT,MATCH($B33,[1]SuSa_2024!$B:$B,0)),"0")</f>
        <v>913.59999999999991</v>
      </c>
      <c r="AQ33" s="8">
        <f>IFERROR(INDEX([1]SuSa_2024!BU:BU,MATCH($B33,[1]SuSa_2024!$B:$B,0)),"0")</f>
        <v>913.59999999999991</v>
      </c>
      <c r="AR33" s="8">
        <f>IFERROR(INDEX([1]SuSa_2024!BV:BV,MATCH($B33,[1]SuSa_2024!$B:$B,0)),"0")</f>
        <v>913.59999999999991</v>
      </c>
      <c r="AS33" s="8">
        <f>IFERROR(INDEX([1]SuSa_2024!BW:BW,MATCH($B33,[1]SuSa_2024!$B:$B,0)),"0")</f>
        <v>913.59999999999991</v>
      </c>
      <c r="AT33" s="8">
        <f>IFERROR(INDEX([1]SuSa_2024!BX:BX,MATCH($B33,[1]SuSa_2024!$B:$B,0)),"0")</f>
        <v>913.59999999999991</v>
      </c>
      <c r="AU33" s="8">
        <f>IFERROR(INDEX([1]SuSa_2024!BY:BY,MATCH($B33,[1]SuSa_2024!$B:$B,0)),"0")</f>
        <v>953.8599999999999</v>
      </c>
      <c r="AV33" s="8">
        <f>IFERROR(INDEX([1]SuSa_2025!AR:AR,MATCH($B33,[1]SuSa_2025!$B:$B,0)),"0")</f>
        <v>953.86</v>
      </c>
      <c r="AW33" s="8">
        <f>IFERROR(INDEX([1]SuSa_2025!AS:AS,MATCH($B33,[1]SuSa_2025!$B:$B,0)),"0")</f>
        <v>953.86</v>
      </c>
      <c r="AX33" s="8">
        <f>IFERROR(INDEX([1]SuSa_2025!AT:AT,MATCH($B33,[1]SuSa_2025!$B:$B,0)),"0")</f>
        <v>953.86</v>
      </c>
      <c r="AY33" s="8">
        <f>IFERROR(INDEX([1]SuSa_2025!AU:AU,MATCH($B33,[1]SuSa_2025!$B:$B,0)),"0")</f>
        <v>953.86</v>
      </c>
      <c r="AZ33" s="8">
        <f>IFERROR(INDEX([1]SuSa_2025!AV:AV,MATCH($B33,[1]SuSa_2025!$B:$B,0)),"0")</f>
        <v>953.86</v>
      </c>
      <c r="BA33" s="8">
        <f>IFERROR(INDEX([1]SuSa_2025!AW:AW,MATCH($B33,[1]SuSa_2025!$B:$B,0)),"0")</f>
        <v>953.86</v>
      </c>
      <c r="BB33" s="8">
        <f>IFERROR(INDEX([1]SuSa_2025!AX:AX,MATCH($B33,[1]SuSa_2025!$B:$B,0)),"0")</f>
        <v>953.86</v>
      </c>
    </row>
    <row r="34" spans="1:55" outlineLevel="1" collapsed="1" x14ac:dyDescent="0.25">
      <c r="A34" s="5" t="s">
        <v>146</v>
      </c>
      <c r="B34" s="6" t="s">
        <v>147</v>
      </c>
      <c r="C34" t="s">
        <v>148</v>
      </c>
      <c r="E34" t="s">
        <v>149</v>
      </c>
      <c r="F34" s="7">
        <f t="shared" si="0"/>
        <v>0</v>
      </c>
      <c r="G34" s="7">
        <f t="shared" si="1"/>
        <v>0</v>
      </c>
      <c r="H34" s="7">
        <f t="shared" si="2"/>
        <v>0</v>
      </c>
      <c r="I34" s="7">
        <f t="shared" si="3"/>
        <v>0</v>
      </c>
      <c r="K34" s="8">
        <f t="shared" si="4"/>
        <v>0</v>
      </c>
      <c r="L34" s="8">
        <v>17.21</v>
      </c>
      <c r="M34" s="8">
        <v>0</v>
      </c>
      <c r="N34" s="8">
        <v>0</v>
      </c>
      <c r="O34" s="8">
        <v>10000</v>
      </c>
      <c r="P34" s="8">
        <v>0</v>
      </c>
      <c r="Q34" s="8">
        <v>0</v>
      </c>
      <c r="R34" s="8">
        <v>-20274.09</v>
      </c>
      <c r="S34" s="8">
        <v>0</v>
      </c>
      <c r="T34" s="8">
        <v>0</v>
      </c>
      <c r="U34" s="8">
        <v>-25000</v>
      </c>
      <c r="V34" s="8">
        <v>-25000</v>
      </c>
      <c r="W34" s="8">
        <v>0</v>
      </c>
      <c r="X34" s="8">
        <v>0</v>
      </c>
      <c r="Y34" s="8">
        <v>-1580.59</v>
      </c>
      <c r="Z34" s="8">
        <v>0</v>
      </c>
      <c r="AA34" s="8">
        <v>-29696.47</v>
      </c>
      <c r="AB34" s="8">
        <v>-3709.52</v>
      </c>
      <c r="AC34" s="8">
        <v>-6867.55</v>
      </c>
      <c r="AD34" s="8">
        <v>-15067.7</v>
      </c>
      <c r="AE34" s="8">
        <v>-24168.17</v>
      </c>
      <c r="AF34" s="8">
        <v>-21357.62</v>
      </c>
      <c r="AG34" s="8">
        <v>0</v>
      </c>
      <c r="AH34" s="8">
        <v>0</v>
      </c>
      <c r="AI34" s="8">
        <v>0</v>
      </c>
      <c r="AJ34" s="8">
        <f>IFERROR(INDEX([1]SuSa_2024!BN:BN,MATCH($B34,[1]SuSa_2024!$B:$B,0)),"0")</f>
        <v>0</v>
      </c>
      <c r="AK34" s="8">
        <f>IFERROR(INDEX([1]SuSa_2024!BO:BO,MATCH($B34,[1]SuSa_2024!$B:$B,0)),"0")</f>
        <v>0</v>
      </c>
      <c r="AL34" s="8">
        <f>IFERROR(INDEX([1]SuSa_2024!BP:BP,MATCH($B34,[1]SuSa_2024!$B:$B,0)),"0")</f>
        <v>-11772.47</v>
      </c>
      <c r="AM34" s="8">
        <f>IFERROR(INDEX([1]SuSa_2024!BQ:BQ,MATCH($B34,[1]SuSa_2024!$B:$B,0)),"0")</f>
        <v>0</v>
      </c>
      <c r="AN34" s="8">
        <f>IFERROR(INDEX([1]SuSa_2024!BR:BR,MATCH($B34,[1]SuSa_2024!$B:$B,0)),"0")</f>
        <v>0</v>
      </c>
      <c r="AO34" s="8">
        <f>IFERROR(INDEX([1]SuSa_2024!BS:BS,MATCH($B34,[1]SuSa_2024!$B:$B,0)),"0")</f>
        <v>0</v>
      </c>
      <c r="AP34" s="8">
        <f>IFERROR(INDEX([1]SuSa_2024!BT:BT,MATCH($B34,[1]SuSa_2024!$B:$B,0)),"0")</f>
        <v>0</v>
      </c>
      <c r="AQ34" s="8">
        <f>IFERROR(INDEX([1]SuSa_2024!BU:BU,MATCH($B34,[1]SuSa_2024!$B:$B,0)),"0")</f>
        <v>0</v>
      </c>
      <c r="AR34" s="8">
        <f>IFERROR(INDEX([1]SuSa_2024!BV:BV,MATCH($B34,[1]SuSa_2024!$B:$B,0)),"0")</f>
        <v>0</v>
      </c>
      <c r="AS34" s="8">
        <f>IFERROR(INDEX([1]SuSa_2024!BW:BW,MATCH($B34,[1]SuSa_2024!$B:$B,0)),"0")</f>
        <v>-85000</v>
      </c>
      <c r="AT34" s="8">
        <f>IFERROR(INDEX([1]SuSa_2024!BX:BX,MATCH($B34,[1]SuSa_2024!$B:$B,0)),"0")</f>
        <v>-85000</v>
      </c>
      <c r="AU34" s="8">
        <f>IFERROR(INDEX([1]SuSa_2024!BY:BY,MATCH($B34,[1]SuSa_2024!$B:$B,0)),"0")</f>
        <v>0</v>
      </c>
      <c r="AV34" s="8">
        <f>IFERROR(INDEX([1]SuSa_2025!AR:AR,MATCH($B34,[1]SuSa_2025!$B:$B,0)),"0")</f>
        <v>0</v>
      </c>
      <c r="AW34" s="8">
        <f>IFERROR(INDEX([1]SuSa_2025!AS:AS,MATCH($B34,[1]SuSa_2025!$B:$B,0)),"0")</f>
        <v>0</v>
      </c>
      <c r="AX34" s="8">
        <f>IFERROR(INDEX([1]SuSa_2025!AT:AT,MATCH($B34,[1]SuSa_2025!$B:$B,0)),"0")</f>
        <v>0</v>
      </c>
      <c r="AY34" s="8">
        <f>IFERROR(INDEX([1]SuSa_2025!AU:AU,MATCH($B34,[1]SuSa_2025!$B:$B,0)),"0")</f>
        <v>0</v>
      </c>
      <c r="AZ34" s="8">
        <f>IFERROR(INDEX([1]SuSa_2025!AV:AV,MATCH($B34,[1]SuSa_2025!$B:$B,0)),"0")</f>
        <v>0</v>
      </c>
      <c r="BA34" s="8">
        <f>IFERROR(INDEX([1]SuSa_2025!AW:AW,MATCH($B34,[1]SuSa_2025!$B:$B,0)),"0")</f>
        <v>0</v>
      </c>
      <c r="BB34" s="8">
        <f>IFERROR(INDEX([1]SuSa_2025!AX:AX,MATCH($B34,[1]SuSa_2025!$B:$B,0)),"0")</f>
        <v>0</v>
      </c>
    </row>
    <row r="35" spans="1:55" outlineLevel="1" collapsed="1" x14ac:dyDescent="0.25">
      <c r="A35" s="5" t="s">
        <v>146</v>
      </c>
      <c r="B35" s="6" t="s">
        <v>150</v>
      </c>
      <c r="C35" t="s">
        <v>151</v>
      </c>
      <c r="F35" s="7">
        <f t="shared" si="0"/>
        <v>0</v>
      </c>
      <c r="G35" s="7">
        <f t="shared" si="1"/>
        <v>0</v>
      </c>
      <c r="H35" s="7">
        <f t="shared" si="2"/>
        <v>0</v>
      </c>
      <c r="I35" s="7">
        <f t="shared" si="3"/>
        <v>0</v>
      </c>
      <c r="K35" s="8">
        <f t="shared" si="4"/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19892.400000000001</v>
      </c>
      <c r="V35" s="8">
        <v>34495.980000000003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f>IFERROR(INDEX([1]SuSa_2024!BN:BN,MATCH($B35,[1]SuSa_2024!$B:$B,0)),"0")</f>
        <v>0</v>
      </c>
      <c r="AK35" s="8">
        <f>IFERROR(INDEX([1]SuSa_2024!BO:BO,MATCH($B35,[1]SuSa_2024!$B:$B,0)),"0")</f>
        <v>0</v>
      </c>
      <c r="AL35" s="8">
        <f>IFERROR(INDEX([1]SuSa_2024!BP:BP,MATCH($B35,[1]SuSa_2024!$B:$B,0)),"0")</f>
        <v>0</v>
      </c>
      <c r="AM35" s="8">
        <f>IFERROR(INDEX([1]SuSa_2024!BQ:BQ,MATCH($B35,[1]SuSa_2024!$B:$B,0)),"0")</f>
        <v>0</v>
      </c>
      <c r="AN35" s="8">
        <f>IFERROR(INDEX([1]SuSa_2024!BR:BR,MATCH($B35,[1]SuSa_2024!$B:$B,0)),"0")</f>
        <v>0</v>
      </c>
      <c r="AO35" s="8">
        <f>IFERROR(INDEX([1]SuSa_2024!BS:BS,MATCH($B35,[1]SuSa_2024!$B:$B,0)),"0")</f>
        <v>0</v>
      </c>
      <c r="AP35" s="8">
        <f>IFERROR(INDEX([1]SuSa_2024!BT:BT,MATCH($B35,[1]SuSa_2024!$B:$B,0)),"0")</f>
        <v>0</v>
      </c>
      <c r="AQ35" s="8">
        <f>IFERROR(INDEX([1]SuSa_2024!BU:BU,MATCH($B35,[1]SuSa_2024!$B:$B,0)),"0")</f>
        <v>0</v>
      </c>
      <c r="AR35" s="8">
        <f>IFERROR(INDEX([1]SuSa_2024!BV:BV,MATCH($B35,[1]SuSa_2024!$B:$B,0)),"0")</f>
        <v>0</v>
      </c>
      <c r="AS35" s="8">
        <f>IFERROR(INDEX([1]SuSa_2024!BW:BW,MATCH($B35,[1]SuSa_2024!$B:$B,0)),"0")</f>
        <v>0</v>
      </c>
      <c r="AT35" s="8">
        <f>IFERROR(INDEX([1]SuSa_2024!BX:BX,MATCH($B35,[1]SuSa_2024!$B:$B,0)),"0")</f>
        <v>0</v>
      </c>
      <c r="AU35" s="8">
        <f>IFERROR(INDEX([1]SuSa_2024!BY:BY,MATCH($B35,[1]SuSa_2024!$B:$B,0)),"0")</f>
        <v>0</v>
      </c>
      <c r="AV35" s="8">
        <f>IFERROR(INDEX([1]SuSa_2025!AR:AR,MATCH($B35,[1]SuSa_2025!$B:$B,0)),"0")</f>
        <v>0</v>
      </c>
      <c r="AW35" s="8">
        <f>IFERROR(INDEX([1]SuSa_2025!AS:AS,MATCH($B35,[1]SuSa_2025!$B:$B,0)),"0")</f>
        <v>0</v>
      </c>
      <c r="AX35" s="8">
        <f>IFERROR(INDEX([1]SuSa_2025!AT:AT,MATCH($B35,[1]SuSa_2025!$B:$B,0)),"0")</f>
        <v>0</v>
      </c>
      <c r="AY35" s="8">
        <f>IFERROR(INDEX([1]SuSa_2025!AU:AU,MATCH($B35,[1]SuSa_2025!$B:$B,0)),"0")</f>
        <v>0</v>
      </c>
      <c r="AZ35" s="8">
        <f>IFERROR(INDEX([1]SuSa_2025!AV:AV,MATCH($B35,[1]SuSa_2025!$B:$B,0)),"0")</f>
        <v>0</v>
      </c>
      <c r="BA35" s="8">
        <f>IFERROR(INDEX([1]SuSa_2025!AW:AW,MATCH($B35,[1]SuSa_2025!$B:$B,0)),"0")</f>
        <v>0</v>
      </c>
      <c r="BB35" s="8">
        <f>IFERROR(INDEX([1]SuSa_2025!AX:AX,MATCH($B35,[1]SuSa_2025!$B:$B,0)),"0")</f>
        <v>0</v>
      </c>
    </row>
    <row r="36" spans="1:55" outlineLevel="1" collapsed="1" x14ac:dyDescent="0.25">
      <c r="A36" s="5" t="s">
        <v>152</v>
      </c>
      <c r="B36" s="6" t="s">
        <v>153</v>
      </c>
      <c r="C36" t="s">
        <v>154</v>
      </c>
      <c r="F36" s="7">
        <f t="shared" si="0"/>
        <v>0</v>
      </c>
      <c r="G36" s="7">
        <f t="shared" si="1"/>
        <v>0</v>
      </c>
      <c r="H36" s="7">
        <f t="shared" si="2"/>
        <v>143.94999999999999</v>
      </c>
      <c r="I36" s="7">
        <f t="shared" si="3"/>
        <v>32.569999999999993</v>
      </c>
      <c r="K36" s="8">
        <f t="shared" si="4"/>
        <v>-58.230000000000004</v>
      </c>
      <c r="AF36" s="8">
        <v>850.81</v>
      </c>
      <c r="AG36" s="8">
        <v>1808.51</v>
      </c>
      <c r="AH36" s="8">
        <v>2489.65</v>
      </c>
      <c r="AI36" s="8">
        <v>0</v>
      </c>
      <c r="AJ36" s="8">
        <f>IFERROR(INDEX([1]SuSa_2024!BN:BN,MATCH($B36,[1]SuSa_2024!$B:$B,0)),"0")</f>
        <v>0</v>
      </c>
      <c r="AK36" s="8">
        <f>IFERROR(INDEX([1]SuSa_2024!BO:BO,MATCH($B36,[1]SuSa_2024!$B:$B,0)),"0")</f>
        <v>256.13</v>
      </c>
      <c r="AL36" s="8">
        <f>IFERROR(INDEX([1]SuSa_2024!BP:BP,MATCH($B36,[1]SuSa_2024!$B:$B,0)),"0")</f>
        <v>0</v>
      </c>
      <c r="AM36" s="8">
        <f>IFERROR(INDEX([1]SuSa_2024!BQ:BQ,MATCH($B36,[1]SuSa_2024!$B:$B,0)),"0")</f>
        <v>194.05</v>
      </c>
      <c r="AN36" s="8">
        <f>IFERROR(INDEX([1]SuSa_2024!BR:BR,MATCH($B36,[1]SuSa_2024!$B:$B,0)),"0")</f>
        <v>0</v>
      </c>
      <c r="AO36" s="8">
        <f>IFERROR(INDEX([1]SuSa_2024!BS:BS,MATCH($B36,[1]SuSa_2024!$B:$B,0)),"0")</f>
        <v>-21.39</v>
      </c>
      <c r="AP36" s="8">
        <f>IFERROR(INDEX([1]SuSa_2024!BT:BT,MATCH($B36,[1]SuSa_2024!$B:$B,0)),"0")</f>
        <v>-58.230000000000004</v>
      </c>
      <c r="AQ36" s="8">
        <f>IFERROR(INDEX([1]SuSa_2024!BU:BU,MATCH($B36,[1]SuSa_2024!$B:$B,0)),"0")</f>
        <v>-30.830000000000005</v>
      </c>
      <c r="AR36" s="8">
        <f>IFERROR(INDEX([1]SuSa_2024!BV:BV,MATCH($B36,[1]SuSa_2024!$B:$B,0)),"0")</f>
        <v>-78.7</v>
      </c>
      <c r="AS36" s="8">
        <f>IFERROR(INDEX([1]SuSa_2024!BW:BW,MATCH($B36,[1]SuSa_2024!$B:$B,0)),"0")</f>
        <v>-34.46</v>
      </c>
      <c r="AT36" s="8">
        <f>IFERROR(INDEX([1]SuSa_2024!BX:BX,MATCH($B36,[1]SuSa_2024!$B:$B,0)),"0")</f>
        <v>364.5</v>
      </c>
      <c r="AU36" s="8">
        <f>IFERROR(INDEX([1]SuSa_2024!BY:BY,MATCH($B36,[1]SuSa_2024!$B:$B,0)),"0")</f>
        <v>143.94999999999999</v>
      </c>
      <c r="AV36" s="8">
        <f>IFERROR(INDEX([1]SuSa_2025!AR:AR,MATCH($B36,[1]SuSa_2025!$B:$B,0)),"0")</f>
        <v>32.569999999999993</v>
      </c>
      <c r="AW36" s="8">
        <f>IFERROR(INDEX([1]SuSa_2025!AS:AS,MATCH($B36,[1]SuSa_2025!$B:$B,0)),"0")</f>
        <v>32.569999999999993</v>
      </c>
      <c r="AX36" s="8">
        <f>IFERROR(INDEX([1]SuSa_2025!AT:AT,MATCH($B36,[1]SuSa_2025!$B:$B,0)),"0")</f>
        <v>32.569999999999993</v>
      </c>
      <c r="AY36" s="8">
        <f>IFERROR(INDEX([1]SuSa_2025!AU:AU,MATCH($B36,[1]SuSa_2025!$B:$B,0)),"0")</f>
        <v>32.569999999999993</v>
      </c>
      <c r="AZ36" s="8">
        <f>IFERROR(INDEX([1]SuSa_2025!AV:AV,MATCH($B36,[1]SuSa_2025!$B:$B,0)),"0")</f>
        <v>32.569999999999993</v>
      </c>
      <c r="BA36" s="8">
        <f>IFERROR(INDEX([1]SuSa_2025!AW:AW,MATCH($B36,[1]SuSa_2025!$B:$B,0)),"0")</f>
        <v>32.569999999999993</v>
      </c>
      <c r="BB36" s="8">
        <f>IFERROR(INDEX([1]SuSa_2025!AX:AX,MATCH($B36,[1]SuSa_2025!$B:$B,0)),"0")</f>
        <v>32.569999999999993</v>
      </c>
    </row>
    <row r="37" spans="1:55" outlineLevel="1" collapsed="1" x14ac:dyDescent="0.25">
      <c r="A37" s="5" t="s">
        <v>155</v>
      </c>
      <c r="B37" s="6" t="s">
        <v>156</v>
      </c>
      <c r="C37" t="s">
        <v>157</v>
      </c>
      <c r="F37" s="7">
        <f t="shared" si="0"/>
        <v>0</v>
      </c>
      <c r="G37" s="7">
        <f t="shared" si="1"/>
        <v>-203.3</v>
      </c>
      <c r="H37" s="7">
        <f t="shared" si="2"/>
        <v>-26.379999999999995</v>
      </c>
      <c r="I37" s="7">
        <f t="shared" si="3"/>
        <v>-5.5399999999999991</v>
      </c>
      <c r="K37" s="8">
        <f t="shared" si="4"/>
        <v>-0.22999999999999687</v>
      </c>
      <c r="AF37" s="8">
        <v>-1039.23</v>
      </c>
      <c r="AG37" s="8">
        <v>-1473.92</v>
      </c>
      <c r="AH37" s="8">
        <v>-835.05</v>
      </c>
      <c r="AI37" s="8">
        <v>-203.3</v>
      </c>
      <c r="AJ37" s="8">
        <f>IFERROR(INDEX([1]SuSa_2024!BN:BN,MATCH($B37,[1]SuSa_2024!$B:$B,0)),"0")</f>
        <v>0</v>
      </c>
      <c r="AK37" s="8">
        <f>IFERROR(INDEX([1]SuSa_2024!BO:BO,MATCH($B37,[1]SuSa_2024!$B:$B,0)),"0")</f>
        <v>-20.85</v>
      </c>
      <c r="AL37" s="8">
        <f>IFERROR(INDEX([1]SuSa_2024!BP:BP,MATCH($B37,[1]SuSa_2024!$B:$B,0)),"0")</f>
        <v>-61.58</v>
      </c>
      <c r="AM37" s="8">
        <f>IFERROR(INDEX([1]SuSa_2024!BQ:BQ,MATCH($B37,[1]SuSa_2024!$B:$B,0)),"0")</f>
        <v>-12.899999999999999</v>
      </c>
      <c r="AN37" s="8">
        <f>IFERROR(INDEX([1]SuSa_2024!BR:BR,MATCH($B37,[1]SuSa_2024!$B:$B,0)),"0")</f>
        <v>-36.75</v>
      </c>
      <c r="AO37" s="8">
        <f>IFERROR(INDEX([1]SuSa_2024!BS:BS,MATCH($B37,[1]SuSa_2024!$B:$B,0)),"0")</f>
        <v>4.9500000000000028</v>
      </c>
      <c r="AP37" s="8">
        <f>IFERROR(INDEX([1]SuSa_2024!BT:BT,MATCH($B37,[1]SuSa_2024!$B:$B,0)),"0")</f>
        <v>-0.22999999999999687</v>
      </c>
      <c r="AQ37" s="8">
        <f>IFERROR(INDEX([1]SuSa_2024!BU:BU,MATCH($B37,[1]SuSa_2024!$B:$B,0)),"0")</f>
        <v>54.370000000000005</v>
      </c>
      <c r="AR37" s="8">
        <f>IFERROR(INDEX([1]SuSa_2024!BV:BV,MATCH($B37,[1]SuSa_2024!$B:$B,0)),"0")</f>
        <v>-1.279999999999994</v>
      </c>
      <c r="AS37" s="8">
        <f>IFERROR(INDEX([1]SuSa_2024!BW:BW,MATCH($B37,[1]SuSa_2024!$B:$B,0)),"0")</f>
        <v>54.370000000000005</v>
      </c>
      <c r="AT37" s="8">
        <f>IFERROR(INDEX([1]SuSa_2024!BX:BX,MATCH($B37,[1]SuSa_2024!$B:$B,0)),"0")</f>
        <v>-61.789999999999992</v>
      </c>
      <c r="AU37" s="8">
        <f>IFERROR(INDEX([1]SuSa_2024!BY:BY,MATCH($B37,[1]SuSa_2024!$B:$B,0)),"0")</f>
        <v>-26.379999999999995</v>
      </c>
      <c r="AV37" s="8">
        <f>IFERROR(INDEX([1]SuSa_2025!AR:AR,MATCH($B37,[1]SuSa_2025!$B:$B,0)),"0")</f>
        <v>-5.5399999999999991</v>
      </c>
      <c r="AW37" s="8">
        <f>IFERROR(INDEX([1]SuSa_2025!AS:AS,MATCH($B37,[1]SuSa_2025!$B:$B,0)),"0")</f>
        <v>-5.5399999999999991</v>
      </c>
      <c r="AX37" s="8">
        <f>IFERROR(INDEX([1]SuSa_2025!AT:AT,MATCH($B37,[1]SuSa_2025!$B:$B,0)),"0")</f>
        <v>-5.5399999999999991</v>
      </c>
      <c r="AY37" s="8">
        <f>IFERROR(INDEX([1]SuSa_2025!AU:AU,MATCH($B37,[1]SuSa_2025!$B:$B,0)),"0")</f>
        <v>-5.5399999999999991</v>
      </c>
      <c r="AZ37" s="8">
        <f>IFERROR(INDEX([1]SuSa_2025!AV:AV,MATCH($B37,[1]SuSa_2025!$B:$B,0)),"0")</f>
        <v>-5.5399999999999991</v>
      </c>
      <c r="BA37" s="8">
        <f>IFERROR(INDEX([1]SuSa_2025!AW:AW,MATCH($B37,[1]SuSa_2025!$B:$B,0)),"0")</f>
        <v>-5.5399999999999991</v>
      </c>
      <c r="BB37" s="8">
        <f>IFERROR(INDEX([1]SuSa_2025!AX:AX,MATCH($B37,[1]SuSa_2025!$B:$B,0)),"0")</f>
        <v>-5.5399999999999991</v>
      </c>
    </row>
    <row r="38" spans="1:55" s="12" customFormat="1" outlineLevel="1" collapsed="1" x14ac:dyDescent="0.25">
      <c r="A38" s="10" t="s">
        <v>158</v>
      </c>
      <c r="B38" s="11" t="s">
        <v>159</v>
      </c>
      <c r="C38" s="12" t="s">
        <v>160</v>
      </c>
      <c r="F38" s="13">
        <f t="shared" si="0"/>
        <v>451292.81</v>
      </c>
      <c r="G38" s="13">
        <f t="shared" si="1"/>
        <v>561521.43999999994</v>
      </c>
      <c r="H38" s="13">
        <f t="shared" si="2"/>
        <v>122130.6399999999</v>
      </c>
      <c r="I38" s="13">
        <f t="shared" si="3"/>
        <v>233080.31000000003</v>
      </c>
      <c r="J38" s="14"/>
      <c r="K38" s="14">
        <f t="shared" si="4"/>
        <v>375906.18999999989</v>
      </c>
      <c r="L38" s="14">
        <v>250212.99</v>
      </c>
      <c r="M38" s="14">
        <v>285777.01</v>
      </c>
      <c r="N38" s="14">
        <v>261774.93</v>
      </c>
      <c r="O38" s="14">
        <v>146197.9</v>
      </c>
      <c r="P38" s="14">
        <v>440509.29</v>
      </c>
      <c r="Q38" s="14">
        <v>473247.27</v>
      </c>
      <c r="R38" s="14">
        <v>467812.84</v>
      </c>
      <c r="S38" s="14">
        <v>435864.31</v>
      </c>
      <c r="T38" s="14">
        <v>114423.86</v>
      </c>
      <c r="U38" s="14">
        <v>218078.86</v>
      </c>
      <c r="V38" s="14">
        <v>238532.56</v>
      </c>
      <c r="W38" s="14">
        <v>451292.81</v>
      </c>
      <c r="X38" s="14">
        <v>429660.35</v>
      </c>
      <c r="Y38" s="14">
        <v>329489.61</v>
      </c>
      <c r="Z38" s="14">
        <v>598640.49</v>
      </c>
      <c r="AA38" s="14">
        <v>612309.78</v>
      </c>
      <c r="AB38" s="14">
        <v>636639.06999999995</v>
      </c>
      <c r="AC38" s="14">
        <v>602590.02</v>
      </c>
      <c r="AD38" s="14">
        <v>553718.67000000004</v>
      </c>
      <c r="AE38" s="14">
        <v>895393.98</v>
      </c>
      <c r="AF38" s="14">
        <v>891800.15</v>
      </c>
      <c r="AG38" s="14">
        <v>829215.2</v>
      </c>
      <c r="AH38" s="14">
        <v>1027417.42</v>
      </c>
      <c r="AI38" s="14">
        <v>561521.43999999994</v>
      </c>
      <c r="AJ38" s="8">
        <f>IFERROR(INDEX([1]SuSa_2024!BN:BN,MATCH($B38,[1]SuSa_2024!$B:$B,0)),"0")</f>
        <v>548227.79999999993</v>
      </c>
      <c r="AK38" s="8">
        <f>IFERROR(INDEX([1]SuSa_2024!BO:BO,MATCH($B38,[1]SuSa_2024!$B:$B,0)),"0")</f>
        <v>543319.37999999989</v>
      </c>
      <c r="AL38" s="8">
        <f>IFERROR(INDEX([1]SuSa_2024!BP:BP,MATCH($B38,[1]SuSa_2024!$B:$B,0)),"0")</f>
        <v>516167.9499999999</v>
      </c>
      <c r="AM38" s="8">
        <f>IFERROR(INDEX([1]SuSa_2024!BQ:BQ,MATCH($B38,[1]SuSa_2024!$B:$B,0)),"0")</f>
        <v>439259.78999999992</v>
      </c>
      <c r="AN38" s="8">
        <f>IFERROR(INDEX([1]SuSa_2024!BR:BR,MATCH($B38,[1]SuSa_2024!$B:$B,0)),"0")</f>
        <v>600732.12999999989</v>
      </c>
      <c r="AO38" s="8">
        <f>IFERROR(INDEX([1]SuSa_2024!BS:BS,MATCH($B38,[1]SuSa_2024!$B:$B,0)),"0")</f>
        <v>527305.87999999989</v>
      </c>
      <c r="AP38" s="8">
        <f>IFERROR(INDEX([1]SuSa_2024!BT:BT,MATCH($B38,[1]SuSa_2024!$B:$B,0)),"0")</f>
        <v>375906.18999999989</v>
      </c>
      <c r="AQ38" s="8">
        <f>IFERROR(INDEX([1]SuSa_2024!BU:BU,MATCH($B38,[1]SuSa_2024!$B:$B,0)),"0")</f>
        <v>329334.40999999992</v>
      </c>
      <c r="AR38" s="8">
        <f>IFERROR(INDEX([1]SuSa_2024!BV:BV,MATCH($B38,[1]SuSa_2024!$B:$B,0)),"0")</f>
        <v>390108.53999999992</v>
      </c>
      <c r="AS38" s="8">
        <f>IFERROR(INDEX([1]SuSa_2024!BW:BW,MATCH($B38,[1]SuSa_2024!$B:$B,0)),"0")</f>
        <v>473263.53999999992</v>
      </c>
      <c r="AT38" s="8">
        <f>IFERROR(INDEX([1]SuSa_2024!BX:BX,MATCH($B38,[1]SuSa_2024!$B:$B,0)),"0")</f>
        <v>543948.14999999991</v>
      </c>
      <c r="AU38" s="8">
        <f>IFERROR(INDEX([1]SuSa_2024!BY:BY,MATCH($B38,[1]SuSa_2024!$B:$B,0)),"0")</f>
        <v>122130.6399999999</v>
      </c>
      <c r="AV38" s="8">
        <f>IFERROR(INDEX([1]SuSa_2025!AR:AR,MATCH($B38,[1]SuSa_2025!$B:$B,0)),"0")</f>
        <v>257415.76</v>
      </c>
      <c r="AW38" s="8">
        <f>IFERROR(INDEX([1]SuSa_2025!AS:AS,MATCH($B38,[1]SuSa_2025!$B:$B,0)),"0")</f>
        <v>140186</v>
      </c>
      <c r="AX38" s="8">
        <f>IFERROR(INDEX([1]SuSa_2025!AT:AT,MATCH($B38,[1]SuSa_2025!$B:$B,0)),"0")</f>
        <v>161294.01</v>
      </c>
      <c r="AY38" s="8">
        <f>IFERROR(INDEX([1]SuSa_2025!AU:AU,MATCH($B38,[1]SuSa_2025!$B:$B,0)),"0")</f>
        <v>187850.67</v>
      </c>
      <c r="AZ38" s="8">
        <f>IFERROR(INDEX([1]SuSa_2025!AV:AV,MATCH($B38,[1]SuSa_2025!$B:$B,0)),"0")</f>
        <v>202474.85</v>
      </c>
      <c r="BA38" s="8">
        <f>IFERROR(INDEX([1]SuSa_2025!AW:AW,MATCH($B38,[1]SuSa_2025!$B:$B,0)),"0")</f>
        <v>318019.96000000002</v>
      </c>
      <c r="BB38" s="8">
        <f>IFERROR(INDEX([1]SuSa_2025!AX:AX,MATCH($B38,[1]SuSa_2025!$B:$B,0)),"0")</f>
        <v>233080.31000000003</v>
      </c>
      <c r="BC38" s="14"/>
    </row>
    <row r="39" spans="1:55" outlineLevel="1" collapsed="1" x14ac:dyDescent="0.25">
      <c r="A39" s="5" t="s">
        <v>161</v>
      </c>
      <c r="B39" s="6" t="s">
        <v>162</v>
      </c>
      <c r="C39" t="s">
        <v>163</v>
      </c>
      <c r="F39" s="7">
        <f t="shared" si="0"/>
        <v>0</v>
      </c>
      <c r="G39" s="7">
        <f t="shared" si="1"/>
        <v>0</v>
      </c>
      <c r="H39" s="7">
        <f t="shared" si="2"/>
        <v>0</v>
      </c>
      <c r="I39" s="7">
        <f t="shared" si="3"/>
        <v>0</v>
      </c>
      <c r="K39" s="8">
        <f t="shared" si="4"/>
        <v>0</v>
      </c>
      <c r="AG39" s="8">
        <v>6995</v>
      </c>
      <c r="AH39" s="8">
        <v>6995</v>
      </c>
      <c r="AI39" s="8">
        <v>0</v>
      </c>
      <c r="AJ39" s="8">
        <f>IFERROR(INDEX([1]SuSa_2024!BN:BN,MATCH($B39,[1]SuSa_2024!$B:$B,0)),"0")</f>
        <v>0</v>
      </c>
      <c r="AK39" s="8">
        <f>IFERROR(INDEX([1]SuSa_2024!BO:BO,MATCH($B39,[1]SuSa_2024!$B:$B,0)),"0")</f>
        <v>13239</v>
      </c>
      <c r="AL39" s="8">
        <f>IFERROR(INDEX([1]SuSa_2024!BP:BP,MATCH($B39,[1]SuSa_2024!$B:$B,0)),"0")</f>
        <v>6410</v>
      </c>
      <c r="AM39" s="8">
        <f>IFERROR(INDEX([1]SuSa_2024!BQ:BQ,MATCH($B39,[1]SuSa_2024!$B:$B,0)),"0")</f>
        <v>0</v>
      </c>
      <c r="AN39" s="8">
        <f>IFERROR(INDEX([1]SuSa_2024!BR:BR,MATCH($B39,[1]SuSa_2024!$B:$B,0)),"0")</f>
        <v>0</v>
      </c>
      <c r="AO39" s="8">
        <f>IFERROR(INDEX([1]SuSa_2024!BS:BS,MATCH($B39,[1]SuSa_2024!$B:$B,0)),"0")</f>
        <v>0</v>
      </c>
      <c r="AP39" s="8">
        <f>IFERROR(INDEX([1]SuSa_2024!BT:BT,MATCH($B39,[1]SuSa_2024!$B:$B,0)),"0")</f>
        <v>0</v>
      </c>
      <c r="AQ39" s="8">
        <f>IFERROR(INDEX([1]SuSa_2024!BU:BU,MATCH($B39,[1]SuSa_2024!$B:$B,0)),"0")</f>
        <v>0</v>
      </c>
      <c r="AR39" s="8">
        <f>IFERROR(INDEX([1]SuSa_2024!BV:BV,MATCH($B39,[1]SuSa_2024!$B:$B,0)),"0")</f>
        <v>0</v>
      </c>
      <c r="AS39" s="8">
        <f>IFERROR(INDEX([1]SuSa_2024!BW:BW,MATCH($B39,[1]SuSa_2024!$B:$B,0)),"0")</f>
        <v>0</v>
      </c>
      <c r="AT39" s="8">
        <f>IFERROR(INDEX([1]SuSa_2024!BX:BX,MATCH($B39,[1]SuSa_2024!$B:$B,0)),"0")</f>
        <v>0</v>
      </c>
      <c r="AU39" s="8">
        <f>IFERROR(INDEX([1]SuSa_2024!BY:BY,MATCH($B39,[1]SuSa_2024!$B:$B,0)),"0")</f>
        <v>0</v>
      </c>
      <c r="AV39" s="8">
        <f>IFERROR(INDEX([1]SuSa_2025!AR:AR,MATCH($B39,[1]SuSa_2025!$B:$B,0)),"0")</f>
        <v>0</v>
      </c>
      <c r="AW39" s="8">
        <f>IFERROR(INDEX([1]SuSa_2025!AS:AS,MATCH($B39,[1]SuSa_2025!$B:$B,0)),"0")</f>
        <v>0</v>
      </c>
      <c r="AX39" s="8">
        <f>IFERROR(INDEX([1]SuSa_2025!AT:AT,MATCH($B39,[1]SuSa_2025!$B:$B,0)),"0")</f>
        <v>0</v>
      </c>
      <c r="AY39" s="8">
        <f>IFERROR(INDEX([1]SuSa_2025!AU:AU,MATCH($B39,[1]SuSa_2025!$B:$B,0)),"0")</f>
        <v>0</v>
      </c>
      <c r="AZ39" s="8">
        <f>IFERROR(INDEX([1]SuSa_2025!AV:AV,MATCH($B39,[1]SuSa_2025!$B:$B,0)),"0")</f>
        <v>0</v>
      </c>
      <c r="BA39" s="8">
        <f>IFERROR(INDEX([1]SuSa_2025!AW:AW,MATCH($B39,[1]SuSa_2025!$B:$B,0)),"0")</f>
        <v>0</v>
      </c>
      <c r="BB39" s="8">
        <f>IFERROR(INDEX([1]SuSa_2025!AX:AX,MATCH($B39,[1]SuSa_2025!$B:$B,0)),"0")</f>
        <v>0</v>
      </c>
    </row>
    <row r="40" spans="1:55" outlineLevel="1" collapsed="1" x14ac:dyDescent="0.25">
      <c r="A40" s="5" t="s">
        <v>164</v>
      </c>
      <c r="B40" s="6" t="s">
        <v>165</v>
      </c>
      <c r="C40" t="s">
        <v>166</v>
      </c>
      <c r="E40" t="s">
        <v>167</v>
      </c>
      <c r="F40" s="7">
        <f t="shared" si="0"/>
        <v>0</v>
      </c>
      <c r="G40" s="7">
        <f t="shared" si="1"/>
        <v>0</v>
      </c>
      <c r="H40" s="7" t="str">
        <f t="shared" si="2"/>
        <v>0</v>
      </c>
      <c r="I40" s="7" t="str">
        <f t="shared" si="3"/>
        <v>0</v>
      </c>
      <c r="K40" s="8" t="str">
        <f t="shared" si="4"/>
        <v>0</v>
      </c>
      <c r="L40" s="8">
        <v>7598.38</v>
      </c>
      <c r="M40" s="8">
        <v>7598.38</v>
      </c>
      <c r="N40" s="8">
        <v>7598.38</v>
      </c>
      <c r="O40" s="8">
        <v>7598.38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AJ40" s="8" t="str">
        <f>IFERROR(INDEX([1]SuSa_2024!BN:BN,MATCH($B40,[1]SuSa_2024!$B:$B,0)),"0")</f>
        <v>0</v>
      </c>
      <c r="AK40" s="8" t="str">
        <f>IFERROR(INDEX([1]SuSa_2024!BO:BO,MATCH($B40,[1]SuSa_2024!$B:$B,0)),"0")</f>
        <v>0</v>
      </c>
      <c r="AL40" s="8" t="str">
        <f>IFERROR(INDEX([1]SuSa_2024!BP:BP,MATCH($B40,[1]SuSa_2024!$B:$B,0)),"0")</f>
        <v>0</v>
      </c>
      <c r="AM40" s="8" t="str">
        <f>IFERROR(INDEX([1]SuSa_2024!BQ:BQ,MATCH($B40,[1]SuSa_2024!$B:$B,0)),"0")</f>
        <v>0</v>
      </c>
      <c r="AN40" s="8" t="str">
        <f>IFERROR(INDEX([1]SuSa_2024!BR:BR,MATCH($B40,[1]SuSa_2024!$B:$B,0)),"0")</f>
        <v>0</v>
      </c>
      <c r="AO40" s="8" t="str">
        <f>IFERROR(INDEX([1]SuSa_2024!BS:BS,MATCH($B40,[1]SuSa_2024!$B:$B,0)),"0")</f>
        <v>0</v>
      </c>
      <c r="AP40" s="8" t="str">
        <f>IFERROR(INDEX([1]SuSa_2024!BT:BT,MATCH($B40,[1]SuSa_2024!$B:$B,0)),"0")</f>
        <v>0</v>
      </c>
      <c r="AQ40" s="8" t="str">
        <f>IFERROR(INDEX([1]SuSa_2024!BU:BU,MATCH($B40,[1]SuSa_2024!$B:$B,0)),"0")</f>
        <v>0</v>
      </c>
      <c r="AR40" s="8" t="str">
        <f>IFERROR(INDEX([1]SuSa_2024!BV:BV,MATCH($B40,[1]SuSa_2024!$B:$B,0)),"0")</f>
        <v>0</v>
      </c>
      <c r="AS40" s="8" t="str">
        <f>IFERROR(INDEX([1]SuSa_2024!BW:BW,MATCH($B40,[1]SuSa_2024!$B:$B,0)),"0")</f>
        <v>0</v>
      </c>
      <c r="AT40" s="8" t="str">
        <f>IFERROR(INDEX([1]SuSa_2024!BX:BX,MATCH($B40,[1]SuSa_2024!$B:$B,0)),"0")</f>
        <v>0</v>
      </c>
      <c r="AU40" s="8" t="str">
        <f>IFERROR(INDEX([1]SuSa_2024!BY:BY,MATCH($B40,[1]SuSa_2024!$B:$B,0)),"0")</f>
        <v>0</v>
      </c>
      <c r="AV40" s="8" t="str">
        <f>IFERROR(INDEX([1]SuSa_2025!AR:AR,MATCH($B40,[1]SuSa_2025!$B:$B,0)),"0")</f>
        <v>0</v>
      </c>
      <c r="AW40" s="8" t="str">
        <f>IFERROR(INDEX([1]SuSa_2025!AS:AS,MATCH($B40,[1]SuSa_2025!$B:$B,0)),"0")</f>
        <v>0</v>
      </c>
      <c r="AX40" s="8" t="str">
        <f>IFERROR(INDEX([1]SuSa_2025!AT:AT,MATCH($B40,[1]SuSa_2025!$B:$B,0)),"0")</f>
        <v>0</v>
      </c>
      <c r="AY40" s="8" t="str">
        <f>IFERROR(INDEX([1]SuSa_2025!AU:AU,MATCH($B40,[1]SuSa_2025!$B:$B,0)),"0")</f>
        <v>0</v>
      </c>
      <c r="AZ40" s="8" t="str">
        <f>IFERROR(INDEX([1]SuSa_2025!AV:AV,MATCH($B40,[1]SuSa_2025!$B:$B,0)),"0")</f>
        <v>0</v>
      </c>
      <c r="BA40" s="8" t="str">
        <f>IFERROR(INDEX([1]SuSa_2025!AW:AW,MATCH($B40,[1]SuSa_2025!$B:$B,0)),"0")</f>
        <v>0</v>
      </c>
      <c r="BB40" s="8" t="str">
        <f>IFERROR(INDEX([1]SuSa_2025!AX:AX,MATCH($B40,[1]SuSa_2025!$B:$B,0)),"0")</f>
        <v>0</v>
      </c>
    </row>
    <row r="41" spans="1:55" outlineLevel="1" collapsed="1" x14ac:dyDescent="0.25">
      <c r="A41" s="5" t="s">
        <v>168</v>
      </c>
      <c r="B41" s="6" t="s">
        <v>169</v>
      </c>
      <c r="C41" t="s">
        <v>170</v>
      </c>
      <c r="F41" s="7">
        <f t="shared" si="0"/>
        <v>0</v>
      </c>
      <c r="G41" s="7">
        <f t="shared" si="1"/>
        <v>0</v>
      </c>
      <c r="H41" s="7">
        <f t="shared" si="2"/>
        <v>0</v>
      </c>
      <c r="I41" s="7" t="str">
        <f t="shared" si="3"/>
        <v>0</v>
      </c>
      <c r="K41" s="8">
        <f t="shared" si="4"/>
        <v>0</v>
      </c>
      <c r="X41" s="8">
        <v>650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f>IFERROR(INDEX([1]SuSa_2024!BN:BN,MATCH($B41,[1]SuSa_2024!$B:$B,0)),"0")</f>
        <v>0</v>
      </c>
      <c r="AK41" s="8">
        <f>IFERROR(INDEX([1]SuSa_2024!BO:BO,MATCH($B41,[1]SuSa_2024!$B:$B,0)),"0")</f>
        <v>0</v>
      </c>
      <c r="AL41" s="8">
        <f>IFERROR(INDEX([1]SuSa_2024!BP:BP,MATCH($B41,[1]SuSa_2024!$B:$B,0)),"0")</f>
        <v>0</v>
      </c>
      <c r="AM41" s="8">
        <f>IFERROR(INDEX([1]SuSa_2024!BQ:BQ,MATCH($B41,[1]SuSa_2024!$B:$B,0)),"0")</f>
        <v>0</v>
      </c>
      <c r="AN41" s="8">
        <f>IFERROR(INDEX([1]SuSa_2024!BR:BR,MATCH($B41,[1]SuSa_2024!$B:$B,0)),"0")</f>
        <v>0</v>
      </c>
      <c r="AO41" s="8">
        <f>IFERROR(INDEX([1]SuSa_2024!BS:BS,MATCH($B41,[1]SuSa_2024!$B:$B,0)),"0")</f>
        <v>0</v>
      </c>
      <c r="AP41" s="8">
        <f>IFERROR(INDEX([1]SuSa_2024!BT:BT,MATCH($B41,[1]SuSa_2024!$B:$B,0)),"0")</f>
        <v>0</v>
      </c>
      <c r="AQ41" s="8">
        <f>IFERROR(INDEX([1]SuSa_2024!BU:BU,MATCH($B41,[1]SuSa_2024!$B:$B,0)),"0")</f>
        <v>0</v>
      </c>
      <c r="AR41" s="8">
        <f>IFERROR(INDEX([1]SuSa_2024!BV:BV,MATCH($B41,[1]SuSa_2024!$B:$B,0)),"0")</f>
        <v>0</v>
      </c>
      <c r="AS41" s="8">
        <f>IFERROR(INDEX([1]SuSa_2024!BW:BW,MATCH($B41,[1]SuSa_2024!$B:$B,0)),"0")</f>
        <v>0</v>
      </c>
      <c r="AT41" s="8">
        <f>IFERROR(INDEX([1]SuSa_2024!BX:BX,MATCH($B41,[1]SuSa_2024!$B:$B,0)),"0")</f>
        <v>0</v>
      </c>
      <c r="AU41" s="8">
        <f>IFERROR(INDEX([1]SuSa_2024!BY:BY,MATCH($B41,[1]SuSa_2024!$B:$B,0)),"0")</f>
        <v>0</v>
      </c>
      <c r="AV41" s="8" t="str">
        <f>IFERROR(INDEX([1]SuSa_2025!AR:AR,MATCH($B41,[1]SuSa_2025!$B:$B,0)),"0")</f>
        <v>0</v>
      </c>
      <c r="AW41" s="8" t="str">
        <f>IFERROR(INDEX([1]SuSa_2025!AS:AS,MATCH($B41,[1]SuSa_2025!$B:$B,0)),"0")</f>
        <v>0</v>
      </c>
      <c r="AX41" s="8" t="str">
        <f>IFERROR(INDEX([1]SuSa_2025!AT:AT,MATCH($B41,[1]SuSa_2025!$B:$B,0)),"0")</f>
        <v>0</v>
      </c>
      <c r="AY41" s="8" t="str">
        <f>IFERROR(INDEX([1]SuSa_2025!AU:AU,MATCH($B41,[1]SuSa_2025!$B:$B,0)),"0")</f>
        <v>0</v>
      </c>
      <c r="AZ41" s="8" t="str">
        <f>IFERROR(INDEX([1]SuSa_2025!AV:AV,MATCH($B41,[1]SuSa_2025!$B:$B,0)),"0")</f>
        <v>0</v>
      </c>
      <c r="BA41" s="8" t="str">
        <f>IFERROR(INDEX([1]SuSa_2025!AW:AW,MATCH($B41,[1]SuSa_2025!$B:$B,0)),"0")</f>
        <v>0</v>
      </c>
      <c r="BB41" s="8" t="str">
        <f>IFERROR(INDEX([1]SuSa_2025!AX:AX,MATCH($B41,[1]SuSa_2025!$B:$B,0)),"0")</f>
        <v>0</v>
      </c>
    </row>
    <row r="42" spans="1:55" outlineLevel="1" collapsed="1" x14ac:dyDescent="0.25">
      <c r="A42" s="5" t="s">
        <v>171</v>
      </c>
      <c r="B42" s="6" t="s">
        <v>172</v>
      </c>
      <c r="C42" t="s">
        <v>173</v>
      </c>
      <c r="F42" s="7">
        <f t="shared" si="0"/>
        <v>2815.42</v>
      </c>
      <c r="G42" s="7">
        <f t="shared" si="1"/>
        <v>0</v>
      </c>
      <c r="H42" s="7">
        <f t="shared" si="2"/>
        <v>0</v>
      </c>
      <c r="I42" s="7" t="str">
        <f t="shared" si="3"/>
        <v>0</v>
      </c>
      <c r="K42" s="8">
        <f t="shared" si="4"/>
        <v>0</v>
      </c>
      <c r="L42" s="8">
        <v>4906.95</v>
      </c>
      <c r="M42" s="8">
        <v>4906.95</v>
      </c>
      <c r="N42" s="8">
        <v>4906.95</v>
      </c>
      <c r="O42" s="8">
        <v>4906.95</v>
      </c>
      <c r="P42" s="8">
        <v>2890.14</v>
      </c>
      <c r="Q42" s="8">
        <v>0</v>
      </c>
      <c r="R42" s="8">
        <v>0</v>
      </c>
      <c r="S42" s="8">
        <v>297</v>
      </c>
      <c r="T42" s="8">
        <v>0</v>
      </c>
      <c r="U42" s="8">
        <v>3100.75</v>
      </c>
      <c r="V42" s="8">
        <v>3440.4</v>
      </c>
      <c r="W42" s="8">
        <v>2815.42</v>
      </c>
      <c r="X42" s="8">
        <v>4060.89</v>
      </c>
      <c r="Y42" s="8">
        <v>2740.99</v>
      </c>
      <c r="Z42" s="8">
        <v>82.26</v>
      </c>
      <c r="AA42" s="8">
        <v>0</v>
      </c>
      <c r="AB42" s="8">
        <v>298.32</v>
      </c>
      <c r="AC42" s="8">
        <v>0</v>
      </c>
      <c r="AD42" s="8">
        <v>0</v>
      </c>
      <c r="AE42" s="8">
        <v>217.73</v>
      </c>
      <c r="AF42" s="8">
        <v>217.73</v>
      </c>
      <c r="AG42" s="8">
        <v>217.73</v>
      </c>
      <c r="AH42" s="8">
        <v>0</v>
      </c>
      <c r="AI42" s="8">
        <v>0</v>
      </c>
      <c r="AJ42" s="8">
        <f>IFERROR(INDEX([1]SuSa_2024!BN:BN,MATCH($B42,[1]SuSa_2024!$B:$B,0)),"0")</f>
        <v>0</v>
      </c>
      <c r="AK42" s="8">
        <f>IFERROR(INDEX([1]SuSa_2024!BO:BO,MATCH($B42,[1]SuSa_2024!$B:$B,0)),"0")</f>
        <v>0</v>
      </c>
      <c r="AL42" s="8">
        <f>IFERROR(INDEX([1]SuSa_2024!BP:BP,MATCH($B42,[1]SuSa_2024!$B:$B,0)),"0")</f>
        <v>0</v>
      </c>
      <c r="AM42" s="8">
        <f>IFERROR(INDEX([1]SuSa_2024!BQ:BQ,MATCH($B42,[1]SuSa_2024!$B:$B,0)),"0")</f>
        <v>0</v>
      </c>
      <c r="AN42" s="8">
        <f>IFERROR(INDEX([1]SuSa_2024!BR:BR,MATCH($B42,[1]SuSa_2024!$B:$B,0)),"0")</f>
        <v>0</v>
      </c>
      <c r="AO42" s="8">
        <f>IFERROR(INDEX([1]SuSa_2024!BS:BS,MATCH($B42,[1]SuSa_2024!$B:$B,0)),"0")</f>
        <v>0</v>
      </c>
      <c r="AP42" s="8">
        <f>IFERROR(INDEX([1]SuSa_2024!BT:BT,MATCH($B42,[1]SuSa_2024!$B:$B,0)),"0")</f>
        <v>0</v>
      </c>
      <c r="AQ42" s="8">
        <f>IFERROR(INDEX([1]SuSa_2024!BU:BU,MATCH($B42,[1]SuSa_2024!$B:$B,0)),"0")</f>
        <v>0</v>
      </c>
      <c r="AR42" s="8">
        <f>IFERROR(INDEX([1]SuSa_2024!BV:BV,MATCH($B42,[1]SuSa_2024!$B:$B,0)),"0")</f>
        <v>0</v>
      </c>
      <c r="AS42" s="8">
        <f>IFERROR(INDEX([1]SuSa_2024!BW:BW,MATCH($B42,[1]SuSa_2024!$B:$B,0)),"0")</f>
        <v>0</v>
      </c>
      <c r="AT42" s="8">
        <f>IFERROR(INDEX([1]SuSa_2024!BX:BX,MATCH($B42,[1]SuSa_2024!$B:$B,0)),"0")</f>
        <v>0</v>
      </c>
      <c r="AU42" s="8">
        <f>IFERROR(INDEX([1]SuSa_2024!BY:BY,MATCH($B42,[1]SuSa_2024!$B:$B,0)),"0")</f>
        <v>0</v>
      </c>
      <c r="AV42" s="8" t="str">
        <f>IFERROR(INDEX([1]SuSa_2025!AR:AR,MATCH($B42,[1]SuSa_2025!$B:$B,0)),"0")</f>
        <v>0</v>
      </c>
      <c r="AW42" s="8" t="str">
        <f>IFERROR(INDEX([1]SuSa_2025!AS:AS,MATCH($B42,[1]SuSa_2025!$B:$B,0)),"0")</f>
        <v>0</v>
      </c>
      <c r="AX42" s="8" t="str">
        <f>IFERROR(INDEX([1]SuSa_2025!AT:AT,MATCH($B42,[1]SuSa_2025!$B:$B,0)),"0")</f>
        <v>0</v>
      </c>
      <c r="AY42" s="8" t="str">
        <f>IFERROR(INDEX([1]SuSa_2025!AU:AU,MATCH($B42,[1]SuSa_2025!$B:$B,0)),"0")</f>
        <v>0</v>
      </c>
      <c r="AZ42" s="8" t="str">
        <f>IFERROR(INDEX([1]SuSa_2025!AV:AV,MATCH($B42,[1]SuSa_2025!$B:$B,0)),"0")</f>
        <v>0</v>
      </c>
      <c r="BA42" s="8" t="str">
        <f>IFERROR(INDEX([1]SuSa_2025!AW:AW,MATCH($B42,[1]SuSa_2025!$B:$B,0)),"0")</f>
        <v>0</v>
      </c>
      <c r="BB42" s="8" t="str">
        <f>IFERROR(INDEX([1]SuSa_2025!AX:AX,MATCH($B42,[1]SuSa_2025!$B:$B,0)),"0")</f>
        <v>0</v>
      </c>
    </row>
    <row r="43" spans="1:55" outlineLevel="1" collapsed="1" x14ac:dyDescent="0.25">
      <c r="A43" s="5" t="s">
        <v>174</v>
      </c>
      <c r="B43" s="6" t="s">
        <v>175</v>
      </c>
      <c r="C43" t="s">
        <v>176</v>
      </c>
      <c r="E43" t="s">
        <v>177</v>
      </c>
      <c r="F43" s="7">
        <f t="shared" si="0"/>
        <v>385.32</v>
      </c>
      <c r="G43" s="7">
        <f t="shared" si="1"/>
        <v>0</v>
      </c>
      <c r="H43" s="7">
        <f t="shared" si="2"/>
        <v>0</v>
      </c>
      <c r="I43" s="7">
        <f t="shared" si="3"/>
        <v>0</v>
      </c>
      <c r="K43" s="8">
        <f t="shared" si="4"/>
        <v>0</v>
      </c>
      <c r="P43" s="8">
        <v>1544.64</v>
      </c>
      <c r="Q43" s="8">
        <v>0</v>
      </c>
      <c r="R43" s="8">
        <v>0</v>
      </c>
      <c r="S43" s="8">
        <v>2986.23</v>
      </c>
      <c r="T43" s="8">
        <v>5876.13</v>
      </c>
      <c r="U43" s="8">
        <v>385.32</v>
      </c>
      <c r="V43" s="8">
        <v>385.32</v>
      </c>
      <c r="W43" s="8">
        <v>385.32</v>
      </c>
      <c r="X43" s="8">
        <v>185.53</v>
      </c>
      <c r="Y43" s="8">
        <v>185.53</v>
      </c>
      <c r="Z43" s="8">
        <v>185.53</v>
      </c>
      <c r="AA43" s="8">
        <v>185.53</v>
      </c>
      <c r="AB43" s="8">
        <v>185.53</v>
      </c>
      <c r="AC43" s="8">
        <v>185.53</v>
      </c>
      <c r="AD43" s="8">
        <v>2012.81</v>
      </c>
      <c r="AE43" s="8">
        <v>8109.28</v>
      </c>
      <c r="AF43" s="8">
        <v>8282.31</v>
      </c>
      <c r="AG43" s="8">
        <v>0</v>
      </c>
      <c r="AH43" s="8">
        <v>0</v>
      </c>
      <c r="AI43" s="8">
        <v>0</v>
      </c>
      <c r="AJ43" s="8">
        <f>IFERROR(INDEX([1]SuSa_2024!BN:BN,MATCH($B43,[1]SuSa_2024!$B:$B,0)),"0")</f>
        <v>0</v>
      </c>
      <c r="AK43" s="8">
        <f>IFERROR(INDEX([1]SuSa_2024!BO:BO,MATCH($B43,[1]SuSa_2024!$B:$B,0)),"0")</f>
        <v>4860.3999999999996</v>
      </c>
      <c r="AL43" s="8">
        <f>IFERROR(INDEX([1]SuSa_2024!BP:BP,MATCH($B43,[1]SuSa_2024!$B:$B,0)),"0")</f>
        <v>13874.27</v>
      </c>
      <c r="AM43" s="8">
        <f>IFERROR(INDEX([1]SuSa_2024!BQ:BQ,MATCH($B43,[1]SuSa_2024!$B:$B,0)),"0")</f>
        <v>15084</v>
      </c>
      <c r="AN43" s="8">
        <f>IFERROR(INDEX([1]SuSa_2024!BR:BR,MATCH($B43,[1]SuSa_2024!$B:$B,0)),"0")</f>
        <v>0</v>
      </c>
      <c r="AO43" s="8">
        <f>IFERROR(INDEX([1]SuSa_2024!BS:BS,MATCH($B43,[1]SuSa_2024!$B:$B,0)),"0")</f>
        <v>0</v>
      </c>
      <c r="AP43" s="8">
        <f>IFERROR(INDEX([1]SuSa_2024!BT:BT,MATCH($B43,[1]SuSa_2024!$B:$B,0)),"0")</f>
        <v>0</v>
      </c>
      <c r="AQ43" s="8">
        <f>IFERROR(INDEX([1]SuSa_2024!BU:BU,MATCH($B43,[1]SuSa_2024!$B:$B,0)),"0")</f>
        <v>0</v>
      </c>
      <c r="AR43" s="8">
        <f>IFERROR(INDEX([1]SuSa_2024!BV:BV,MATCH($B43,[1]SuSa_2024!$B:$B,0)),"0")</f>
        <v>0</v>
      </c>
      <c r="AS43" s="8">
        <f>IFERROR(INDEX([1]SuSa_2024!BW:BW,MATCH($B43,[1]SuSa_2024!$B:$B,0)),"0")</f>
        <v>0</v>
      </c>
      <c r="AT43" s="8">
        <f>IFERROR(INDEX([1]SuSa_2024!BX:BX,MATCH($B43,[1]SuSa_2024!$B:$B,0)),"0")</f>
        <v>-35.89</v>
      </c>
      <c r="AU43" s="8">
        <f>IFERROR(INDEX([1]SuSa_2024!BY:BY,MATCH($B43,[1]SuSa_2024!$B:$B,0)),"0")</f>
        <v>0</v>
      </c>
      <c r="AV43" s="8">
        <f>IFERROR(INDEX([1]SuSa_2025!AR:AR,MATCH($B43,[1]SuSa_2025!$B:$B,0)),"0")</f>
        <v>-4354.24</v>
      </c>
      <c r="AW43" s="8">
        <f>IFERROR(INDEX([1]SuSa_2025!AS:AS,MATCH($B43,[1]SuSa_2025!$B:$B,0)),"0")</f>
        <v>-6039.26</v>
      </c>
      <c r="AX43" s="8">
        <f>IFERROR(INDEX([1]SuSa_2025!AT:AT,MATCH($B43,[1]SuSa_2025!$B:$B,0)),"0")</f>
        <v>-5459.37</v>
      </c>
      <c r="AY43" s="8">
        <f>IFERROR(INDEX([1]SuSa_2025!AU:AU,MATCH($B43,[1]SuSa_2025!$B:$B,0)),"0")</f>
        <v>-7683.88</v>
      </c>
      <c r="AZ43" s="8">
        <f>IFERROR(INDEX([1]SuSa_2025!AV:AV,MATCH($B43,[1]SuSa_2025!$B:$B,0)),"0")</f>
        <v>-14298.49</v>
      </c>
      <c r="BA43" s="8">
        <f>IFERROR(INDEX([1]SuSa_2025!AW:AW,MATCH($B43,[1]SuSa_2025!$B:$B,0)),"0")</f>
        <v>-12409.529999999999</v>
      </c>
      <c r="BB43" s="8">
        <f>IFERROR(INDEX([1]SuSa_2025!AX:AX,MATCH($B43,[1]SuSa_2025!$B:$B,0)),"0")</f>
        <v>0</v>
      </c>
    </row>
    <row r="44" spans="1:55" outlineLevel="1" collapsed="1" x14ac:dyDescent="0.25">
      <c r="A44" s="5" t="s">
        <v>178</v>
      </c>
      <c r="B44" s="6" t="s">
        <v>179</v>
      </c>
      <c r="C44" t="s">
        <v>180</v>
      </c>
      <c r="F44" s="7">
        <f t="shared" si="0"/>
        <v>0</v>
      </c>
      <c r="G44" s="7">
        <f t="shared" si="1"/>
        <v>0</v>
      </c>
      <c r="H44" s="7" t="str">
        <f t="shared" si="2"/>
        <v>0</v>
      </c>
      <c r="I44" s="7">
        <f t="shared" si="3"/>
        <v>3380</v>
      </c>
      <c r="K44" s="8" t="str">
        <f t="shared" si="4"/>
        <v>0</v>
      </c>
      <c r="AJ44" s="8" t="str">
        <f>IFERROR(INDEX([1]SuSa_2024!BN:BN,MATCH($B44,[1]SuSa_2024!$B:$B,0)),"0")</f>
        <v>0</v>
      </c>
      <c r="AK44" s="8" t="str">
        <f>IFERROR(INDEX([1]SuSa_2024!BO:BO,MATCH($B44,[1]SuSa_2024!$B:$B,0)),"0")</f>
        <v>0</v>
      </c>
      <c r="AL44" s="8" t="str">
        <f>IFERROR(INDEX([1]SuSa_2024!BP:BP,MATCH($B44,[1]SuSa_2024!$B:$B,0)),"0")</f>
        <v>0</v>
      </c>
      <c r="AM44" s="8" t="str">
        <f>IFERROR(INDEX([1]SuSa_2024!BQ:BQ,MATCH($B44,[1]SuSa_2024!$B:$B,0)),"0")</f>
        <v>0</v>
      </c>
      <c r="AN44" s="8" t="str">
        <f>IFERROR(INDEX([1]SuSa_2024!BR:BR,MATCH($B44,[1]SuSa_2024!$B:$B,0)),"0")</f>
        <v>0</v>
      </c>
      <c r="AO44" s="8" t="str">
        <f>IFERROR(INDEX([1]SuSa_2024!BS:BS,MATCH($B44,[1]SuSa_2024!$B:$B,0)),"0")</f>
        <v>0</v>
      </c>
      <c r="AP44" s="8" t="str">
        <f>IFERROR(INDEX([1]SuSa_2024!BT:BT,MATCH($B44,[1]SuSa_2024!$B:$B,0)),"0")</f>
        <v>0</v>
      </c>
      <c r="AQ44" s="8" t="str">
        <f>IFERROR(INDEX([1]SuSa_2024!BU:BU,MATCH($B44,[1]SuSa_2024!$B:$B,0)),"0")</f>
        <v>0</v>
      </c>
      <c r="AR44" s="8" t="str">
        <f>IFERROR(INDEX([1]SuSa_2024!BV:BV,MATCH($B44,[1]SuSa_2024!$B:$B,0)),"0")</f>
        <v>0</v>
      </c>
      <c r="AS44" s="8" t="str">
        <f>IFERROR(INDEX([1]SuSa_2024!BW:BW,MATCH($B44,[1]SuSa_2024!$B:$B,0)),"0")</f>
        <v>0</v>
      </c>
      <c r="AT44" s="8" t="str">
        <f>IFERROR(INDEX([1]SuSa_2024!BX:BX,MATCH($B44,[1]SuSa_2024!$B:$B,0)),"0")</f>
        <v>0</v>
      </c>
      <c r="AU44" s="8" t="str">
        <f>IFERROR(INDEX([1]SuSa_2024!BY:BY,MATCH($B44,[1]SuSa_2024!$B:$B,0)),"0")</f>
        <v>0</v>
      </c>
      <c r="AV44" s="8">
        <f>IFERROR(INDEX([1]SuSa_2025!AR:AR,MATCH($B44,[1]SuSa_2025!$B:$B,0)),"0")</f>
        <v>0</v>
      </c>
      <c r="AW44" s="8">
        <f>IFERROR(INDEX([1]SuSa_2025!AS:AS,MATCH($B44,[1]SuSa_2025!$B:$B,0)),"0")</f>
        <v>0</v>
      </c>
      <c r="AX44" s="8">
        <f>IFERROR(INDEX([1]SuSa_2025!AT:AT,MATCH($B44,[1]SuSa_2025!$B:$B,0)),"0")</f>
        <v>0</v>
      </c>
      <c r="AY44" s="8">
        <f>IFERROR(INDEX([1]SuSa_2025!AU:AU,MATCH($B44,[1]SuSa_2025!$B:$B,0)),"0")</f>
        <v>0</v>
      </c>
      <c r="AZ44" s="8">
        <f>IFERROR(INDEX([1]SuSa_2025!AV:AV,MATCH($B44,[1]SuSa_2025!$B:$B,0)),"0")</f>
        <v>0</v>
      </c>
      <c r="BA44" s="8">
        <f>IFERROR(INDEX([1]SuSa_2025!AW:AW,MATCH($B44,[1]SuSa_2025!$B:$B,0)),"0")</f>
        <v>4880</v>
      </c>
      <c r="BB44" s="8">
        <f>IFERROR(INDEX([1]SuSa_2025!AX:AX,MATCH($B44,[1]SuSa_2025!$B:$B,0)),"0")</f>
        <v>3380</v>
      </c>
    </row>
    <row r="45" spans="1:55" outlineLevel="1" collapsed="1" x14ac:dyDescent="0.25">
      <c r="A45" s="5" t="s">
        <v>181</v>
      </c>
      <c r="B45" s="6" t="s">
        <v>182</v>
      </c>
      <c r="C45" t="s">
        <v>183</v>
      </c>
      <c r="F45" s="7">
        <f t="shared" si="0"/>
        <v>0</v>
      </c>
      <c r="G45" s="7">
        <f t="shared" si="1"/>
        <v>0</v>
      </c>
      <c r="H45" s="7">
        <f t="shared" si="2"/>
        <v>0</v>
      </c>
      <c r="I45" s="7" t="str">
        <f t="shared" si="3"/>
        <v>0</v>
      </c>
      <c r="K45" s="8">
        <f t="shared" si="4"/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250</v>
      </c>
      <c r="T45" s="8">
        <v>0</v>
      </c>
      <c r="U45" s="8">
        <v>0</v>
      </c>
      <c r="V45" s="8">
        <v>0</v>
      </c>
      <c r="W45" s="8">
        <v>0</v>
      </c>
      <c r="AB45" s="8">
        <v>127.86</v>
      </c>
      <c r="AC45" s="8">
        <v>0</v>
      </c>
      <c r="AD45" s="8">
        <v>0</v>
      </c>
      <c r="AE45" s="8">
        <v>0</v>
      </c>
      <c r="AF45" s="8">
        <v>0</v>
      </c>
      <c r="AG45" s="8">
        <v>300</v>
      </c>
      <c r="AH45" s="8">
        <v>0</v>
      </c>
      <c r="AI45" s="8">
        <v>0</v>
      </c>
      <c r="AJ45" s="8">
        <f>IFERROR(INDEX([1]SuSa_2024!BN:BN,MATCH($B45,[1]SuSa_2024!$B:$B,0)),"0")</f>
        <v>0</v>
      </c>
      <c r="AK45" s="8">
        <f>IFERROR(INDEX([1]SuSa_2024!BO:BO,MATCH($B45,[1]SuSa_2024!$B:$B,0)),"0")</f>
        <v>0</v>
      </c>
      <c r="AL45" s="8">
        <f>IFERROR(INDEX([1]SuSa_2024!BP:BP,MATCH($B45,[1]SuSa_2024!$B:$B,0)),"0")</f>
        <v>0</v>
      </c>
      <c r="AM45" s="8">
        <f>IFERROR(INDEX([1]SuSa_2024!BQ:BQ,MATCH($B45,[1]SuSa_2024!$B:$B,0)),"0")</f>
        <v>0</v>
      </c>
      <c r="AN45" s="8">
        <f>IFERROR(INDEX([1]SuSa_2024!BR:BR,MATCH($B45,[1]SuSa_2024!$B:$B,0)),"0")</f>
        <v>0</v>
      </c>
      <c r="AO45" s="8">
        <f>IFERROR(INDEX([1]SuSa_2024!BS:BS,MATCH($B45,[1]SuSa_2024!$B:$B,0)),"0")</f>
        <v>0</v>
      </c>
      <c r="AP45" s="8">
        <f>IFERROR(INDEX([1]SuSa_2024!BT:BT,MATCH($B45,[1]SuSa_2024!$B:$B,0)),"0")</f>
        <v>0</v>
      </c>
      <c r="AQ45" s="8">
        <f>IFERROR(INDEX([1]SuSa_2024!BU:BU,MATCH($B45,[1]SuSa_2024!$B:$B,0)),"0")</f>
        <v>0</v>
      </c>
      <c r="AR45" s="8">
        <f>IFERROR(INDEX([1]SuSa_2024!BV:BV,MATCH($B45,[1]SuSa_2024!$B:$B,0)),"0")</f>
        <v>0</v>
      </c>
      <c r="AS45" s="8">
        <f>IFERROR(INDEX([1]SuSa_2024!BW:BW,MATCH($B45,[1]SuSa_2024!$B:$B,0)),"0")</f>
        <v>0</v>
      </c>
      <c r="AT45" s="8">
        <f>IFERROR(INDEX([1]SuSa_2024!BX:BX,MATCH($B45,[1]SuSa_2024!$B:$B,0)),"0")</f>
        <v>0</v>
      </c>
      <c r="AU45" s="8">
        <f>IFERROR(INDEX([1]SuSa_2024!BY:BY,MATCH($B45,[1]SuSa_2024!$B:$B,0)),"0")</f>
        <v>0</v>
      </c>
      <c r="AV45" s="8" t="str">
        <f>IFERROR(INDEX([1]SuSa_2025!AR:AR,MATCH($B45,[1]SuSa_2025!$B:$B,0)),"0")</f>
        <v>0</v>
      </c>
      <c r="AW45" s="8" t="str">
        <f>IFERROR(INDEX([1]SuSa_2025!AS:AS,MATCH($B45,[1]SuSa_2025!$B:$B,0)),"0")</f>
        <v>0</v>
      </c>
      <c r="AX45" s="8" t="str">
        <f>IFERROR(INDEX([1]SuSa_2025!AT:AT,MATCH($B45,[1]SuSa_2025!$B:$B,0)),"0")</f>
        <v>0</v>
      </c>
      <c r="AY45" s="8" t="str">
        <f>IFERROR(INDEX([1]SuSa_2025!AU:AU,MATCH($B45,[1]SuSa_2025!$B:$B,0)),"0")</f>
        <v>0</v>
      </c>
      <c r="AZ45" s="8" t="str">
        <f>IFERROR(INDEX([1]SuSa_2025!AV:AV,MATCH($B45,[1]SuSa_2025!$B:$B,0)),"0")</f>
        <v>0</v>
      </c>
      <c r="BA45" s="8" t="str">
        <f>IFERROR(INDEX([1]SuSa_2025!AW:AW,MATCH($B45,[1]SuSa_2025!$B:$B,0)),"0")</f>
        <v>0</v>
      </c>
      <c r="BB45" s="8" t="str">
        <f>IFERROR(INDEX([1]SuSa_2025!AX:AX,MATCH($B45,[1]SuSa_2025!$B:$B,0)),"0")</f>
        <v>0</v>
      </c>
    </row>
    <row r="46" spans="1:55" outlineLevel="1" collapsed="1" x14ac:dyDescent="0.25">
      <c r="A46" s="5" t="s">
        <v>184</v>
      </c>
      <c r="B46" s="6" t="s">
        <v>185</v>
      </c>
      <c r="C46" t="s">
        <v>186</v>
      </c>
      <c r="F46" s="7">
        <f t="shared" si="0"/>
        <v>0</v>
      </c>
      <c r="G46" s="7">
        <f t="shared" si="1"/>
        <v>127.86</v>
      </c>
      <c r="H46" s="7">
        <f t="shared" si="2"/>
        <v>127.86</v>
      </c>
      <c r="I46" s="7">
        <f t="shared" si="3"/>
        <v>2000.0000000000002</v>
      </c>
      <c r="K46" s="8">
        <f t="shared" si="4"/>
        <v>127.86</v>
      </c>
      <c r="L46" s="8">
        <v>2910.26</v>
      </c>
      <c r="M46" s="8">
        <v>2910.26</v>
      </c>
      <c r="N46" s="8">
        <v>2910.26</v>
      </c>
      <c r="O46" s="8">
        <v>2910.26</v>
      </c>
      <c r="P46" s="8">
        <v>2910.26</v>
      </c>
      <c r="Q46" s="8">
        <v>2910.26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AC46" s="8">
        <v>127.86</v>
      </c>
      <c r="AD46" s="8">
        <v>127.86</v>
      </c>
      <c r="AE46" s="8">
        <v>127.86</v>
      </c>
      <c r="AF46" s="8">
        <v>127.86</v>
      </c>
      <c r="AG46" s="8">
        <v>127.86</v>
      </c>
      <c r="AH46" s="8">
        <v>127.86</v>
      </c>
      <c r="AI46" s="8">
        <v>127.86</v>
      </c>
      <c r="AJ46" s="8">
        <f>IFERROR(INDEX([1]SuSa_2024!BN:BN,MATCH($B46,[1]SuSa_2024!$B:$B,0)),"0")</f>
        <v>127.86</v>
      </c>
      <c r="AK46" s="8">
        <f>IFERROR(INDEX([1]SuSa_2024!BO:BO,MATCH($B46,[1]SuSa_2024!$B:$B,0)),"0")</f>
        <v>127.86</v>
      </c>
      <c r="AL46" s="8">
        <f>IFERROR(INDEX([1]SuSa_2024!BP:BP,MATCH($B46,[1]SuSa_2024!$B:$B,0)),"0")</f>
        <v>127.86</v>
      </c>
      <c r="AM46" s="8">
        <f>IFERROR(INDEX([1]SuSa_2024!BQ:BQ,MATCH($B46,[1]SuSa_2024!$B:$B,0)),"0")</f>
        <v>127.86</v>
      </c>
      <c r="AN46" s="8">
        <f>IFERROR(INDEX([1]SuSa_2024!BR:BR,MATCH($B46,[1]SuSa_2024!$B:$B,0)),"0")</f>
        <v>127.86</v>
      </c>
      <c r="AO46" s="8">
        <f>IFERROR(INDEX([1]SuSa_2024!BS:BS,MATCH($B46,[1]SuSa_2024!$B:$B,0)),"0")</f>
        <v>127.86</v>
      </c>
      <c r="AP46" s="8">
        <f>IFERROR(INDEX([1]SuSa_2024!BT:BT,MATCH($B46,[1]SuSa_2024!$B:$B,0)),"0")</f>
        <v>127.86</v>
      </c>
      <c r="AQ46" s="8">
        <f>IFERROR(INDEX([1]SuSa_2024!BU:BU,MATCH($B46,[1]SuSa_2024!$B:$B,0)),"0")</f>
        <v>127.86</v>
      </c>
      <c r="AR46" s="8">
        <f>IFERROR(INDEX([1]SuSa_2024!BV:BV,MATCH($B46,[1]SuSa_2024!$B:$B,0)),"0")</f>
        <v>127.86</v>
      </c>
      <c r="AS46" s="8">
        <f>IFERROR(INDEX([1]SuSa_2024!BW:BW,MATCH($B46,[1]SuSa_2024!$B:$B,0)),"0")</f>
        <v>127.86</v>
      </c>
      <c r="AT46" s="8">
        <f>IFERROR(INDEX([1]SuSa_2024!BX:BX,MATCH($B46,[1]SuSa_2024!$B:$B,0)),"0")</f>
        <v>127.86</v>
      </c>
      <c r="AU46" s="8">
        <f>IFERROR(INDEX([1]SuSa_2024!BY:BY,MATCH($B46,[1]SuSa_2024!$B:$B,0)),"0")</f>
        <v>127.86</v>
      </c>
      <c r="AV46" s="8">
        <f>IFERROR(INDEX([1]SuSa_2025!AR:AR,MATCH($B46,[1]SuSa_2025!$B:$B,0)),"0")</f>
        <v>127.86</v>
      </c>
      <c r="AW46" s="8">
        <f>IFERROR(INDEX([1]SuSa_2025!AS:AS,MATCH($B46,[1]SuSa_2025!$B:$B,0)),"0")</f>
        <v>127.86</v>
      </c>
      <c r="AX46" s="8">
        <f>IFERROR(INDEX([1]SuSa_2025!AT:AT,MATCH($B46,[1]SuSa_2025!$B:$B,0)),"0")</f>
        <v>2127.86</v>
      </c>
      <c r="AY46" s="8">
        <f>IFERROR(INDEX([1]SuSa_2025!AU:AU,MATCH($B46,[1]SuSa_2025!$B:$B,0)),"0")</f>
        <v>2000.0000000000002</v>
      </c>
      <c r="AZ46" s="8">
        <f>IFERROR(INDEX([1]SuSa_2025!AV:AV,MATCH($B46,[1]SuSa_2025!$B:$B,0)),"0")</f>
        <v>2000.0000000000002</v>
      </c>
      <c r="BA46" s="8">
        <f>IFERROR(INDEX([1]SuSa_2025!AW:AW,MATCH($B46,[1]SuSa_2025!$B:$B,0)),"0")</f>
        <v>2000.0000000000002</v>
      </c>
      <c r="BB46" s="8">
        <f>IFERROR(INDEX([1]SuSa_2025!AX:AX,MATCH($B46,[1]SuSa_2025!$B:$B,0)),"0")</f>
        <v>2000.0000000000002</v>
      </c>
    </row>
    <row r="47" spans="1:55" outlineLevel="1" collapsed="1" x14ac:dyDescent="0.25">
      <c r="A47" s="5" t="s">
        <v>187</v>
      </c>
      <c r="B47" s="6" t="s">
        <v>188</v>
      </c>
      <c r="C47" t="s">
        <v>189</v>
      </c>
      <c r="F47" s="7">
        <f t="shared" si="0"/>
        <v>0</v>
      </c>
      <c r="G47" s="7">
        <f t="shared" si="1"/>
        <v>0</v>
      </c>
      <c r="H47" s="7">
        <f t="shared" si="2"/>
        <v>2473.84</v>
      </c>
      <c r="I47" s="7">
        <f t="shared" si="3"/>
        <v>-4740.21</v>
      </c>
      <c r="K47" s="8">
        <f t="shared" si="4"/>
        <v>0</v>
      </c>
      <c r="P47" s="8">
        <v>162.85</v>
      </c>
      <c r="Q47" s="8">
        <v>162.85</v>
      </c>
      <c r="R47" s="8">
        <v>162.85</v>
      </c>
      <c r="S47" s="8">
        <v>162.85</v>
      </c>
      <c r="T47" s="8">
        <v>162.85</v>
      </c>
      <c r="U47" s="8">
        <v>162.85</v>
      </c>
      <c r="V47" s="8">
        <v>162.85</v>
      </c>
      <c r="W47" s="8">
        <v>0</v>
      </c>
      <c r="AJ47" s="8">
        <f>IFERROR(INDEX([1]SuSa_2024!BN:BN,MATCH($B47,[1]SuSa_2024!$B:$B,0)),"0")</f>
        <v>0</v>
      </c>
      <c r="AK47" s="8">
        <f>IFERROR(INDEX([1]SuSa_2024!BO:BO,MATCH($B47,[1]SuSa_2024!$B:$B,0)),"0")</f>
        <v>0</v>
      </c>
      <c r="AL47" s="8">
        <f>IFERROR(INDEX([1]SuSa_2024!BP:BP,MATCH($B47,[1]SuSa_2024!$B:$B,0)),"0")</f>
        <v>0</v>
      </c>
      <c r="AM47" s="8">
        <f>IFERROR(INDEX([1]SuSa_2024!BQ:BQ,MATCH($B47,[1]SuSa_2024!$B:$B,0)),"0")</f>
        <v>0</v>
      </c>
      <c r="AN47" s="8">
        <f>IFERROR(INDEX([1]SuSa_2024!BR:BR,MATCH($B47,[1]SuSa_2024!$B:$B,0)),"0")</f>
        <v>0</v>
      </c>
      <c r="AO47" s="8">
        <f>IFERROR(INDEX([1]SuSa_2024!BS:BS,MATCH($B47,[1]SuSa_2024!$B:$B,0)),"0")</f>
        <v>0</v>
      </c>
      <c r="AP47" s="8">
        <f>IFERROR(INDEX([1]SuSa_2024!BT:BT,MATCH($B47,[1]SuSa_2024!$B:$B,0)),"0")</f>
        <v>0</v>
      </c>
      <c r="AQ47" s="8">
        <f>IFERROR(INDEX([1]SuSa_2024!BU:BU,MATCH($B47,[1]SuSa_2024!$B:$B,0)),"0")</f>
        <v>0</v>
      </c>
      <c r="AR47" s="8">
        <f>IFERROR(INDEX([1]SuSa_2024!BV:BV,MATCH($B47,[1]SuSa_2024!$B:$B,0)),"0")</f>
        <v>0</v>
      </c>
      <c r="AS47" s="8">
        <f>IFERROR(INDEX([1]SuSa_2024!BW:BW,MATCH($B47,[1]SuSa_2024!$B:$B,0)),"0")</f>
        <v>0</v>
      </c>
      <c r="AT47" s="8">
        <f>IFERROR(INDEX([1]SuSa_2024!BX:BX,MATCH($B47,[1]SuSa_2024!$B:$B,0)),"0")</f>
        <v>2473.84</v>
      </c>
      <c r="AU47" s="8">
        <f>IFERROR(INDEX([1]SuSa_2024!BY:BY,MATCH($B47,[1]SuSa_2024!$B:$B,0)),"0")</f>
        <v>2473.84</v>
      </c>
      <c r="AV47" s="8">
        <f>IFERROR(INDEX([1]SuSa_2025!AR:AR,MATCH($B47,[1]SuSa_2025!$B:$B,0)),"0")</f>
        <v>2168.92</v>
      </c>
      <c r="AW47" s="8">
        <f>IFERROR(INDEX([1]SuSa_2025!AS:AS,MATCH($B47,[1]SuSa_2025!$B:$B,0)),"0")</f>
        <v>2168.92</v>
      </c>
      <c r="AX47" s="8">
        <f>IFERROR(INDEX([1]SuSa_2025!AT:AT,MATCH($B47,[1]SuSa_2025!$B:$B,0)),"0")</f>
        <v>756.35000000000014</v>
      </c>
      <c r="AY47" s="8">
        <f>IFERROR(INDEX([1]SuSa_2025!AU:AU,MATCH($B47,[1]SuSa_2025!$B:$B,0)),"0")</f>
        <v>63.670000000000186</v>
      </c>
      <c r="AZ47" s="8">
        <f>IFERROR(INDEX([1]SuSa_2025!AV:AV,MATCH($B47,[1]SuSa_2025!$B:$B,0)),"0")</f>
        <v>-690.20999999999981</v>
      </c>
      <c r="BA47" s="8">
        <f>IFERROR(INDEX([1]SuSa_2025!AW:AW,MATCH($B47,[1]SuSa_2025!$B:$B,0)),"0")</f>
        <v>-690.20999999999981</v>
      </c>
      <c r="BB47" s="8">
        <f>IFERROR(INDEX([1]SuSa_2025!AX:AX,MATCH($B47,[1]SuSa_2025!$B:$B,0)),"0")</f>
        <v>-4740.21</v>
      </c>
    </row>
    <row r="48" spans="1:55" outlineLevel="1" collapsed="1" x14ac:dyDescent="0.25">
      <c r="A48" s="5" t="s">
        <v>190</v>
      </c>
      <c r="B48" s="6" t="s">
        <v>191</v>
      </c>
      <c r="C48" t="s">
        <v>192</v>
      </c>
      <c r="F48" s="7">
        <f t="shared" si="0"/>
        <v>0</v>
      </c>
      <c r="G48" s="7">
        <f t="shared" si="1"/>
        <v>0</v>
      </c>
      <c r="H48" s="7">
        <f t="shared" si="2"/>
        <v>2513.81</v>
      </c>
      <c r="I48" s="7">
        <f t="shared" si="3"/>
        <v>129.20000000000005</v>
      </c>
      <c r="K48" s="8">
        <f t="shared" si="4"/>
        <v>1.88</v>
      </c>
      <c r="L48" s="8">
        <v>2858.15</v>
      </c>
      <c r="M48" s="8">
        <v>3790.53</v>
      </c>
      <c r="N48" s="8">
        <v>2821.96</v>
      </c>
      <c r="O48" s="8">
        <v>3842.05</v>
      </c>
      <c r="P48" s="8">
        <v>3911.93</v>
      </c>
      <c r="Q48" s="8">
        <v>3907.12</v>
      </c>
      <c r="R48" s="8">
        <v>3112.52</v>
      </c>
      <c r="S48" s="8">
        <v>2821.96</v>
      </c>
      <c r="T48" s="8">
        <v>4706.4399999999996</v>
      </c>
      <c r="U48" s="8">
        <v>0</v>
      </c>
      <c r="V48" s="8">
        <v>0</v>
      </c>
      <c r="W48" s="8">
        <v>0</v>
      </c>
      <c r="X48" s="8">
        <v>1740.4</v>
      </c>
      <c r="Y48" s="8">
        <v>7.5</v>
      </c>
      <c r="Z48" s="8">
        <v>3288.9</v>
      </c>
      <c r="AA48" s="8">
        <v>24836.51</v>
      </c>
      <c r="AB48" s="8">
        <v>17671.759999999998</v>
      </c>
      <c r="AC48" s="8">
        <v>2063.06</v>
      </c>
      <c r="AD48" s="8">
        <v>16150</v>
      </c>
      <c r="AE48" s="8">
        <v>0</v>
      </c>
      <c r="AF48" s="8">
        <v>17232.95</v>
      </c>
      <c r="AG48" s="8">
        <v>1.01</v>
      </c>
      <c r="AH48" s="8">
        <v>4.8600000000000003</v>
      </c>
      <c r="AI48" s="8">
        <v>0</v>
      </c>
      <c r="AJ48" s="8">
        <f>IFERROR(INDEX([1]SuSa_2024!BN:BN,MATCH($B48,[1]SuSa_2024!$B:$B,0)),"0")</f>
        <v>0</v>
      </c>
      <c r="AK48" s="8">
        <f>IFERROR(INDEX([1]SuSa_2024!BO:BO,MATCH($B48,[1]SuSa_2024!$B:$B,0)),"0")</f>
        <v>39.869999999999997</v>
      </c>
      <c r="AL48" s="8">
        <f>IFERROR(INDEX([1]SuSa_2024!BP:BP,MATCH($B48,[1]SuSa_2024!$B:$B,0)),"0")</f>
        <v>1.1799999999999997</v>
      </c>
      <c r="AM48" s="8">
        <f>IFERROR(INDEX([1]SuSa_2024!BQ:BQ,MATCH($B48,[1]SuSa_2024!$B:$B,0)),"0")</f>
        <v>133</v>
      </c>
      <c r="AN48" s="8">
        <f>IFERROR(INDEX([1]SuSa_2024!BR:BR,MATCH($B48,[1]SuSa_2024!$B:$B,0)),"0")</f>
        <v>621.48</v>
      </c>
      <c r="AO48" s="8">
        <f>IFERROR(INDEX([1]SuSa_2024!BS:BS,MATCH($B48,[1]SuSa_2024!$B:$B,0)),"0")</f>
        <v>0</v>
      </c>
      <c r="AP48" s="8">
        <f>IFERROR(INDEX([1]SuSa_2024!BT:BT,MATCH($B48,[1]SuSa_2024!$B:$B,0)),"0")</f>
        <v>1.88</v>
      </c>
      <c r="AQ48" s="8">
        <f>IFERROR(INDEX([1]SuSa_2024!BU:BU,MATCH($B48,[1]SuSa_2024!$B:$B,0)),"0")</f>
        <v>1.88</v>
      </c>
      <c r="AR48" s="8">
        <f>IFERROR(INDEX([1]SuSa_2024!BV:BV,MATCH($B48,[1]SuSa_2024!$B:$B,0)),"0")</f>
        <v>328.69</v>
      </c>
      <c r="AS48" s="8">
        <f>IFERROR(INDEX([1]SuSa_2024!BW:BW,MATCH($B48,[1]SuSa_2024!$B:$B,0)),"0")</f>
        <v>365.43</v>
      </c>
      <c r="AT48" s="8">
        <f>IFERROR(INDEX([1]SuSa_2024!BX:BX,MATCH($B48,[1]SuSa_2024!$B:$B,0)),"0")</f>
        <v>1778.5</v>
      </c>
      <c r="AU48" s="8">
        <f>IFERROR(INDEX([1]SuSa_2024!BY:BY,MATCH($B48,[1]SuSa_2024!$B:$B,0)),"0")</f>
        <v>2513.81</v>
      </c>
      <c r="AV48" s="8">
        <f>IFERROR(INDEX([1]SuSa_2025!AR:AR,MATCH($B48,[1]SuSa_2025!$B:$B,0)),"0")</f>
        <v>858.57999999999993</v>
      </c>
      <c r="AW48" s="8">
        <f>IFERROR(INDEX([1]SuSa_2025!AS:AS,MATCH($B48,[1]SuSa_2025!$B:$B,0)),"0")</f>
        <v>2132.29</v>
      </c>
      <c r="AX48" s="8">
        <f>IFERROR(INDEX([1]SuSa_2025!AT:AT,MATCH($B48,[1]SuSa_2025!$B:$B,0)),"0")</f>
        <v>2622.62</v>
      </c>
      <c r="AY48" s="8">
        <f>IFERROR(INDEX([1]SuSa_2025!AU:AU,MATCH($B48,[1]SuSa_2025!$B:$B,0)),"0")</f>
        <v>5098.16</v>
      </c>
      <c r="AZ48" s="8">
        <f>IFERROR(INDEX([1]SuSa_2025!AV:AV,MATCH($B48,[1]SuSa_2025!$B:$B,0)),"0")</f>
        <v>0</v>
      </c>
      <c r="BA48" s="8">
        <f>IFERROR(INDEX([1]SuSa_2025!AW:AW,MATCH($B48,[1]SuSa_2025!$B:$B,0)),"0")</f>
        <v>1213.98</v>
      </c>
      <c r="BB48" s="8">
        <f>IFERROR(INDEX([1]SuSa_2025!AX:AX,MATCH($B48,[1]SuSa_2025!$B:$B,0)),"0")</f>
        <v>129.20000000000005</v>
      </c>
    </row>
    <row r="49" spans="1:54" outlineLevel="1" collapsed="1" x14ac:dyDescent="0.25">
      <c r="A49" s="5" t="s">
        <v>193</v>
      </c>
      <c r="B49" s="6" t="s">
        <v>194</v>
      </c>
      <c r="C49" t="s">
        <v>195</v>
      </c>
      <c r="F49" s="7">
        <f t="shared" si="0"/>
        <v>0</v>
      </c>
      <c r="G49" s="7">
        <f t="shared" si="1"/>
        <v>0</v>
      </c>
      <c r="H49" s="7" t="str">
        <f t="shared" si="2"/>
        <v>0</v>
      </c>
      <c r="I49" s="7">
        <f t="shared" si="3"/>
        <v>12.17</v>
      </c>
      <c r="K49" s="8" t="str">
        <f t="shared" si="4"/>
        <v>0</v>
      </c>
      <c r="AJ49" s="8" t="str">
        <f>IFERROR(INDEX([1]SuSa_2024!BN:BN,MATCH($B49,[1]SuSa_2024!$B:$B,0)),"0")</f>
        <v>0</v>
      </c>
      <c r="AK49" s="8" t="str">
        <f>IFERROR(INDEX([1]SuSa_2024!BO:BO,MATCH($B49,[1]SuSa_2024!$B:$B,0)),"0")</f>
        <v>0</v>
      </c>
      <c r="AL49" s="8" t="str">
        <f>IFERROR(INDEX([1]SuSa_2024!BP:BP,MATCH($B49,[1]SuSa_2024!$B:$B,0)),"0")</f>
        <v>0</v>
      </c>
      <c r="AM49" s="8" t="str">
        <f>IFERROR(INDEX([1]SuSa_2024!BQ:BQ,MATCH($B49,[1]SuSa_2024!$B:$B,0)),"0")</f>
        <v>0</v>
      </c>
      <c r="AN49" s="8" t="str">
        <f>IFERROR(INDEX([1]SuSa_2024!BR:BR,MATCH($B49,[1]SuSa_2024!$B:$B,0)),"0")</f>
        <v>0</v>
      </c>
      <c r="AO49" s="8" t="str">
        <f>IFERROR(INDEX([1]SuSa_2024!BS:BS,MATCH($B49,[1]SuSa_2024!$B:$B,0)),"0")</f>
        <v>0</v>
      </c>
      <c r="AP49" s="8" t="str">
        <f>IFERROR(INDEX([1]SuSa_2024!BT:BT,MATCH($B49,[1]SuSa_2024!$B:$B,0)),"0")</f>
        <v>0</v>
      </c>
      <c r="AQ49" s="8" t="str">
        <f>IFERROR(INDEX([1]SuSa_2024!BU:BU,MATCH($B49,[1]SuSa_2024!$B:$B,0)),"0")</f>
        <v>0</v>
      </c>
      <c r="AR49" s="8" t="str">
        <f>IFERROR(INDEX([1]SuSa_2024!BV:BV,MATCH($B49,[1]SuSa_2024!$B:$B,0)),"0")</f>
        <v>0</v>
      </c>
      <c r="AS49" s="8" t="str">
        <f>IFERROR(INDEX([1]SuSa_2024!BW:BW,MATCH($B49,[1]SuSa_2024!$B:$B,0)),"0")</f>
        <v>0</v>
      </c>
      <c r="AT49" s="8" t="str">
        <f>IFERROR(INDEX([1]SuSa_2024!BX:BX,MATCH($B49,[1]SuSa_2024!$B:$B,0)),"0")</f>
        <v>0</v>
      </c>
      <c r="AU49" s="8" t="str">
        <f>IFERROR(INDEX([1]SuSa_2024!BY:BY,MATCH($B49,[1]SuSa_2024!$B:$B,0)),"0")</f>
        <v>0</v>
      </c>
      <c r="AV49" s="8">
        <f>IFERROR(INDEX([1]SuSa_2025!AR:AR,MATCH($B49,[1]SuSa_2025!$B:$B,0)),"0")</f>
        <v>0</v>
      </c>
      <c r="AW49" s="8">
        <f>IFERROR(INDEX([1]SuSa_2025!AS:AS,MATCH($B49,[1]SuSa_2025!$B:$B,0)),"0")</f>
        <v>0</v>
      </c>
      <c r="AX49" s="8">
        <f>IFERROR(INDEX([1]SuSa_2025!AT:AT,MATCH($B49,[1]SuSa_2025!$B:$B,0)),"0")</f>
        <v>0</v>
      </c>
      <c r="AY49" s="8">
        <f>IFERROR(INDEX([1]SuSa_2025!AU:AU,MATCH($B49,[1]SuSa_2025!$B:$B,0)),"0")</f>
        <v>0</v>
      </c>
      <c r="AZ49" s="8">
        <f>IFERROR(INDEX([1]SuSa_2025!AV:AV,MATCH($B49,[1]SuSa_2025!$B:$B,0)),"0")</f>
        <v>0</v>
      </c>
      <c r="BA49" s="8">
        <f>IFERROR(INDEX([1]SuSa_2025!AW:AW,MATCH($B49,[1]SuSa_2025!$B:$B,0)),"0")</f>
        <v>12.17</v>
      </c>
      <c r="BB49" s="8">
        <f>IFERROR(INDEX([1]SuSa_2025!AX:AX,MATCH($B49,[1]SuSa_2025!$B:$B,0)),"0")</f>
        <v>12.17</v>
      </c>
    </row>
    <row r="50" spans="1:54" outlineLevel="1" collapsed="1" x14ac:dyDescent="0.25">
      <c r="A50" s="5" t="s">
        <v>196</v>
      </c>
      <c r="B50" s="6" t="s">
        <v>197</v>
      </c>
      <c r="C50" t="s">
        <v>198</v>
      </c>
      <c r="F50" s="7">
        <f t="shared" si="0"/>
        <v>4324.17</v>
      </c>
      <c r="G50" s="7">
        <f t="shared" si="1"/>
        <v>6367.44</v>
      </c>
      <c r="H50" s="7">
        <f t="shared" si="2"/>
        <v>3283.7</v>
      </c>
      <c r="I50" s="7">
        <f t="shared" si="3"/>
        <v>929.98</v>
      </c>
      <c r="K50" s="8">
        <f t="shared" si="4"/>
        <v>3115.7799999999997</v>
      </c>
      <c r="L50" s="8">
        <v>543.34</v>
      </c>
      <c r="M50" s="8">
        <v>729.88</v>
      </c>
      <c r="N50" s="8">
        <v>957</v>
      </c>
      <c r="O50" s="8">
        <v>1181.17</v>
      </c>
      <c r="P50" s="8">
        <v>1455.13</v>
      </c>
      <c r="Q50" s="8">
        <v>1738.52</v>
      </c>
      <c r="R50" s="8">
        <v>1968.25</v>
      </c>
      <c r="S50" s="8">
        <v>2428.63</v>
      </c>
      <c r="T50" s="8">
        <v>3073.82</v>
      </c>
      <c r="U50" s="8">
        <v>3500.32</v>
      </c>
      <c r="V50" s="8">
        <v>3787.46</v>
      </c>
      <c r="W50" s="8">
        <v>4324.17</v>
      </c>
      <c r="X50" s="8">
        <v>662.71</v>
      </c>
      <c r="Y50" s="8">
        <v>1616.2</v>
      </c>
      <c r="Z50" s="8">
        <v>2606.62</v>
      </c>
      <c r="AA50" s="8">
        <v>2852.25</v>
      </c>
      <c r="AB50" s="8">
        <v>3262.6</v>
      </c>
      <c r="AC50" s="8">
        <v>3669.11</v>
      </c>
      <c r="AD50" s="8">
        <v>3856.63</v>
      </c>
      <c r="AE50" s="8">
        <v>4334.07</v>
      </c>
      <c r="AF50" s="8">
        <v>5279.33</v>
      </c>
      <c r="AG50" s="8">
        <v>5914.8</v>
      </c>
      <c r="AH50" s="8">
        <v>6305.48</v>
      </c>
      <c r="AI50" s="8">
        <v>6367.44</v>
      </c>
      <c r="AJ50" s="8">
        <f>IFERROR(INDEX([1]SuSa_2024!BN:BN,MATCH($B50,[1]SuSa_2024!$B:$B,0)),"0")</f>
        <v>307.05</v>
      </c>
      <c r="AK50" s="8">
        <f>IFERROR(INDEX([1]SuSa_2024!BO:BO,MATCH($B50,[1]SuSa_2024!$B:$B,0)),"0")</f>
        <v>565.64</v>
      </c>
      <c r="AL50" s="8">
        <f>IFERROR(INDEX([1]SuSa_2024!BP:BP,MATCH($B50,[1]SuSa_2024!$B:$B,0)),"0")</f>
        <v>1615.8000000000002</v>
      </c>
      <c r="AM50" s="8">
        <f>IFERROR(INDEX([1]SuSa_2024!BQ:BQ,MATCH($B50,[1]SuSa_2024!$B:$B,0)),"0")</f>
        <v>2060</v>
      </c>
      <c r="AN50" s="8">
        <f>IFERROR(INDEX([1]SuSa_2024!BR:BR,MATCH($B50,[1]SuSa_2024!$B:$B,0)),"0")</f>
        <v>2671.02</v>
      </c>
      <c r="AO50" s="8">
        <f>IFERROR(INDEX([1]SuSa_2024!BS:BS,MATCH($B50,[1]SuSa_2024!$B:$B,0)),"0")</f>
        <v>2894.14</v>
      </c>
      <c r="AP50" s="8">
        <f>IFERROR(INDEX([1]SuSa_2024!BT:BT,MATCH($B50,[1]SuSa_2024!$B:$B,0)),"0")</f>
        <v>3115.7799999999997</v>
      </c>
      <c r="AQ50" s="8">
        <f>IFERROR(INDEX([1]SuSa_2024!BU:BU,MATCH($B50,[1]SuSa_2024!$B:$B,0)),"0")</f>
        <v>3229.24</v>
      </c>
      <c r="AR50" s="8">
        <f>IFERROR(INDEX([1]SuSa_2024!BV:BV,MATCH($B50,[1]SuSa_2024!$B:$B,0)),"0")</f>
        <v>3229.24</v>
      </c>
      <c r="AS50" s="8">
        <f>IFERROR(INDEX([1]SuSa_2024!BW:BW,MATCH($B50,[1]SuSa_2024!$B:$B,0)),"0")</f>
        <v>3229.24</v>
      </c>
      <c r="AT50" s="8">
        <f>IFERROR(INDEX([1]SuSa_2024!BX:BX,MATCH($B50,[1]SuSa_2024!$B:$B,0)),"0")</f>
        <v>3229.24</v>
      </c>
      <c r="AU50" s="8">
        <f>IFERROR(INDEX([1]SuSa_2024!BY:BY,MATCH($B50,[1]SuSa_2024!$B:$B,0)),"0")</f>
        <v>3283.7</v>
      </c>
      <c r="AV50" s="8">
        <f>IFERROR(INDEX([1]SuSa_2025!AR:AR,MATCH($B50,[1]SuSa_2025!$B:$B,0)),"0")</f>
        <v>114.09</v>
      </c>
      <c r="AW50" s="8">
        <f>IFERROR(INDEX([1]SuSa_2025!AS:AS,MATCH($B50,[1]SuSa_2025!$B:$B,0)),"0")</f>
        <v>236.76</v>
      </c>
      <c r="AX50" s="8">
        <f>IFERROR(INDEX([1]SuSa_2025!AT:AT,MATCH($B50,[1]SuSa_2025!$B:$B,0)),"0")</f>
        <v>324.70999999999998</v>
      </c>
      <c r="AY50" s="8">
        <f>IFERROR(INDEX([1]SuSa_2025!AU:AU,MATCH($B50,[1]SuSa_2025!$B:$B,0)),"0")</f>
        <v>425.16999999999996</v>
      </c>
      <c r="AZ50" s="8">
        <f>IFERROR(INDEX([1]SuSa_2025!AV:AV,MATCH($B50,[1]SuSa_2025!$B:$B,0)),"0")</f>
        <v>700.25</v>
      </c>
      <c r="BA50" s="8">
        <f>IFERROR(INDEX([1]SuSa_2025!AW:AW,MATCH($B50,[1]SuSa_2025!$B:$B,0)),"0")</f>
        <v>822.21</v>
      </c>
      <c r="BB50" s="8">
        <f>IFERROR(INDEX([1]SuSa_2025!AX:AX,MATCH($B50,[1]SuSa_2025!$B:$B,0)),"0")</f>
        <v>929.98</v>
      </c>
    </row>
    <row r="51" spans="1:54" outlineLevel="1" collapsed="1" x14ac:dyDescent="0.25">
      <c r="A51" s="5" t="s">
        <v>199</v>
      </c>
      <c r="B51" s="6" t="s">
        <v>200</v>
      </c>
      <c r="C51" t="s">
        <v>201</v>
      </c>
      <c r="F51" s="7">
        <f t="shared" si="0"/>
        <v>39.79</v>
      </c>
      <c r="G51" s="7">
        <f t="shared" si="1"/>
        <v>16.809999999999999</v>
      </c>
      <c r="H51" s="7">
        <f t="shared" si="2"/>
        <v>0</v>
      </c>
      <c r="I51" s="7" t="str">
        <f t="shared" si="3"/>
        <v>0</v>
      </c>
      <c r="K51" s="8">
        <f t="shared" si="4"/>
        <v>0</v>
      </c>
      <c r="L51" s="8">
        <v>3</v>
      </c>
      <c r="M51" s="8">
        <v>3</v>
      </c>
      <c r="N51" s="8">
        <v>3.19</v>
      </c>
      <c r="O51" s="8">
        <v>4.55</v>
      </c>
      <c r="P51" s="8">
        <v>4.34</v>
      </c>
      <c r="Q51" s="8">
        <v>5.43</v>
      </c>
      <c r="R51" s="8">
        <v>11.2</v>
      </c>
      <c r="S51" s="8">
        <v>19.97</v>
      </c>
      <c r="T51" s="8">
        <v>19.97</v>
      </c>
      <c r="U51" s="8">
        <v>26.03</v>
      </c>
      <c r="V51" s="8">
        <v>35.51</v>
      </c>
      <c r="W51" s="8">
        <v>39.79</v>
      </c>
      <c r="X51" s="8">
        <v>7.39</v>
      </c>
      <c r="Y51" s="8">
        <v>7.39</v>
      </c>
      <c r="Z51" s="8">
        <v>9.25</v>
      </c>
      <c r="AA51" s="8">
        <v>7.94</v>
      </c>
      <c r="AB51" s="8">
        <v>14.46</v>
      </c>
      <c r="AC51" s="8">
        <v>14.46</v>
      </c>
      <c r="AD51" s="8">
        <v>14.46</v>
      </c>
      <c r="AE51" s="8">
        <v>14.46</v>
      </c>
      <c r="AF51" s="8">
        <v>14.46</v>
      </c>
      <c r="AG51" s="8">
        <v>14.46</v>
      </c>
      <c r="AH51" s="8">
        <v>16.809999999999999</v>
      </c>
      <c r="AI51" s="8">
        <v>16.809999999999999</v>
      </c>
      <c r="AJ51" s="8">
        <f>IFERROR(INDEX([1]SuSa_2024!BN:BN,MATCH($B51,[1]SuSa_2024!$B:$B,0)),"0")</f>
        <v>0</v>
      </c>
      <c r="AK51" s="8">
        <f>IFERROR(INDEX([1]SuSa_2024!BO:BO,MATCH($B51,[1]SuSa_2024!$B:$B,0)),"0")</f>
        <v>0</v>
      </c>
      <c r="AL51" s="8">
        <f>IFERROR(INDEX([1]SuSa_2024!BP:BP,MATCH($B51,[1]SuSa_2024!$B:$B,0)),"0")</f>
        <v>0</v>
      </c>
      <c r="AM51" s="8">
        <f>IFERROR(INDEX([1]SuSa_2024!BQ:BQ,MATCH($B51,[1]SuSa_2024!$B:$B,0)),"0")</f>
        <v>0</v>
      </c>
      <c r="AN51" s="8">
        <f>IFERROR(INDEX([1]SuSa_2024!BR:BR,MATCH($B51,[1]SuSa_2024!$B:$B,0)),"0")</f>
        <v>0</v>
      </c>
      <c r="AO51" s="8">
        <f>IFERROR(INDEX([1]SuSa_2024!BS:BS,MATCH($B51,[1]SuSa_2024!$B:$B,0)),"0")</f>
        <v>0</v>
      </c>
      <c r="AP51" s="8">
        <f>IFERROR(INDEX([1]SuSa_2024!BT:BT,MATCH($B51,[1]SuSa_2024!$B:$B,0)),"0")</f>
        <v>0</v>
      </c>
      <c r="AQ51" s="8">
        <f>IFERROR(INDEX([1]SuSa_2024!BU:BU,MATCH($B51,[1]SuSa_2024!$B:$B,0)),"0")</f>
        <v>0</v>
      </c>
      <c r="AR51" s="8">
        <f>IFERROR(INDEX([1]SuSa_2024!BV:BV,MATCH($B51,[1]SuSa_2024!$B:$B,0)),"0")</f>
        <v>0</v>
      </c>
      <c r="AS51" s="8">
        <f>IFERROR(INDEX([1]SuSa_2024!BW:BW,MATCH($B51,[1]SuSa_2024!$B:$B,0)),"0")</f>
        <v>0</v>
      </c>
      <c r="AT51" s="8">
        <f>IFERROR(INDEX([1]SuSa_2024!BX:BX,MATCH($B51,[1]SuSa_2024!$B:$B,0)),"0")</f>
        <v>0</v>
      </c>
      <c r="AU51" s="8">
        <f>IFERROR(INDEX([1]SuSa_2024!BY:BY,MATCH($B51,[1]SuSa_2024!$B:$B,0)),"0")</f>
        <v>0</v>
      </c>
      <c r="AV51" s="8" t="str">
        <f>IFERROR(INDEX([1]SuSa_2025!AR:AR,MATCH($B51,[1]SuSa_2025!$B:$B,0)),"0")</f>
        <v>0</v>
      </c>
      <c r="AW51" s="8" t="str">
        <f>IFERROR(INDEX([1]SuSa_2025!AS:AS,MATCH($B51,[1]SuSa_2025!$B:$B,0)),"0")</f>
        <v>0</v>
      </c>
      <c r="AX51" s="8" t="str">
        <f>IFERROR(INDEX([1]SuSa_2025!AT:AT,MATCH($B51,[1]SuSa_2025!$B:$B,0)),"0")</f>
        <v>0</v>
      </c>
      <c r="AY51" s="8" t="str">
        <f>IFERROR(INDEX([1]SuSa_2025!AU:AU,MATCH($B51,[1]SuSa_2025!$B:$B,0)),"0")</f>
        <v>0</v>
      </c>
      <c r="AZ51" s="8" t="str">
        <f>IFERROR(INDEX([1]SuSa_2025!AV:AV,MATCH($B51,[1]SuSa_2025!$B:$B,0)),"0")</f>
        <v>0</v>
      </c>
      <c r="BA51" s="8" t="str">
        <f>IFERROR(INDEX([1]SuSa_2025!AW:AW,MATCH($B51,[1]SuSa_2025!$B:$B,0)),"0")</f>
        <v>0</v>
      </c>
      <c r="BB51" s="8" t="str">
        <f>IFERROR(INDEX([1]SuSa_2025!AX:AX,MATCH($B51,[1]SuSa_2025!$B:$B,0)),"0")</f>
        <v>0</v>
      </c>
    </row>
    <row r="52" spans="1:54" outlineLevel="1" collapsed="1" x14ac:dyDescent="0.25">
      <c r="A52" s="5" t="s">
        <v>202</v>
      </c>
      <c r="B52" s="6" t="s">
        <v>203</v>
      </c>
      <c r="C52" t="s">
        <v>204</v>
      </c>
      <c r="F52" s="7">
        <f t="shared" si="0"/>
        <v>1198.4100000000001</v>
      </c>
      <c r="G52" s="7">
        <f t="shared" si="1"/>
        <v>5493.52</v>
      </c>
      <c r="H52" s="7">
        <f t="shared" si="2"/>
        <v>2498.12</v>
      </c>
      <c r="I52" s="7">
        <f t="shared" si="3"/>
        <v>332.12</v>
      </c>
      <c r="K52" s="8">
        <f t="shared" si="4"/>
        <v>639.37000000000012</v>
      </c>
      <c r="L52" s="8">
        <v>71.72</v>
      </c>
      <c r="M52" s="8">
        <v>139.18</v>
      </c>
      <c r="N52" s="8">
        <v>158.22</v>
      </c>
      <c r="O52" s="8">
        <v>289.67</v>
      </c>
      <c r="P52" s="8">
        <v>394.06</v>
      </c>
      <c r="Q52" s="8">
        <v>422.41</v>
      </c>
      <c r="R52" s="8">
        <v>481.21</v>
      </c>
      <c r="S52" s="8">
        <v>570.35</v>
      </c>
      <c r="T52" s="8">
        <v>637.02</v>
      </c>
      <c r="U52" s="8">
        <v>709.47</v>
      </c>
      <c r="V52" s="8">
        <v>756.76</v>
      </c>
      <c r="W52" s="8">
        <v>1198.4100000000001</v>
      </c>
      <c r="X52" s="8">
        <v>193.42</v>
      </c>
      <c r="Y52" s="8">
        <v>243.69</v>
      </c>
      <c r="Z52" s="8">
        <v>3712.64</v>
      </c>
      <c r="AA52" s="8">
        <v>3771.4</v>
      </c>
      <c r="AB52" s="8">
        <v>3856.75</v>
      </c>
      <c r="AC52" s="8">
        <v>3905.55</v>
      </c>
      <c r="AD52" s="8">
        <v>5279.23</v>
      </c>
      <c r="AE52" s="8">
        <v>5352.34</v>
      </c>
      <c r="AF52" s="8">
        <v>5365.73</v>
      </c>
      <c r="AG52" s="8">
        <v>5434.05</v>
      </c>
      <c r="AH52" s="8">
        <v>5490.11</v>
      </c>
      <c r="AI52" s="8">
        <v>5493.52</v>
      </c>
      <c r="AJ52" s="8">
        <f>IFERROR(INDEX([1]SuSa_2024!BN:BN,MATCH($B52,[1]SuSa_2024!$B:$B,0)),"0")</f>
        <v>566.49</v>
      </c>
      <c r="AK52" s="8">
        <f>IFERROR(INDEX([1]SuSa_2024!BO:BO,MATCH($B52,[1]SuSa_2024!$B:$B,0)),"0")</f>
        <v>601.43000000000006</v>
      </c>
      <c r="AL52" s="8">
        <f>IFERROR(INDEX([1]SuSa_2024!BP:BP,MATCH($B52,[1]SuSa_2024!$B:$B,0)),"0")</f>
        <v>616.87000000000012</v>
      </c>
      <c r="AM52" s="8">
        <f>IFERROR(INDEX([1]SuSa_2024!BQ:BQ,MATCH($B52,[1]SuSa_2024!$B:$B,0)),"0")</f>
        <v>624.82000000000016</v>
      </c>
      <c r="AN52" s="8">
        <f>IFERROR(INDEX([1]SuSa_2024!BR:BR,MATCH($B52,[1]SuSa_2024!$B:$B,0)),"0")</f>
        <v>624.82000000000016</v>
      </c>
      <c r="AO52" s="8">
        <f>IFERROR(INDEX([1]SuSa_2024!BS:BS,MATCH($B52,[1]SuSa_2024!$B:$B,0)),"0")</f>
        <v>639.37000000000012</v>
      </c>
      <c r="AP52" s="8">
        <f>IFERROR(INDEX([1]SuSa_2024!BT:BT,MATCH($B52,[1]SuSa_2024!$B:$B,0)),"0")</f>
        <v>639.37000000000012</v>
      </c>
      <c r="AQ52" s="8">
        <f>IFERROR(INDEX([1]SuSa_2024!BU:BU,MATCH($B52,[1]SuSa_2024!$B:$B,0)),"0")</f>
        <v>639.37000000000012</v>
      </c>
      <c r="AR52" s="8">
        <f>IFERROR(INDEX([1]SuSa_2024!BV:BV,MATCH($B52,[1]SuSa_2024!$B:$B,0)),"0")</f>
        <v>639.37000000000012</v>
      </c>
      <c r="AS52" s="8">
        <f>IFERROR(INDEX([1]SuSa_2024!BW:BW,MATCH($B52,[1]SuSa_2024!$B:$B,0)),"0")</f>
        <v>639.37000000000012</v>
      </c>
      <c r="AT52" s="8">
        <f>IFERROR(INDEX([1]SuSa_2024!BX:BX,MATCH($B52,[1]SuSa_2024!$B:$B,0)),"0")</f>
        <v>639.37000000000012</v>
      </c>
      <c r="AU52" s="8">
        <f>IFERROR(INDEX([1]SuSa_2024!BY:BY,MATCH($B52,[1]SuSa_2024!$B:$B,0)),"0")</f>
        <v>2498.12</v>
      </c>
      <c r="AV52" s="8">
        <f>IFERROR(INDEX([1]SuSa_2025!AR:AR,MATCH($B52,[1]SuSa_2025!$B:$B,0)),"0")</f>
        <v>0</v>
      </c>
      <c r="AW52" s="8">
        <f>IFERROR(INDEX([1]SuSa_2025!AS:AS,MATCH($B52,[1]SuSa_2025!$B:$B,0)),"0")</f>
        <v>3.18</v>
      </c>
      <c r="AX52" s="8">
        <f>IFERROR(INDEX([1]SuSa_2025!AT:AT,MATCH($B52,[1]SuSa_2025!$B:$B,0)),"0")</f>
        <v>10.47</v>
      </c>
      <c r="AY52" s="8">
        <f>IFERROR(INDEX([1]SuSa_2025!AU:AU,MATCH($B52,[1]SuSa_2025!$B:$B,0)),"0")</f>
        <v>34.39</v>
      </c>
      <c r="AZ52" s="8">
        <f>IFERROR(INDEX([1]SuSa_2025!AV:AV,MATCH($B52,[1]SuSa_2025!$B:$B,0)),"0")</f>
        <v>34.39</v>
      </c>
      <c r="BA52" s="8">
        <f>IFERROR(INDEX([1]SuSa_2025!AW:AW,MATCH($B52,[1]SuSa_2025!$B:$B,0)),"0")</f>
        <v>324.82</v>
      </c>
      <c r="BB52" s="8">
        <f>IFERROR(INDEX([1]SuSa_2025!AX:AX,MATCH($B52,[1]SuSa_2025!$B:$B,0)),"0")</f>
        <v>332.12</v>
      </c>
    </row>
    <row r="53" spans="1:54" outlineLevel="1" collapsed="1" x14ac:dyDescent="0.25">
      <c r="A53" s="5" t="s">
        <v>205</v>
      </c>
      <c r="B53" s="6" t="s">
        <v>206</v>
      </c>
      <c r="C53" t="s">
        <v>207</v>
      </c>
      <c r="F53" s="7">
        <f t="shared" si="0"/>
        <v>0</v>
      </c>
      <c r="G53" s="7">
        <f t="shared" si="1"/>
        <v>0</v>
      </c>
      <c r="H53" s="7">
        <f t="shared" si="2"/>
        <v>0</v>
      </c>
      <c r="I53" s="7" t="str">
        <f t="shared" si="3"/>
        <v>0</v>
      </c>
      <c r="K53" s="8">
        <f t="shared" si="4"/>
        <v>0</v>
      </c>
      <c r="AH53" s="8">
        <v>7.21</v>
      </c>
      <c r="AI53" s="8">
        <v>0</v>
      </c>
      <c r="AJ53" s="8">
        <f>IFERROR(INDEX([1]SuSa_2024!BN:BN,MATCH($B53,[1]SuSa_2024!$B:$B,0)),"0")</f>
        <v>0</v>
      </c>
      <c r="AK53" s="8">
        <f>IFERROR(INDEX([1]SuSa_2024!BO:BO,MATCH($B53,[1]SuSa_2024!$B:$B,0)),"0")</f>
        <v>0</v>
      </c>
      <c r="AL53" s="8">
        <f>IFERROR(INDEX([1]SuSa_2024!BP:BP,MATCH($B53,[1]SuSa_2024!$B:$B,0)),"0")</f>
        <v>0</v>
      </c>
      <c r="AM53" s="8">
        <f>IFERROR(INDEX([1]SuSa_2024!BQ:BQ,MATCH($B53,[1]SuSa_2024!$B:$B,0)),"0")</f>
        <v>0</v>
      </c>
      <c r="AN53" s="8">
        <f>IFERROR(INDEX([1]SuSa_2024!BR:BR,MATCH($B53,[1]SuSa_2024!$B:$B,0)),"0")</f>
        <v>0</v>
      </c>
      <c r="AO53" s="8">
        <f>IFERROR(INDEX([1]SuSa_2024!BS:BS,MATCH($B53,[1]SuSa_2024!$B:$B,0)),"0")</f>
        <v>0</v>
      </c>
      <c r="AP53" s="8">
        <f>IFERROR(INDEX([1]SuSa_2024!BT:BT,MATCH($B53,[1]SuSa_2024!$B:$B,0)),"0")</f>
        <v>0</v>
      </c>
      <c r="AQ53" s="8">
        <f>IFERROR(INDEX([1]SuSa_2024!BU:BU,MATCH($B53,[1]SuSa_2024!$B:$B,0)),"0")</f>
        <v>0</v>
      </c>
      <c r="AR53" s="8">
        <f>IFERROR(INDEX([1]SuSa_2024!BV:BV,MATCH($B53,[1]SuSa_2024!$B:$B,0)),"0")</f>
        <v>0</v>
      </c>
      <c r="AS53" s="8">
        <f>IFERROR(INDEX([1]SuSa_2024!BW:BW,MATCH($B53,[1]SuSa_2024!$B:$B,0)),"0")</f>
        <v>0</v>
      </c>
      <c r="AT53" s="8">
        <f>IFERROR(INDEX([1]SuSa_2024!BX:BX,MATCH($B53,[1]SuSa_2024!$B:$B,0)),"0")</f>
        <v>0</v>
      </c>
      <c r="AU53" s="8">
        <f>IFERROR(INDEX([1]SuSa_2024!BY:BY,MATCH($B53,[1]SuSa_2024!$B:$B,0)),"0")</f>
        <v>0</v>
      </c>
      <c r="AV53" s="8" t="str">
        <f>IFERROR(INDEX([1]SuSa_2025!AR:AR,MATCH($B53,[1]SuSa_2025!$B:$B,0)),"0")</f>
        <v>0</v>
      </c>
      <c r="AW53" s="8" t="str">
        <f>IFERROR(INDEX([1]SuSa_2025!AS:AS,MATCH($B53,[1]SuSa_2025!$B:$B,0)),"0")</f>
        <v>0</v>
      </c>
      <c r="AX53" s="8" t="str">
        <f>IFERROR(INDEX([1]SuSa_2025!AT:AT,MATCH($B53,[1]SuSa_2025!$B:$B,0)),"0")</f>
        <v>0</v>
      </c>
      <c r="AY53" s="8" t="str">
        <f>IFERROR(INDEX([1]SuSa_2025!AU:AU,MATCH($B53,[1]SuSa_2025!$B:$B,0)),"0")</f>
        <v>0</v>
      </c>
      <c r="AZ53" s="8" t="str">
        <f>IFERROR(INDEX([1]SuSa_2025!AV:AV,MATCH($B53,[1]SuSa_2025!$B:$B,0)),"0")</f>
        <v>0</v>
      </c>
      <c r="BA53" s="8" t="str">
        <f>IFERROR(INDEX([1]SuSa_2025!AW:AW,MATCH($B53,[1]SuSa_2025!$B:$B,0)),"0")</f>
        <v>0</v>
      </c>
      <c r="BB53" s="8" t="str">
        <f>IFERROR(INDEX([1]SuSa_2025!AX:AX,MATCH($B53,[1]SuSa_2025!$B:$B,0)),"0")</f>
        <v>0</v>
      </c>
    </row>
    <row r="54" spans="1:54" outlineLevel="1" collapsed="1" x14ac:dyDescent="0.25">
      <c r="A54" s="5" t="s">
        <v>208</v>
      </c>
      <c r="B54" s="6" t="s">
        <v>209</v>
      </c>
      <c r="C54" t="s">
        <v>210</v>
      </c>
      <c r="F54" s="7">
        <f t="shared" si="0"/>
        <v>162222.60999999999</v>
      </c>
      <c r="G54" s="7">
        <f t="shared" si="1"/>
        <v>424200.88</v>
      </c>
      <c r="H54" s="7">
        <f t="shared" si="2"/>
        <v>134066.97999999998</v>
      </c>
      <c r="I54" s="7">
        <f t="shared" si="3"/>
        <v>47273.109999999993</v>
      </c>
      <c r="K54" s="8">
        <f t="shared" si="4"/>
        <v>98796.59</v>
      </c>
      <c r="L54" s="8">
        <v>7543.29</v>
      </c>
      <c r="M54" s="8">
        <v>17898.060000000001</v>
      </c>
      <c r="N54" s="8">
        <v>25546.9</v>
      </c>
      <c r="O54" s="8">
        <v>36260.730000000003</v>
      </c>
      <c r="P54" s="8">
        <v>45573.78</v>
      </c>
      <c r="Q54" s="8">
        <v>51362.94</v>
      </c>
      <c r="R54" s="8">
        <v>72556.100000000006</v>
      </c>
      <c r="S54" s="8">
        <v>84477.02</v>
      </c>
      <c r="T54" s="8">
        <v>100127.94</v>
      </c>
      <c r="U54" s="8">
        <v>113351.01</v>
      </c>
      <c r="V54" s="8">
        <v>130807.2</v>
      </c>
      <c r="W54" s="8">
        <v>162222.60999999999</v>
      </c>
      <c r="X54" s="8">
        <v>22921.85</v>
      </c>
      <c r="Y54" s="8">
        <v>52451.66</v>
      </c>
      <c r="Z54" s="8">
        <v>91078.37</v>
      </c>
      <c r="AA54" s="8">
        <v>128922.67</v>
      </c>
      <c r="AB54" s="8">
        <v>171021.64</v>
      </c>
      <c r="AC54" s="8">
        <v>216884.31</v>
      </c>
      <c r="AD54" s="8">
        <v>237689.28</v>
      </c>
      <c r="AE54" s="8">
        <v>271734.40000000002</v>
      </c>
      <c r="AF54" s="8">
        <v>292770.52</v>
      </c>
      <c r="AG54" s="8">
        <v>348239.12</v>
      </c>
      <c r="AH54" s="8">
        <v>359555.42</v>
      </c>
      <c r="AI54" s="8">
        <v>424200.88</v>
      </c>
      <c r="AJ54" s="8">
        <f>IFERROR(INDEX([1]SuSa_2024!BN:BN,MATCH($B54,[1]SuSa_2024!$B:$B,0)),"0")</f>
        <v>34419.65</v>
      </c>
      <c r="AK54" s="8">
        <f>IFERROR(INDEX([1]SuSa_2024!BO:BO,MATCH($B54,[1]SuSa_2024!$B:$B,0)),"0")</f>
        <v>43879.21</v>
      </c>
      <c r="AL54" s="8">
        <f>IFERROR(INDEX([1]SuSa_2024!BP:BP,MATCH($B54,[1]SuSa_2024!$B:$B,0)),"0")</f>
        <v>56077.14</v>
      </c>
      <c r="AM54" s="8">
        <f>IFERROR(INDEX([1]SuSa_2024!BQ:BQ,MATCH($B54,[1]SuSa_2024!$B:$B,0)),"0")</f>
        <v>70064.209999999992</v>
      </c>
      <c r="AN54" s="8">
        <f>IFERROR(INDEX([1]SuSa_2024!BR:BR,MATCH($B54,[1]SuSa_2024!$B:$B,0)),"0")</f>
        <v>82777.359999999986</v>
      </c>
      <c r="AO54" s="8">
        <f>IFERROR(INDEX([1]SuSa_2024!BS:BS,MATCH($B54,[1]SuSa_2024!$B:$B,0)),"0")</f>
        <v>91421.599999999991</v>
      </c>
      <c r="AP54" s="8">
        <f>IFERROR(INDEX([1]SuSa_2024!BT:BT,MATCH($B54,[1]SuSa_2024!$B:$B,0)),"0")</f>
        <v>98796.59</v>
      </c>
      <c r="AQ54" s="8">
        <f>IFERROR(INDEX([1]SuSa_2024!BU:BU,MATCH($B54,[1]SuSa_2024!$B:$B,0)),"0")</f>
        <v>106805.26999999999</v>
      </c>
      <c r="AR54" s="8">
        <f>IFERROR(INDEX([1]SuSa_2024!BV:BV,MATCH($B54,[1]SuSa_2024!$B:$B,0)),"0")</f>
        <v>106904.01999999999</v>
      </c>
      <c r="AS54" s="8">
        <f>IFERROR(INDEX([1]SuSa_2024!BW:BW,MATCH($B54,[1]SuSa_2024!$B:$B,0)),"0")</f>
        <v>110868.01999999999</v>
      </c>
      <c r="AT54" s="8">
        <f>IFERROR(INDEX([1]SuSa_2024!BX:BX,MATCH($B54,[1]SuSa_2024!$B:$B,0)),"0")</f>
        <v>113951.32999999999</v>
      </c>
      <c r="AU54" s="8">
        <f>IFERROR(INDEX([1]SuSa_2024!BY:BY,MATCH($B54,[1]SuSa_2024!$B:$B,0)),"0")</f>
        <v>134066.97999999998</v>
      </c>
      <c r="AV54" s="8">
        <f>IFERROR(INDEX([1]SuSa_2025!AR:AR,MATCH($B54,[1]SuSa_2025!$B:$B,0)),"0")</f>
        <v>7173.92</v>
      </c>
      <c r="AW54" s="8">
        <f>IFERROR(INDEX([1]SuSa_2025!AS:AS,MATCH($B54,[1]SuSa_2025!$B:$B,0)),"0")</f>
        <v>11112.84</v>
      </c>
      <c r="AX54" s="8">
        <f>IFERROR(INDEX([1]SuSa_2025!AT:AT,MATCH($B54,[1]SuSa_2025!$B:$B,0)),"0")</f>
        <v>16194.36</v>
      </c>
      <c r="AY54" s="8">
        <f>IFERROR(INDEX([1]SuSa_2025!AU:AU,MATCH($B54,[1]SuSa_2025!$B:$B,0)),"0")</f>
        <v>21616.36</v>
      </c>
      <c r="AZ54" s="8">
        <f>IFERROR(INDEX([1]SuSa_2025!AV:AV,MATCH($B54,[1]SuSa_2025!$B:$B,0)),"0")</f>
        <v>32510.1</v>
      </c>
      <c r="BA54" s="8">
        <f>IFERROR(INDEX([1]SuSa_2025!AW:AW,MATCH($B54,[1]SuSa_2025!$B:$B,0)),"0")</f>
        <v>38056.369999999995</v>
      </c>
      <c r="BB54" s="8">
        <f>IFERROR(INDEX([1]SuSa_2025!AX:AX,MATCH($B54,[1]SuSa_2025!$B:$B,0)),"0")</f>
        <v>47273.109999999993</v>
      </c>
    </row>
    <row r="55" spans="1:54" outlineLevel="1" collapsed="1" x14ac:dyDescent="0.25">
      <c r="A55" s="5" t="s">
        <v>211</v>
      </c>
      <c r="B55" s="6" t="s">
        <v>212</v>
      </c>
      <c r="C55" t="s">
        <v>213</v>
      </c>
      <c r="F55" s="7">
        <f t="shared" si="0"/>
        <v>114233.48</v>
      </c>
      <c r="G55" s="7">
        <f t="shared" si="1"/>
        <v>130821.89</v>
      </c>
      <c r="H55" s="7">
        <f t="shared" si="2"/>
        <v>69606.820000000007</v>
      </c>
      <c r="I55" s="7">
        <f t="shared" si="3"/>
        <v>8952.56</v>
      </c>
      <c r="K55" s="8">
        <f t="shared" si="4"/>
        <v>32496.109999999997</v>
      </c>
      <c r="L55" s="8">
        <v>8353.11</v>
      </c>
      <c r="M55" s="8">
        <v>11866.65</v>
      </c>
      <c r="N55" s="8">
        <v>17004.95</v>
      </c>
      <c r="O55" s="8">
        <v>26220.07</v>
      </c>
      <c r="P55" s="8">
        <v>30747.59</v>
      </c>
      <c r="Q55" s="8">
        <v>35880.65</v>
      </c>
      <c r="R55" s="8">
        <v>48187.18</v>
      </c>
      <c r="S55" s="8">
        <v>51753.16</v>
      </c>
      <c r="T55" s="8">
        <v>101976.29</v>
      </c>
      <c r="U55" s="8">
        <v>104570.86</v>
      </c>
      <c r="V55" s="8">
        <v>109656.5</v>
      </c>
      <c r="W55" s="8">
        <v>114233.48</v>
      </c>
      <c r="X55" s="8">
        <v>16523.580000000002</v>
      </c>
      <c r="Y55" s="8">
        <v>43871.4</v>
      </c>
      <c r="Z55" s="8">
        <v>47723.8</v>
      </c>
      <c r="AA55" s="8">
        <v>54349.24</v>
      </c>
      <c r="AB55" s="8">
        <v>57346.29</v>
      </c>
      <c r="AC55" s="8">
        <v>84325.85</v>
      </c>
      <c r="AD55" s="8">
        <v>95183.25</v>
      </c>
      <c r="AE55" s="8">
        <v>105322.28</v>
      </c>
      <c r="AF55" s="8">
        <v>109671.22</v>
      </c>
      <c r="AG55" s="8">
        <v>114610.98</v>
      </c>
      <c r="AH55" s="8">
        <v>119749.52</v>
      </c>
      <c r="AI55" s="8">
        <v>130821.89</v>
      </c>
      <c r="AJ55" s="8">
        <f>IFERROR(INDEX([1]SuSa_2024!BN:BN,MATCH($B55,[1]SuSa_2024!$B:$B,0)),"0")</f>
        <v>14061.55</v>
      </c>
      <c r="AK55" s="8">
        <f>IFERROR(INDEX([1]SuSa_2024!BO:BO,MATCH($B55,[1]SuSa_2024!$B:$B,0)),"0")</f>
        <v>16140.64</v>
      </c>
      <c r="AL55" s="8">
        <f>IFERROR(INDEX([1]SuSa_2024!BP:BP,MATCH($B55,[1]SuSa_2024!$B:$B,0)),"0")</f>
        <v>18708.96</v>
      </c>
      <c r="AM55" s="8">
        <f>IFERROR(INDEX([1]SuSa_2024!BQ:BQ,MATCH($B55,[1]SuSa_2024!$B:$B,0)),"0")</f>
        <v>23867.07</v>
      </c>
      <c r="AN55" s="8">
        <f>IFERROR(INDEX([1]SuSa_2024!BR:BR,MATCH($B55,[1]SuSa_2024!$B:$B,0)),"0")</f>
        <v>28819.94</v>
      </c>
      <c r="AO55" s="8">
        <f>IFERROR(INDEX([1]SuSa_2024!BS:BS,MATCH($B55,[1]SuSa_2024!$B:$B,0)),"0")</f>
        <v>31416.51</v>
      </c>
      <c r="AP55" s="8">
        <f>IFERROR(INDEX([1]SuSa_2024!BT:BT,MATCH($B55,[1]SuSa_2024!$B:$B,0)),"0")</f>
        <v>32496.109999999997</v>
      </c>
      <c r="AQ55" s="8">
        <f>IFERROR(INDEX([1]SuSa_2024!BU:BU,MATCH($B55,[1]SuSa_2024!$B:$B,0)),"0")</f>
        <v>32366.17</v>
      </c>
      <c r="AR55" s="8">
        <f>IFERROR(INDEX([1]SuSa_2024!BV:BV,MATCH($B55,[1]SuSa_2024!$B:$B,0)),"0")</f>
        <v>32575.919999999998</v>
      </c>
      <c r="AS55" s="8">
        <f>IFERROR(INDEX([1]SuSa_2024!BW:BW,MATCH($B55,[1]SuSa_2024!$B:$B,0)),"0")</f>
        <v>32924.339999999997</v>
      </c>
      <c r="AT55" s="8">
        <f>IFERROR(INDEX([1]SuSa_2024!BX:BX,MATCH($B55,[1]SuSa_2024!$B:$B,0)),"0")</f>
        <v>32924.339999999997</v>
      </c>
      <c r="AU55" s="8">
        <f>IFERROR(INDEX([1]SuSa_2024!BY:BY,MATCH($B55,[1]SuSa_2024!$B:$B,0)),"0")</f>
        <v>69606.820000000007</v>
      </c>
      <c r="AV55" s="8">
        <f>IFERROR(INDEX([1]SuSa_2025!AR:AR,MATCH($B55,[1]SuSa_2025!$B:$B,0)),"0")</f>
        <v>398.68</v>
      </c>
      <c r="AW55" s="8">
        <f>IFERROR(INDEX([1]SuSa_2025!AS:AS,MATCH($B55,[1]SuSa_2025!$B:$B,0)),"0")</f>
        <v>836.40000000000009</v>
      </c>
      <c r="AX55" s="8">
        <f>IFERROR(INDEX([1]SuSa_2025!AT:AT,MATCH($B55,[1]SuSa_2025!$B:$B,0)),"0")</f>
        <v>5131.9600000000009</v>
      </c>
      <c r="AY55" s="8">
        <f>IFERROR(INDEX([1]SuSa_2025!AU:AU,MATCH($B55,[1]SuSa_2025!$B:$B,0)),"0")</f>
        <v>6180.4600000000009</v>
      </c>
      <c r="AZ55" s="8">
        <f>IFERROR(INDEX([1]SuSa_2025!AV:AV,MATCH($B55,[1]SuSa_2025!$B:$B,0)),"0")</f>
        <v>6819.8200000000006</v>
      </c>
      <c r="BA55" s="8">
        <f>IFERROR(INDEX([1]SuSa_2025!AW:AW,MATCH($B55,[1]SuSa_2025!$B:$B,0)),"0")</f>
        <v>8391.58</v>
      </c>
      <c r="BB55" s="8">
        <f>IFERROR(INDEX([1]SuSa_2025!AX:AX,MATCH($B55,[1]SuSa_2025!$B:$B,0)),"0")</f>
        <v>8952.56</v>
      </c>
    </row>
    <row r="56" spans="1:54" outlineLevel="1" collapsed="1" x14ac:dyDescent="0.25">
      <c r="A56" s="5" t="s">
        <v>214</v>
      </c>
      <c r="B56" s="6" t="s">
        <v>215</v>
      </c>
      <c r="C56" t="s">
        <v>216</v>
      </c>
      <c r="F56" s="7">
        <f t="shared" si="0"/>
        <v>0</v>
      </c>
      <c r="G56" s="7">
        <f t="shared" si="1"/>
        <v>0</v>
      </c>
      <c r="H56" s="7">
        <f t="shared" si="2"/>
        <v>0</v>
      </c>
      <c r="I56" s="7">
        <f t="shared" si="3"/>
        <v>3997.119999999999</v>
      </c>
      <c r="K56" s="8">
        <f t="shared" si="4"/>
        <v>78.010000000000005</v>
      </c>
      <c r="M56" s="8">
        <v>146.91999999999999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1236.4100000000001</v>
      </c>
      <c r="V56" s="8">
        <v>0</v>
      </c>
      <c r="W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3053.58</v>
      </c>
      <c r="AG56" s="8">
        <v>3053.58</v>
      </c>
      <c r="AH56" s="8">
        <v>0</v>
      </c>
      <c r="AI56" s="8">
        <v>0</v>
      </c>
      <c r="AJ56" s="8">
        <f>IFERROR(INDEX([1]SuSa_2024!BN:BN,MATCH($B56,[1]SuSa_2024!$B:$B,0)),"0")</f>
        <v>0</v>
      </c>
      <c r="AK56" s="8">
        <f>IFERROR(INDEX([1]SuSa_2024!BO:BO,MATCH($B56,[1]SuSa_2024!$B:$B,0)),"0")</f>
        <v>0</v>
      </c>
      <c r="AL56" s="8">
        <f>IFERROR(INDEX([1]SuSa_2024!BP:BP,MATCH($B56,[1]SuSa_2024!$B:$B,0)),"0")</f>
        <v>0</v>
      </c>
      <c r="AM56" s="8">
        <f>IFERROR(INDEX([1]SuSa_2024!BQ:BQ,MATCH($B56,[1]SuSa_2024!$B:$B,0)),"0")</f>
        <v>0</v>
      </c>
      <c r="AN56" s="8">
        <f>IFERROR(INDEX([1]SuSa_2024!BR:BR,MATCH($B56,[1]SuSa_2024!$B:$B,0)),"0")</f>
        <v>-47.91</v>
      </c>
      <c r="AO56" s="8">
        <f>IFERROR(INDEX([1]SuSa_2024!BS:BS,MATCH($B56,[1]SuSa_2024!$B:$B,0)),"0")</f>
        <v>0</v>
      </c>
      <c r="AP56" s="8">
        <f>IFERROR(INDEX([1]SuSa_2024!BT:BT,MATCH($B56,[1]SuSa_2024!$B:$B,0)),"0")</f>
        <v>78.010000000000005</v>
      </c>
      <c r="AQ56" s="8">
        <f>IFERROR(INDEX([1]SuSa_2024!BU:BU,MATCH($B56,[1]SuSa_2024!$B:$B,0)),"0")</f>
        <v>-6.1099999999999994</v>
      </c>
      <c r="AR56" s="8">
        <f>IFERROR(INDEX([1]SuSa_2024!BV:BV,MATCH($B56,[1]SuSa_2024!$B:$B,0)),"0")</f>
        <v>10760.599999999999</v>
      </c>
      <c r="AS56" s="8">
        <f>IFERROR(INDEX([1]SuSa_2024!BW:BW,MATCH($B56,[1]SuSa_2024!$B:$B,0)),"0")</f>
        <v>43399.38</v>
      </c>
      <c r="AT56" s="8">
        <f>IFERROR(INDEX([1]SuSa_2024!BX:BX,MATCH($B56,[1]SuSa_2024!$B:$B,0)),"0")</f>
        <v>58105.06</v>
      </c>
      <c r="AU56" s="8">
        <f>IFERROR(INDEX([1]SuSa_2024!BY:BY,MATCH($B56,[1]SuSa_2024!$B:$B,0)),"0")</f>
        <v>0</v>
      </c>
      <c r="AV56" s="8">
        <f>IFERROR(INDEX([1]SuSa_2025!AR:AR,MATCH($B56,[1]SuSa_2025!$B:$B,0)),"0")</f>
        <v>-1736.72</v>
      </c>
      <c r="AW56" s="8">
        <f>IFERROR(INDEX([1]SuSa_2025!AS:AS,MATCH($B56,[1]SuSa_2025!$B:$B,0)),"0")</f>
        <v>-1169.3400000000001</v>
      </c>
      <c r="AX56" s="8">
        <f>IFERROR(INDEX([1]SuSa_2025!AT:AT,MATCH($B56,[1]SuSa_2025!$B:$B,0)),"0")</f>
        <v>-3932.13</v>
      </c>
      <c r="AY56" s="8">
        <f>IFERROR(INDEX([1]SuSa_2025!AU:AU,MATCH($B56,[1]SuSa_2025!$B:$B,0)),"0")</f>
        <v>-13662.630000000001</v>
      </c>
      <c r="AZ56" s="8">
        <f>IFERROR(INDEX([1]SuSa_2025!AV:AV,MATCH($B56,[1]SuSa_2025!$B:$B,0)),"0")</f>
        <v>-21436.010000000002</v>
      </c>
      <c r="BA56" s="8">
        <f>IFERROR(INDEX([1]SuSa_2025!AW:AW,MATCH($B56,[1]SuSa_2025!$B:$B,0)),"0")</f>
        <v>-19611.77</v>
      </c>
      <c r="BB56" s="8">
        <f>IFERROR(INDEX([1]SuSa_2025!AX:AX,MATCH($B56,[1]SuSa_2025!$B:$B,0)),"0")</f>
        <v>3997.119999999999</v>
      </c>
    </row>
    <row r="57" spans="1:54" outlineLevel="1" collapsed="1" x14ac:dyDescent="0.25">
      <c r="A57" s="5" t="s">
        <v>217</v>
      </c>
      <c r="B57" s="6" t="s">
        <v>218</v>
      </c>
      <c r="C57" t="s">
        <v>219</v>
      </c>
      <c r="E57" t="s">
        <v>220</v>
      </c>
      <c r="F57" s="7">
        <f t="shared" si="0"/>
        <v>0</v>
      </c>
      <c r="G57" s="7">
        <f t="shared" si="1"/>
        <v>-165657.5</v>
      </c>
      <c r="H57" s="7">
        <f t="shared" si="2"/>
        <v>0</v>
      </c>
      <c r="I57" s="7">
        <f t="shared" si="3"/>
        <v>0</v>
      </c>
      <c r="K57" s="8">
        <f t="shared" si="4"/>
        <v>0</v>
      </c>
      <c r="AE57" s="8">
        <v>-246835.75</v>
      </c>
      <c r="AF57" s="8">
        <v>-149255.75</v>
      </c>
      <c r="AG57" s="8">
        <v>-174285</v>
      </c>
      <c r="AH57" s="8">
        <v>-224562.5</v>
      </c>
      <c r="AI57" s="8">
        <v>-165657.5</v>
      </c>
      <c r="AJ57" s="8">
        <f>IFERROR(INDEX([1]SuSa_2024!BN:BN,MATCH($B57,[1]SuSa_2024!$B:$B,0)),"0")</f>
        <v>0</v>
      </c>
      <c r="AK57" s="8">
        <f>IFERROR(INDEX([1]SuSa_2024!BO:BO,MATCH($B57,[1]SuSa_2024!$B:$B,0)),"0")</f>
        <v>-105587.51</v>
      </c>
      <c r="AL57" s="8">
        <f>IFERROR(INDEX([1]SuSa_2024!BP:BP,MATCH($B57,[1]SuSa_2024!$B:$B,0)),"0")</f>
        <v>0</v>
      </c>
      <c r="AM57" s="8">
        <f>IFERROR(INDEX([1]SuSa_2024!BQ:BQ,MATCH($B57,[1]SuSa_2024!$B:$B,0)),"0")</f>
        <v>0</v>
      </c>
      <c r="AN57" s="8">
        <f>IFERROR(INDEX([1]SuSa_2024!BR:BR,MATCH($B57,[1]SuSa_2024!$B:$B,0)),"0")</f>
        <v>0</v>
      </c>
      <c r="AO57" s="8">
        <f>IFERROR(INDEX([1]SuSa_2024!BS:BS,MATCH($B57,[1]SuSa_2024!$B:$B,0)),"0")</f>
        <v>0</v>
      </c>
      <c r="AP57" s="8">
        <f>IFERROR(INDEX([1]SuSa_2024!BT:BT,MATCH($B57,[1]SuSa_2024!$B:$B,0)),"0")</f>
        <v>0</v>
      </c>
      <c r="AQ57" s="8">
        <f>IFERROR(INDEX([1]SuSa_2024!BU:BU,MATCH($B57,[1]SuSa_2024!$B:$B,0)),"0")</f>
        <v>0</v>
      </c>
      <c r="AR57" s="8">
        <f>IFERROR(INDEX([1]SuSa_2024!BV:BV,MATCH($B57,[1]SuSa_2024!$B:$B,0)),"0")</f>
        <v>0</v>
      </c>
      <c r="AS57" s="8">
        <f>IFERROR(INDEX([1]SuSa_2024!BW:BW,MATCH($B57,[1]SuSa_2024!$B:$B,0)),"0")</f>
        <v>0</v>
      </c>
      <c r="AT57" s="8">
        <f>IFERROR(INDEX([1]SuSa_2024!BX:BX,MATCH($B57,[1]SuSa_2024!$B:$B,0)),"0")</f>
        <v>0</v>
      </c>
      <c r="AU57" s="8">
        <f>IFERROR(INDEX([1]SuSa_2024!BY:BY,MATCH($B57,[1]SuSa_2024!$B:$B,0)),"0")</f>
        <v>0</v>
      </c>
      <c r="AV57" s="8">
        <f>IFERROR(INDEX([1]SuSa_2025!AR:AR,MATCH($B57,[1]SuSa_2025!$B:$B,0)),"0")</f>
        <v>0</v>
      </c>
      <c r="AW57" s="8">
        <f>IFERROR(INDEX([1]SuSa_2025!AS:AS,MATCH($B57,[1]SuSa_2025!$B:$B,0)),"0")</f>
        <v>0</v>
      </c>
      <c r="AX57" s="8">
        <f>IFERROR(INDEX([1]SuSa_2025!AT:AT,MATCH($B57,[1]SuSa_2025!$B:$B,0)),"0")</f>
        <v>0</v>
      </c>
      <c r="AY57" s="8">
        <f>IFERROR(INDEX([1]SuSa_2025!AU:AU,MATCH($B57,[1]SuSa_2025!$B:$B,0)),"0")</f>
        <v>0</v>
      </c>
      <c r="AZ57" s="8">
        <f>IFERROR(INDEX([1]SuSa_2025!AV:AV,MATCH($B57,[1]SuSa_2025!$B:$B,0)),"0")</f>
        <v>0</v>
      </c>
      <c r="BA57" s="8">
        <f>IFERROR(INDEX([1]SuSa_2025!AW:AW,MATCH($B57,[1]SuSa_2025!$B:$B,0)),"0")</f>
        <v>0</v>
      </c>
      <c r="BB57" s="8">
        <f>IFERROR(INDEX([1]SuSa_2025!AX:AX,MATCH($B57,[1]SuSa_2025!$B:$B,0)),"0")</f>
        <v>0</v>
      </c>
    </row>
    <row r="58" spans="1:54" outlineLevel="1" collapsed="1" x14ac:dyDescent="0.25">
      <c r="A58" s="5" t="s">
        <v>221</v>
      </c>
      <c r="B58" s="6" t="s">
        <v>222</v>
      </c>
      <c r="C58" t="s">
        <v>223</v>
      </c>
      <c r="F58" s="7">
        <f t="shared" si="0"/>
        <v>-61101.03</v>
      </c>
      <c r="G58" s="7">
        <f t="shared" si="1"/>
        <v>-103874.7</v>
      </c>
      <c r="H58" s="7">
        <f t="shared" si="2"/>
        <v>382.34000000001106</v>
      </c>
      <c r="I58" s="7">
        <f t="shared" si="3"/>
        <v>-41351.42</v>
      </c>
      <c r="K58" s="8">
        <f t="shared" si="4"/>
        <v>31759.740000000005</v>
      </c>
      <c r="L58" s="8">
        <v>-44934.38</v>
      </c>
      <c r="M58" s="8">
        <v>-38304.83</v>
      </c>
      <c r="N58" s="8">
        <v>-2177.3000000000002</v>
      </c>
      <c r="O58" s="8">
        <v>-22555.31</v>
      </c>
      <c r="P58" s="8">
        <v>-11544.72</v>
      </c>
      <c r="Q58" s="8">
        <v>-10127.64</v>
      </c>
      <c r="R58" s="8">
        <v>-17380.63</v>
      </c>
      <c r="S58" s="8">
        <v>9818.7099999999991</v>
      </c>
      <c r="T58" s="8">
        <v>-18310.98</v>
      </c>
      <c r="U58" s="8">
        <v>-9524.1200000000008</v>
      </c>
      <c r="V58" s="8">
        <v>-13667.61</v>
      </c>
      <c r="W58" s="8">
        <v>-61101.03</v>
      </c>
      <c r="X58" s="8">
        <v>-50741.36</v>
      </c>
      <c r="Y58" s="8">
        <v>-27451.919999999998</v>
      </c>
      <c r="Z58" s="8">
        <v>-112590.52</v>
      </c>
      <c r="AA58" s="8">
        <v>-191359.18</v>
      </c>
      <c r="AB58" s="8">
        <v>37132.949999999997</v>
      </c>
      <c r="AC58" s="8">
        <v>-86821.52</v>
      </c>
      <c r="AD58" s="8">
        <v>-140182.01999999999</v>
      </c>
      <c r="AE58" s="8">
        <v>-26083.09</v>
      </c>
      <c r="AF58" s="8">
        <v>-103539.57</v>
      </c>
      <c r="AG58" s="8">
        <v>-155006.85</v>
      </c>
      <c r="AH58" s="8">
        <v>-281859.13</v>
      </c>
      <c r="AI58" s="8">
        <v>-103874.7</v>
      </c>
      <c r="AJ58" s="8">
        <f>IFERROR(INDEX([1]SuSa_2024!BN:BN,MATCH($B58,[1]SuSa_2024!$B:$B,0)),"0")</f>
        <v>-52956.25</v>
      </c>
      <c r="AK58" s="8">
        <f>IFERROR(INDEX([1]SuSa_2024!BO:BO,MATCH($B58,[1]SuSa_2024!$B:$B,0)),"0")</f>
        <v>-46322.04</v>
      </c>
      <c r="AL58" s="8">
        <f>IFERROR(INDEX([1]SuSa_2024!BP:BP,MATCH($B58,[1]SuSa_2024!$B:$B,0)),"0")</f>
        <v>6034.9000000000015</v>
      </c>
      <c r="AM58" s="8">
        <f>IFERROR(INDEX([1]SuSa_2024!BQ:BQ,MATCH($B58,[1]SuSa_2024!$B:$B,0)),"0")</f>
        <v>-40463.51</v>
      </c>
      <c r="AN58" s="8">
        <f>IFERROR(INDEX([1]SuSa_2024!BR:BR,MATCH($B58,[1]SuSa_2024!$B:$B,0)),"0")</f>
        <v>81034.510000000009</v>
      </c>
      <c r="AO58" s="8">
        <f>IFERROR(INDEX([1]SuSa_2024!BS:BS,MATCH($B58,[1]SuSa_2024!$B:$B,0)),"0")</f>
        <v>67670.600000000006</v>
      </c>
      <c r="AP58" s="8">
        <f>IFERROR(INDEX([1]SuSa_2024!BT:BT,MATCH($B58,[1]SuSa_2024!$B:$B,0)),"0")</f>
        <v>31759.740000000005</v>
      </c>
      <c r="AQ58" s="8">
        <f>IFERROR(INDEX([1]SuSa_2024!BU:BU,MATCH($B58,[1]SuSa_2024!$B:$B,0)),"0")</f>
        <v>56161.320000000007</v>
      </c>
      <c r="AR58" s="8">
        <f>IFERROR(INDEX([1]SuSa_2024!BV:BV,MATCH($B58,[1]SuSa_2024!$B:$B,0)),"0")</f>
        <v>73921.810000000012</v>
      </c>
      <c r="AS58" s="8">
        <f>IFERROR(INDEX([1]SuSa_2024!BW:BW,MATCH($B58,[1]SuSa_2024!$B:$B,0)),"0")</f>
        <v>99866.950000000012</v>
      </c>
      <c r="AT58" s="8">
        <f>IFERROR(INDEX([1]SuSa_2024!BX:BX,MATCH($B58,[1]SuSa_2024!$B:$B,0)),"0")</f>
        <v>94467.400000000009</v>
      </c>
      <c r="AU58" s="8">
        <f>IFERROR(INDEX([1]SuSa_2024!BY:BY,MATCH($B58,[1]SuSa_2024!$B:$B,0)),"0")</f>
        <v>382.34000000001106</v>
      </c>
      <c r="AV58" s="8">
        <f>IFERROR(INDEX([1]SuSa_2025!AR:AR,MATCH($B58,[1]SuSa_2025!$B:$B,0)),"0")</f>
        <v>-9582.9500000000007</v>
      </c>
      <c r="AW58" s="8">
        <f>IFERROR(INDEX([1]SuSa_2025!AS:AS,MATCH($B58,[1]SuSa_2025!$B:$B,0)),"0")</f>
        <v>-20169.71</v>
      </c>
      <c r="AX58" s="8">
        <f>IFERROR(INDEX([1]SuSa_2025!AT:AT,MATCH($B58,[1]SuSa_2025!$B:$B,0)),"0")</f>
        <v>-18547.41</v>
      </c>
      <c r="AY58" s="8">
        <f>IFERROR(INDEX([1]SuSa_2025!AU:AU,MATCH($B58,[1]SuSa_2025!$B:$B,0)),"0")</f>
        <v>-28062.809999999998</v>
      </c>
      <c r="AZ58" s="8">
        <f>IFERROR(INDEX([1]SuSa_2025!AV:AV,MATCH($B58,[1]SuSa_2025!$B:$B,0)),"0")</f>
        <v>-23527.879999999997</v>
      </c>
      <c r="BA58" s="8">
        <f>IFERROR(INDEX([1]SuSa_2025!AW:AW,MATCH($B58,[1]SuSa_2025!$B:$B,0)),"0")</f>
        <v>-46932.34</v>
      </c>
      <c r="BB58" s="8">
        <f>IFERROR(INDEX([1]SuSa_2025!AX:AX,MATCH($B58,[1]SuSa_2025!$B:$B,0)),"0")</f>
        <v>-41351.42</v>
      </c>
    </row>
    <row r="59" spans="1:54" outlineLevel="1" collapsed="1" x14ac:dyDescent="0.25">
      <c r="A59" s="5" t="s">
        <v>224</v>
      </c>
      <c r="B59" s="6" t="s">
        <v>225</v>
      </c>
      <c r="C59" t="s">
        <v>226</v>
      </c>
      <c r="E59" t="s">
        <v>227</v>
      </c>
      <c r="F59" s="7">
        <f t="shared" si="0"/>
        <v>0</v>
      </c>
      <c r="G59" s="7">
        <f t="shared" si="1"/>
        <v>0</v>
      </c>
      <c r="H59" s="7" t="str">
        <f t="shared" si="2"/>
        <v>0</v>
      </c>
      <c r="I59" s="7" t="str">
        <f t="shared" si="3"/>
        <v>0</v>
      </c>
      <c r="K59" s="8" t="str">
        <f t="shared" si="4"/>
        <v>0</v>
      </c>
      <c r="L59" s="8">
        <v>-4000000</v>
      </c>
      <c r="M59" s="8">
        <v>-1000000</v>
      </c>
      <c r="N59" s="8">
        <v>-1000000</v>
      </c>
      <c r="O59" s="8">
        <v>-2000000</v>
      </c>
      <c r="P59" s="8">
        <v>-2000000</v>
      </c>
      <c r="Q59" s="8">
        <v>-2000000</v>
      </c>
      <c r="R59" s="8">
        <v>-2000000</v>
      </c>
      <c r="S59" s="8">
        <v>-2000000</v>
      </c>
      <c r="T59" s="8">
        <v>-2000000</v>
      </c>
      <c r="U59" s="8">
        <v>-2000000</v>
      </c>
      <c r="V59" s="8">
        <v>-2000000</v>
      </c>
      <c r="W59" s="8">
        <v>0</v>
      </c>
      <c r="AJ59" s="8" t="str">
        <f>IFERROR(INDEX([1]SuSa_2024!BN:BN,MATCH($B59,[1]SuSa_2024!$B:$B,0)),"0")</f>
        <v>0</v>
      </c>
      <c r="AK59" s="8" t="str">
        <f>IFERROR(INDEX([1]SuSa_2024!BO:BO,MATCH($B59,[1]SuSa_2024!$B:$B,0)),"0")</f>
        <v>0</v>
      </c>
      <c r="AL59" s="8" t="str">
        <f>IFERROR(INDEX([1]SuSa_2024!BP:BP,MATCH($B59,[1]SuSa_2024!$B:$B,0)),"0")</f>
        <v>0</v>
      </c>
      <c r="AM59" s="8" t="str">
        <f>IFERROR(INDEX([1]SuSa_2024!BQ:BQ,MATCH($B59,[1]SuSa_2024!$B:$B,0)),"0")</f>
        <v>0</v>
      </c>
      <c r="AN59" s="8" t="str">
        <f>IFERROR(INDEX([1]SuSa_2024!BR:BR,MATCH($B59,[1]SuSa_2024!$B:$B,0)),"0")</f>
        <v>0</v>
      </c>
      <c r="AO59" s="8" t="str">
        <f>IFERROR(INDEX([1]SuSa_2024!BS:BS,MATCH($B59,[1]SuSa_2024!$B:$B,0)),"0")</f>
        <v>0</v>
      </c>
      <c r="AP59" s="8" t="str">
        <f>IFERROR(INDEX([1]SuSa_2024!BT:BT,MATCH($B59,[1]SuSa_2024!$B:$B,0)),"0")</f>
        <v>0</v>
      </c>
      <c r="AQ59" s="8" t="str">
        <f>IFERROR(INDEX([1]SuSa_2024!BU:BU,MATCH($B59,[1]SuSa_2024!$B:$B,0)),"0")</f>
        <v>0</v>
      </c>
      <c r="AR59" s="8" t="str">
        <f>IFERROR(INDEX([1]SuSa_2024!BV:BV,MATCH($B59,[1]SuSa_2024!$B:$B,0)),"0")</f>
        <v>0</v>
      </c>
      <c r="AS59" s="8" t="str">
        <f>IFERROR(INDEX([1]SuSa_2024!BW:BW,MATCH($B59,[1]SuSa_2024!$B:$B,0)),"0")</f>
        <v>0</v>
      </c>
      <c r="AT59" s="8" t="str">
        <f>IFERROR(INDEX([1]SuSa_2024!BX:BX,MATCH($B59,[1]SuSa_2024!$B:$B,0)),"0")</f>
        <v>0</v>
      </c>
      <c r="AU59" s="8" t="str">
        <f>IFERROR(INDEX([1]SuSa_2024!BY:BY,MATCH($B59,[1]SuSa_2024!$B:$B,0)),"0")</f>
        <v>0</v>
      </c>
      <c r="AV59" s="8" t="str">
        <f>IFERROR(INDEX([1]SuSa_2025!AR:AR,MATCH($B59,[1]SuSa_2025!$B:$B,0)),"0")</f>
        <v>0</v>
      </c>
      <c r="AW59" s="8" t="str">
        <f>IFERROR(INDEX([1]SuSa_2025!AS:AS,MATCH($B59,[1]SuSa_2025!$B:$B,0)),"0")</f>
        <v>0</v>
      </c>
      <c r="AX59" s="8" t="str">
        <f>IFERROR(INDEX([1]SuSa_2025!AT:AT,MATCH($B59,[1]SuSa_2025!$B:$B,0)),"0")</f>
        <v>0</v>
      </c>
      <c r="AY59" s="8" t="str">
        <f>IFERROR(INDEX([1]SuSa_2025!AU:AU,MATCH($B59,[1]SuSa_2025!$B:$B,0)),"0")</f>
        <v>0</v>
      </c>
      <c r="AZ59" s="8" t="str">
        <f>IFERROR(INDEX([1]SuSa_2025!AV:AV,MATCH($B59,[1]SuSa_2025!$B:$B,0)),"0")</f>
        <v>0</v>
      </c>
      <c r="BA59" s="8" t="str">
        <f>IFERROR(INDEX([1]SuSa_2025!AW:AW,MATCH($B59,[1]SuSa_2025!$B:$B,0)),"0")</f>
        <v>0</v>
      </c>
      <c r="BB59" s="8" t="str">
        <f>IFERROR(INDEX([1]SuSa_2025!AX:AX,MATCH($B59,[1]SuSa_2025!$B:$B,0)),"0")</f>
        <v>0</v>
      </c>
    </row>
    <row r="60" spans="1:54" outlineLevel="1" collapsed="1" x14ac:dyDescent="0.25">
      <c r="A60" s="5" t="s">
        <v>224</v>
      </c>
      <c r="B60" s="6" t="s">
        <v>228</v>
      </c>
      <c r="C60" t="s">
        <v>229</v>
      </c>
      <c r="E60" t="s">
        <v>227</v>
      </c>
      <c r="F60" s="7">
        <f t="shared" si="0"/>
        <v>0</v>
      </c>
      <c r="G60" s="7">
        <f t="shared" si="1"/>
        <v>0</v>
      </c>
      <c r="H60" s="7" t="str">
        <f t="shared" si="2"/>
        <v>0</v>
      </c>
      <c r="I60" s="7" t="str">
        <f t="shared" si="3"/>
        <v>0</v>
      </c>
      <c r="K60" s="8" t="str">
        <f t="shared" si="4"/>
        <v>0</v>
      </c>
      <c r="L60" s="8">
        <v>-350</v>
      </c>
      <c r="M60" s="8">
        <v>-700</v>
      </c>
      <c r="N60" s="8">
        <v>-1050</v>
      </c>
      <c r="O60" s="8">
        <v>-2550</v>
      </c>
      <c r="P60" s="8">
        <v>-4050</v>
      </c>
      <c r="Q60" s="8">
        <v>-5550</v>
      </c>
      <c r="R60" s="8">
        <v>-7050</v>
      </c>
      <c r="S60" s="8">
        <v>-8550</v>
      </c>
      <c r="T60" s="8">
        <v>-10050</v>
      </c>
      <c r="U60" s="8">
        <v>-11550</v>
      </c>
      <c r="V60" s="8">
        <v>-13050</v>
      </c>
      <c r="W60" s="8">
        <v>0</v>
      </c>
      <c r="AJ60" s="8" t="str">
        <f>IFERROR(INDEX([1]SuSa_2024!BN:BN,MATCH($B60,[1]SuSa_2024!$B:$B,0)),"0")</f>
        <v>0</v>
      </c>
      <c r="AK60" s="8" t="str">
        <f>IFERROR(INDEX([1]SuSa_2024!BO:BO,MATCH($B60,[1]SuSa_2024!$B:$B,0)),"0")</f>
        <v>0</v>
      </c>
      <c r="AL60" s="8" t="str">
        <f>IFERROR(INDEX([1]SuSa_2024!BP:BP,MATCH($B60,[1]SuSa_2024!$B:$B,0)),"0")</f>
        <v>0</v>
      </c>
      <c r="AM60" s="8" t="str">
        <f>IFERROR(INDEX([1]SuSa_2024!BQ:BQ,MATCH($B60,[1]SuSa_2024!$B:$B,0)),"0")</f>
        <v>0</v>
      </c>
      <c r="AN60" s="8" t="str">
        <f>IFERROR(INDEX([1]SuSa_2024!BR:BR,MATCH($B60,[1]SuSa_2024!$B:$B,0)),"0")</f>
        <v>0</v>
      </c>
      <c r="AO60" s="8" t="str">
        <f>IFERROR(INDEX([1]SuSa_2024!BS:BS,MATCH($B60,[1]SuSa_2024!$B:$B,0)),"0")</f>
        <v>0</v>
      </c>
      <c r="AP60" s="8" t="str">
        <f>IFERROR(INDEX([1]SuSa_2024!BT:BT,MATCH($B60,[1]SuSa_2024!$B:$B,0)),"0")</f>
        <v>0</v>
      </c>
      <c r="AQ60" s="8" t="str">
        <f>IFERROR(INDEX([1]SuSa_2024!BU:BU,MATCH($B60,[1]SuSa_2024!$B:$B,0)),"0")</f>
        <v>0</v>
      </c>
      <c r="AR60" s="8" t="str">
        <f>IFERROR(INDEX([1]SuSa_2024!BV:BV,MATCH($B60,[1]SuSa_2024!$B:$B,0)),"0")</f>
        <v>0</v>
      </c>
      <c r="AS60" s="8" t="str">
        <f>IFERROR(INDEX([1]SuSa_2024!BW:BW,MATCH($B60,[1]SuSa_2024!$B:$B,0)),"0")</f>
        <v>0</v>
      </c>
      <c r="AT60" s="8" t="str">
        <f>IFERROR(INDEX([1]SuSa_2024!BX:BX,MATCH($B60,[1]SuSa_2024!$B:$B,0)),"0")</f>
        <v>0</v>
      </c>
      <c r="AU60" s="8" t="str">
        <f>IFERROR(INDEX([1]SuSa_2024!BY:BY,MATCH($B60,[1]SuSa_2024!$B:$B,0)),"0")</f>
        <v>0</v>
      </c>
      <c r="AV60" s="8" t="str">
        <f>IFERROR(INDEX([1]SuSa_2025!AR:AR,MATCH($B60,[1]SuSa_2025!$B:$B,0)),"0")</f>
        <v>0</v>
      </c>
      <c r="AW60" s="8" t="str">
        <f>IFERROR(INDEX([1]SuSa_2025!AS:AS,MATCH($B60,[1]SuSa_2025!$B:$B,0)),"0")</f>
        <v>0</v>
      </c>
      <c r="AX60" s="8" t="str">
        <f>IFERROR(INDEX([1]SuSa_2025!AT:AT,MATCH($B60,[1]SuSa_2025!$B:$B,0)),"0")</f>
        <v>0</v>
      </c>
      <c r="AY60" s="8" t="str">
        <f>IFERROR(INDEX([1]SuSa_2025!AU:AU,MATCH($B60,[1]SuSa_2025!$B:$B,0)),"0")</f>
        <v>0</v>
      </c>
      <c r="AZ60" s="8" t="str">
        <f>IFERROR(INDEX([1]SuSa_2025!AV:AV,MATCH($B60,[1]SuSa_2025!$B:$B,0)),"0")</f>
        <v>0</v>
      </c>
      <c r="BA60" s="8" t="str">
        <f>IFERROR(INDEX([1]SuSa_2025!AW:AW,MATCH($B60,[1]SuSa_2025!$B:$B,0)),"0")</f>
        <v>0</v>
      </c>
      <c r="BB60" s="8" t="str">
        <f>IFERROR(INDEX([1]SuSa_2025!AX:AX,MATCH($B60,[1]SuSa_2025!$B:$B,0)),"0")</f>
        <v>0</v>
      </c>
    </row>
    <row r="61" spans="1:54" outlineLevel="1" collapsed="1" x14ac:dyDescent="0.25">
      <c r="A61" s="5" t="s">
        <v>230</v>
      </c>
      <c r="B61" s="6" t="s">
        <v>231</v>
      </c>
      <c r="C61" t="s">
        <v>232</v>
      </c>
      <c r="F61" s="7">
        <f t="shared" si="0"/>
        <v>0</v>
      </c>
      <c r="G61" s="7">
        <f t="shared" si="1"/>
        <v>-51.41</v>
      </c>
      <c r="H61" s="7">
        <f t="shared" si="2"/>
        <v>-46.73</v>
      </c>
      <c r="I61" s="7">
        <f t="shared" si="3"/>
        <v>-46.73</v>
      </c>
      <c r="K61" s="8">
        <f t="shared" si="4"/>
        <v>-93.46</v>
      </c>
      <c r="AF61" s="8">
        <v>-51.41</v>
      </c>
      <c r="AG61" s="8">
        <v>-51.41</v>
      </c>
      <c r="AH61" s="8">
        <v>-51.41</v>
      </c>
      <c r="AI61" s="8">
        <v>-51.41</v>
      </c>
      <c r="AJ61" s="8">
        <f>IFERROR(INDEX([1]SuSa_2024!BN:BN,MATCH($B61,[1]SuSa_2024!$B:$B,0)),"0")</f>
        <v>0</v>
      </c>
      <c r="AK61" s="8">
        <f>IFERROR(INDEX([1]SuSa_2024!BO:BO,MATCH($B61,[1]SuSa_2024!$B:$B,0)),"0")</f>
        <v>-46.73</v>
      </c>
      <c r="AL61" s="8">
        <f>IFERROR(INDEX([1]SuSa_2024!BP:BP,MATCH($B61,[1]SuSa_2024!$B:$B,0)),"0")</f>
        <v>-93.46</v>
      </c>
      <c r="AM61" s="8">
        <f>IFERROR(INDEX([1]SuSa_2024!BQ:BQ,MATCH($B61,[1]SuSa_2024!$B:$B,0)),"0")</f>
        <v>-93.46</v>
      </c>
      <c r="AN61" s="8">
        <f>IFERROR(INDEX([1]SuSa_2024!BR:BR,MATCH($B61,[1]SuSa_2024!$B:$B,0)),"0")</f>
        <v>-93.46</v>
      </c>
      <c r="AO61" s="8">
        <f>IFERROR(INDEX([1]SuSa_2024!BS:BS,MATCH($B61,[1]SuSa_2024!$B:$B,0)),"0")</f>
        <v>-93.46</v>
      </c>
      <c r="AP61" s="8">
        <f>IFERROR(INDEX([1]SuSa_2024!BT:BT,MATCH($B61,[1]SuSa_2024!$B:$B,0)),"0")</f>
        <v>-93.46</v>
      </c>
      <c r="AQ61" s="8">
        <f>IFERROR(INDEX([1]SuSa_2024!BU:BU,MATCH($B61,[1]SuSa_2024!$B:$B,0)),"0")</f>
        <v>-93.46</v>
      </c>
      <c r="AR61" s="8">
        <f>IFERROR(INDEX([1]SuSa_2024!BV:BV,MATCH($B61,[1]SuSa_2024!$B:$B,0)),"0")</f>
        <v>-93.46</v>
      </c>
      <c r="AS61" s="8">
        <f>IFERROR(INDEX([1]SuSa_2024!BW:BW,MATCH($B61,[1]SuSa_2024!$B:$B,0)),"0")</f>
        <v>-93.46</v>
      </c>
      <c r="AT61" s="8">
        <f>IFERROR(INDEX([1]SuSa_2024!BX:BX,MATCH($B61,[1]SuSa_2024!$B:$B,0)),"0")</f>
        <v>-93.46</v>
      </c>
      <c r="AU61" s="8">
        <f>IFERROR(INDEX([1]SuSa_2024!BY:BY,MATCH($B61,[1]SuSa_2024!$B:$B,0)),"0")</f>
        <v>-46.73</v>
      </c>
      <c r="AV61" s="8">
        <f>IFERROR(INDEX([1]SuSa_2025!AR:AR,MATCH($B61,[1]SuSa_2025!$B:$B,0)),"0")</f>
        <v>-46.73</v>
      </c>
      <c r="AW61" s="8">
        <f>IFERROR(INDEX([1]SuSa_2025!AS:AS,MATCH($B61,[1]SuSa_2025!$B:$B,0)),"0")</f>
        <v>-46.73</v>
      </c>
      <c r="AX61" s="8">
        <f>IFERROR(INDEX([1]SuSa_2025!AT:AT,MATCH($B61,[1]SuSa_2025!$B:$B,0)),"0")</f>
        <v>-46.73</v>
      </c>
      <c r="AY61" s="8">
        <f>IFERROR(INDEX([1]SuSa_2025!AU:AU,MATCH($B61,[1]SuSa_2025!$B:$B,0)),"0")</f>
        <v>-46.73</v>
      </c>
      <c r="AZ61" s="8">
        <f>IFERROR(INDEX([1]SuSa_2025!AV:AV,MATCH($B61,[1]SuSa_2025!$B:$B,0)),"0")</f>
        <v>-46.73</v>
      </c>
      <c r="BA61" s="8">
        <f>IFERROR(INDEX([1]SuSa_2025!AW:AW,MATCH($B61,[1]SuSa_2025!$B:$B,0)),"0")</f>
        <v>-46.73</v>
      </c>
      <c r="BB61" s="8">
        <f>IFERROR(INDEX([1]SuSa_2025!AX:AX,MATCH($B61,[1]SuSa_2025!$B:$B,0)),"0")</f>
        <v>-46.73</v>
      </c>
    </row>
    <row r="62" spans="1:54" outlineLevel="1" collapsed="1" x14ac:dyDescent="0.25">
      <c r="A62" s="5" t="s">
        <v>233</v>
      </c>
      <c r="B62" s="6" t="s">
        <v>234</v>
      </c>
      <c r="C62" t="s">
        <v>235</v>
      </c>
      <c r="E62" t="s">
        <v>220</v>
      </c>
      <c r="F62" s="7">
        <f t="shared" si="0"/>
        <v>0</v>
      </c>
      <c r="G62" s="7">
        <f t="shared" si="1"/>
        <v>-37500</v>
      </c>
      <c r="H62" s="7">
        <f t="shared" si="2"/>
        <v>0</v>
      </c>
      <c r="I62" s="7">
        <f t="shared" si="3"/>
        <v>0</v>
      </c>
      <c r="K62" s="8">
        <f t="shared" si="4"/>
        <v>-48398.1</v>
      </c>
      <c r="L62" s="8">
        <v>-83500</v>
      </c>
      <c r="M62" s="8">
        <v>-45000</v>
      </c>
      <c r="N62" s="8">
        <v>-146152</v>
      </c>
      <c r="O62" s="8">
        <v>-170452</v>
      </c>
      <c r="P62" s="8">
        <v>-140326</v>
      </c>
      <c r="Q62" s="8">
        <v>-152700</v>
      </c>
      <c r="R62" s="8">
        <v>-136290</v>
      </c>
      <c r="S62" s="8">
        <v>-164290</v>
      </c>
      <c r="T62" s="8">
        <v>-167500</v>
      </c>
      <c r="U62" s="8">
        <v>-110000</v>
      </c>
      <c r="V62" s="8">
        <v>-77000</v>
      </c>
      <c r="W62" s="8">
        <v>0</v>
      </c>
      <c r="Z62" s="8">
        <v>-82200</v>
      </c>
      <c r="AA62" s="8">
        <v>-82200</v>
      </c>
      <c r="AB62" s="8">
        <v>-82200</v>
      </c>
      <c r="AC62" s="8">
        <v>-119700</v>
      </c>
      <c r="AD62" s="8">
        <v>-119700</v>
      </c>
      <c r="AE62" s="8">
        <v>-54700</v>
      </c>
      <c r="AF62" s="8">
        <v>-54700</v>
      </c>
      <c r="AG62" s="8">
        <v>-303968.12</v>
      </c>
      <c r="AH62" s="8">
        <v>-266275.96999999997</v>
      </c>
      <c r="AI62" s="8">
        <v>-37500</v>
      </c>
      <c r="AJ62" s="8">
        <f>IFERROR(INDEX([1]SuSa_2024!BN:BN,MATCH($B62,[1]SuSa_2024!$B:$B,0)),"0")</f>
        <v>-50000</v>
      </c>
      <c r="AK62" s="8">
        <f>IFERROR(INDEX([1]SuSa_2024!BO:BO,MATCH($B62,[1]SuSa_2024!$B:$B,0)),"0")</f>
        <v>0</v>
      </c>
      <c r="AL62" s="8">
        <f>IFERROR(INDEX([1]SuSa_2024!BP:BP,MATCH($B62,[1]SuSa_2024!$B:$B,0)),"0")</f>
        <v>-72596.639999999999</v>
      </c>
      <c r="AM62" s="8">
        <f>IFERROR(INDEX([1]SuSa_2024!BQ:BQ,MATCH($B62,[1]SuSa_2024!$B:$B,0)),"0")</f>
        <v>-64530.46</v>
      </c>
      <c r="AN62" s="8">
        <f>IFERROR(INDEX([1]SuSa_2024!BR:BR,MATCH($B62,[1]SuSa_2024!$B:$B,0)),"0")</f>
        <v>-56464.28</v>
      </c>
      <c r="AO62" s="8">
        <f>IFERROR(INDEX([1]SuSa_2024!BS:BS,MATCH($B62,[1]SuSa_2024!$B:$B,0)),"0")</f>
        <v>-48398.1</v>
      </c>
      <c r="AP62" s="8">
        <f>IFERROR(INDEX([1]SuSa_2024!BT:BT,MATCH($B62,[1]SuSa_2024!$B:$B,0)),"0")</f>
        <v>-48398.1</v>
      </c>
      <c r="AQ62" s="8">
        <f>IFERROR(INDEX([1]SuSa_2024!BU:BU,MATCH($B62,[1]SuSa_2024!$B:$B,0)),"0")</f>
        <v>-32265.739999999998</v>
      </c>
      <c r="AR62" s="8">
        <f>IFERROR(INDEX([1]SuSa_2024!BV:BV,MATCH($B62,[1]SuSa_2024!$B:$B,0)),"0")</f>
        <v>-24199.559999999998</v>
      </c>
      <c r="AS62" s="8">
        <f>IFERROR(INDEX([1]SuSa_2024!BW:BW,MATCH($B62,[1]SuSa_2024!$B:$B,0)),"0")</f>
        <v>-16133.379999999997</v>
      </c>
      <c r="AT62" s="8">
        <f>IFERROR(INDEX([1]SuSa_2024!BX:BX,MATCH($B62,[1]SuSa_2024!$B:$B,0)),"0")</f>
        <v>-8067.1999999999971</v>
      </c>
      <c r="AU62" s="8">
        <f>IFERROR(INDEX([1]SuSa_2024!BY:BY,MATCH($B62,[1]SuSa_2024!$B:$B,0)),"0")</f>
        <v>0</v>
      </c>
      <c r="AV62" s="8">
        <f>IFERROR(INDEX([1]SuSa_2025!AR:AR,MATCH($B62,[1]SuSa_2025!$B:$B,0)),"0")</f>
        <v>0</v>
      </c>
      <c r="AW62" s="8">
        <f>IFERROR(INDEX([1]SuSa_2025!AS:AS,MATCH($B62,[1]SuSa_2025!$B:$B,0)),"0")</f>
        <v>0</v>
      </c>
      <c r="AX62" s="8">
        <f>IFERROR(INDEX([1]SuSa_2025!AT:AT,MATCH($B62,[1]SuSa_2025!$B:$B,0)),"0")</f>
        <v>0</v>
      </c>
      <c r="AY62" s="8">
        <f>IFERROR(INDEX([1]SuSa_2025!AU:AU,MATCH($B62,[1]SuSa_2025!$B:$B,0)),"0")</f>
        <v>0</v>
      </c>
      <c r="AZ62" s="8">
        <f>IFERROR(INDEX([1]SuSa_2025!AV:AV,MATCH($B62,[1]SuSa_2025!$B:$B,0)),"0")</f>
        <v>0</v>
      </c>
      <c r="BA62" s="8">
        <f>IFERROR(INDEX([1]SuSa_2025!AW:AW,MATCH($B62,[1]SuSa_2025!$B:$B,0)),"0")</f>
        <v>0</v>
      </c>
      <c r="BB62" s="8">
        <f>IFERROR(INDEX([1]SuSa_2025!AX:AX,MATCH($B62,[1]SuSa_2025!$B:$B,0)),"0")</f>
        <v>0</v>
      </c>
    </row>
    <row r="63" spans="1:54" outlineLevel="1" collapsed="1" x14ac:dyDescent="0.25">
      <c r="A63" s="5" t="s">
        <v>236</v>
      </c>
      <c r="B63" s="6" t="s">
        <v>237</v>
      </c>
      <c r="C63" t="s">
        <v>238</v>
      </c>
      <c r="F63" s="7">
        <f t="shared" si="0"/>
        <v>0</v>
      </c>
      <c r="G63" s="7">
        <f t="shared" si="1"/>
        <v>0</v>
      </c>
      <c r="H63" s="7">
        <f t="shared" si="2"/>
        <v>0</v>
      </c>
      <c r="I63" s="7">
        <f t="shared" si="3"/>
        <v>0</v>
      </c>
      <c r="K63" s="8">
        <f t="shared" si="4"/>
        <v>0</v>
      </c>
      <c r="M63" s="8">
        <v>-0.18</v>
      </c>
      <c r="N63" s="8">
        <v>0</v>
      </c>
      <c r="O63" s="8">
        <v>0</v>
      </c>
      <c r="P63" s="8">
        <v>0</v>
      </c>
      <c r="Q63" s="8">
        <v>0</v>
      </c>
      <c r="R63" s="8">
        <v>-32.869999999999997</v>
      </c>
      <c r="S63" s="8">
        <v>0</v>
      </c>
      <c r="T63" s="8">
        <v>-1.41</v>
      </c>
      <c r="U63" s="8">
        <v>0</v>
      </c>
      <c r="V63" s="8">
        <v>0</v>
      </c>
      <c r="W63" s="8">
        <v>0</v>
      </c>
      <c r="X63" s="8">
        <v>-41.86</v>
      </c>
      <c r="Y63" s="8">
        <v>0</v>
      </c>
      <c r="Z63" s="8">
        <v>0</v>
      </c>
      <c r="AA63" s="8">
        <v>-4.92</v>
      </c>
      <c r="AB63" s="8">
        <v>0</v>
      </c>
      <c r="AC63" s="8">
        <v>0</v>
      </c>
      <c r="AD63" s="8">
        <v>0</v>
      </c>
      <c r="AE63" s="8">
        <v>0</v>
      </c>
      <c r="AF63" s="8">
        <v>-152</v>
      </c>
      <c r="AG63" s="8">
        <v>0</v>
      </c>
      <c r="AH63" s="8">
        <v>-4.8600000000000003</v>
      </c>
      <c r="AI63" s="8">
        <v>0</v>
      </c>
      <c r="AJ63" s="8">
        <f>IFERROR(INDEX([1]SuSa_2024!BN:BN,MATCH($B63,[1]SuSa_2024!$B:$B,0)),"0")</f>
        <v>0</v>
      </c>
      <c r="AK63" s="8">
        <f>IFERROR(INDEX([1]SuSa_2024!BO:BO,MATCH($B63,[1]SuSa_2024!$B:$B,0)),"0")</f>
        <v>-39.869999999999997</v>
      </c>
      <c r="AL63" s="8">
        <f>IFERROR(INDEX([1]SuSa_2024!BP:BP,MATCH($B63,[1]SuSa_2024!$B:$B,0)),"0")</f>
        <v>0</v>
      </c>
      <c r="AM63" s="8">
        <f>IFERROR(INDEX([1]SuSa_2024!BQ:BQ,MATCH($B63,[1]SuSa_2024!$B:$B,0)),"0")</f>
        <v>0</v>
      </c>
      <c r="AN63" s="8">
        <f>IFERROR(INDEX([1]SuSa_2024!BR:BR,MATCH($B63,[1]SuSa_2024!$B:$B,0)),"0")</f>
        <v>-42.03</v>
      </c>
      <c r="AO63" s="8">
        <f>IFERROR(INDEX([1]SuSa_2024!BS:BS,MATCH($B63,[1]SuSa_2024!$B:$B,0)),"0")</f>
        <v>0</v>
      </c>
      <c r="AP63" s="8">
        <f>IFERROR(INDEX([1]SuSa_2024!BT:BT,MATCH($B63,[1]SuSa_2024!$B:$B,0)),"0")</f>
        <v>0</v>
      </c>
      <c r="AQ63" s="8">
        <f>IFERROR(INDEX([1]SuSa_2024!BU:BU,MATCH($B63,[1]SuSa_2024!$B:$B,0)),"0")</f>
        <v>0</v>
      </c>
      <c r="AR63" s="8">
        <f>IFERROR(INDEX([1]SuSa_2024!BV:BV,MATCH($B63,[1]SuSa_2024!$B:$B,0)),"0")</f>
        <v>0</v>
      </c>
      <c r="AS63" s="8">
        <f>IFERROR(INDEX([1]SuSa_2024!BW:BW,MATCH($B63,[1]SuSa_2024!$B:$B,0)),"0")</f>
        <v>0</v>
      </c>
      <c r="AT63" s="8">
        <f>IFERROR(INDEX([1]SuSa_2024!BX:BX,MATCH($B63,[1]SuSa_2024!$B:$B,0)),"0")</f>
        <v>0</v>
      </c>
      <c r="AU63" s="8">
        <f>IFERROR(INDEX([1]SuSa_2024!BY:BY,MATCH($B63,[1]SuSa_2024!$B:$B,0)),"0")</f>
        <v>0</v>
      </c>
      <c r="AV63" s="8">
        <f>IFERROR(INDEX([1]SuSa_2025!AR:AR,MATCH($B63,[1]SuSa_2025!$B:$B,0)),"0")</f>
        <v>0</v>
      </c>
      <c r="AW63" s="8">
        <f>IFERROR(INDEX([1]SuSa_2025!AS:AS,MATCH($B63,[1]SuSa_2025!$B:$B,0)),"0")</f>
        <v>0</v>
      </c>
      <c r="AX63" s="8">
        <f>IFERROR(INDEX([1]SuSa_2025!AT:AT,MATCH($B63,[1]SuSa_2025!$B:$B,0)),"0")</f>
        <v>0</v>
      </c>
      <c r="AY63" s="8">
        <f>IFERROR(INDEX([1]SuSa_2025!AU:AU,MATCH($B63,[1]SuSa_2025!$B:$B,0)),"0")</f>
        <v>0</v>
      </c>
      <c r="AZ63" s="8">
        <f>IFERROR(INDEX([1]SuSa_2025!AV:AV,MATCH($B63,[1]SuSa_2025!$B:$B,0)),"0")</f>
        <v>0</v>
      </c>
      <c r="BA63" s="8">
        <f>IFERROR(INDEX([1]SuSa_2025!AW:AW,MATCH($B63,[1]SuSa_2025!$B:$B,0)),"0")</f>
        <v>0</v>
      </c>
      <c r="BB63" s="8">
        <f>IFERROR(INDEX([1]SuSa_2025!AX:AX,MATCH($B63,[1]SuSa_2025!$B:$B,0)),"0")</f>
        <v>0</v>
      </c>
    </row>
    <row r="64" spans="1:54" outlineLevel="1" collapsed="1" x14ac:dyDescent="0.25">
      <c r="A64" s="5" t="s">
        <v>239</v>
      </c>
      <c r="B64" s="6" t="s">
        <v>240</v>
      </c>
      <c r="C64" t="s">
        <v>241</v>
      </c>
      <c r="F64" s="7">
        <f t="shared" si="0"/>
        <v>-126.56</v>
      </c>
      <c r="G64" s="7">
        <f t="shared" si="1"/>
        <v>0</v>
      </c>
      <c r="H64" s="7">
        <f t="shared" si="2"/>
        <v>0</v>
      </c>
      <c r="I64" s="7" t="str">
        <f t="shared" si="3"/>
        <v>0</v>
      </c>
      <c r="K64" s="8">
        <f t="shared" si="4"/>
        <v>0</v>
      </c>
      <c r="L64" s="8">
        <v>776.43</v>
      </c>
      <c r="M64" s="8">
        <v>381.1</v>
      </c>
      <c r="N64" s="8">
        <v>2235.81</v>
      </c>
      <c r="O64" s="8">
        <v>2235.2600000000002</v>
      </c>
      <c r="P64" s="8">
        <v>-636.71</v>
      </c>
      <c r="Q64" s="8">
        <v>-134.03</v>
      </c>
      <c r="R64" s="8">
        <v>-9999.69</v>
      </c>
      <c r="S64" s="8">
        <v>-128.44999999999999</v>
      </c>
      <c r="T64" s="8">
        <v>-556.85</v>
      </c>
      <c r="U64" s="8">
        <v>-1350.38</v>
      </c>
      <c r="V64" s="8">
        <v>-2095.98</v>
      </c>
      <c r="W64" s="8">
        <v>-126.56</v>
      </c>
      <c r="X64" s="8">
        <v>-326.75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f>IFERROR(INDEX([1]SuSa_2024!BN:BN,MATCH($B64,[1]SuSa_2024!$B:$B,0)),"0")</f>
        <v>0</v>
      </c>
      <c r="AK64" s="8">
        <f>IFERROR(INDEX([1]SuSa_2024!BO:BO,MATCH($B64,[1]SuSa_2024!$B:$B,0)),"0")</f>
        <v>0</v>
      </c>
      <c r="AL64" s="8">
        <f>IFERROR(INDEX([1]SuSa_2024!BP:BP,MATCH($B64,[1]SuSa_2024!$B:$B,0)),"0")</f>
        <v>0</v>
      </c>
      <c r="AM64" s="8">
        <f>IFERROR(INDEX([1]SuSa_2024!BQ:BQ,MATCH($B64,[1]SuSa_2024!$B:$B,0)),"0")</f>
        <v>0</v>
      </c>
      <c r="AN64" s="8">
        <f>IFERROR(INDEX([1]SuSa_2024!BR:BR,MATCH($B64,[1]SuSa_2024!$B:$B,0)),"0")</f>
        <v>0</v>
      </c>
      <c r="AO64" s="8">
        <f>IFERROR(INDEX([1]SuSa_2024!BS:BS,MATCH($B64,[1]SuSa_2024!$B:$B,0)),"0")</f>
        <v>0</v>
      </c>
      <c r="AP64" s="8">
        <f>IFERROR(INDEX([1]SuSa_2024!BT:BT,MATCH($B64,[1]SuSa_2024!$B:$B,0)),"0")</f>
        <v>0</v>
      </c>
      <c r="AQ64" s="8">
        <f>IFERROR(INDEX([1]SuSa_2024!BU:BU,MATCH($B64,[1]SuSa_2024!$B:$B,0)),"0")</f>
        <v>0</v>
      </c>
      <c r="AR64" s="8">
        <f>IFERROR(INDEX([1]SuSa_2024!BV:BV,MATCH($B64,[1]SuSa_2024!$B:$B,0)),"0")</f>
        <v>0</v>
      </c>
      <c r="AS64" s="8">
        <f>IFERROR(INDEX([1]SuSa_2024!BW:BW,MATCH($B64,[1]SuSa_2024!$B:$B,0)),"0")</f>
        <v>0</v>
      </c>
      <c r="AT64" s="8">
        <f>IFERROR(INDEX([1]SuSa_2024!BX:BX,MATCH($B64,[1]SuSa_2024!$B:$B,0)),"0")</f>
        <v>0</v>
      </c>
      <c r="AU64" s="8">
        <f>IFERROR(INDEX([1]SuSa_2024!BY:BY,MATCH($B64,[1]SuSa_2024!$B:$B,0)),"0")</f>
        <v>0</v>
      </c>
      <c r="AV64" s="8" t="str">
        <f>IFERROR(INDEX([1]SuSa_2025!AR:AR,MATCH($B64,[1]SuSa_2025!$B:$B,0)),"0")</f>
        <v>0</v>
      </c>
      <c r="AW64" s="8" t="str">
        <f>IFERROR(INDEX([1]SuSa_2025!AS:AS,MATCH($B64,[1]SuSa_2025!$B:$B,0)),"0")</f>
        <v>0</v>
      </c>
      <c r="AX64" s="8" t="str">
        <f>IFERROR(INDEX([1]SuSa_2025!AT:AT,MATCH($B64,[1]SuSa_2025!$B:$B,0)),"0")</f>
        <v>0</v>
      </c>
      <c r="AY64" s="8" t="str">
        <f>IFERROR(INDEX([1]SuSa_2025!AU:AU,MATCH($B64,[1]SuSa_2025!$B:$B,0)),"0")</f>
        <v>0</v>
      </c>
      <c r="AZ64" s="8" t="str">
        <f>IFERROR(INDEX([1]SuSa_2025!AV:AV,MATCH($B64,[1]SuSa_2025!$B:$B,0)),"0")</f>
        <v>0</v>
      </c>
      <c r="BA64" s="8" t="str">
        <f>IFERROR(INDEX([1]SuSa_2025!AW:AW,MATCH($B64,[1]SuSa_2025!$B:$B,0)),"0")</f>
        <v>0</v>
      </c>
      <c r="BB64" s="8" t="str">
        <f>IFERROR(INDEX([1]SuSa_2025!AX:AX,MATCH($B64,[1]SuSa_2025!$B:$B,0)),"0")</f>
        <v>0</v>
      </c>
    </row>
    <row r="65" spans="1:55" outlineLevel="1" collapsed="1" x14ac:dyDescent="0.25">
      <c r="A65" s="5" t="s">
        <v>239</v>
      </c>
      <c r="B65" s="6" t="s">
        <v>242</v>
      </c>
      <c r="C65" t="s">
        <v>243</v>
      </c>
      <c r="F65" s="7">
        <f t="shared" si="0"/>
        <v>0</v>
      </c>
      <c r="G65" s="7">
        <f t="shared" si="1"/>
        <v>0</v>
      </c>
      <c r="H65" s="7">
        <f t="shared" si="2"/>
        <v>0</v>
      </c>
      <c r="I65" s="7" t="str">
        <f t="shared" si="3"/>
        <v>0</v>
      </c>
      <c r="K65" s="8">
        <f t="shared" si="4"/>
        <v>0</v>
      </c>
      <c r="L65" s="8">
        <v>22.95</v>
      </c>
      <c r="M65" s="8">
        <v>441.3</v>
      </c>
      <c r="N65" s="8">
        <v>540.29999999999995</v>
      </c>
      <c r="O65" s="8">
        <v>540.29999999999995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f>IFERROR(INDEX([1]SuSa_2024!BN:BN,MATCH($B65,[1]SuSa_2024!$B:$B,0)),"0")</f>
        <v>0</v>
      </c>
      <c r="AK65" s="8">
        <f>IFERROR(INDEX([1]SuSa_2024!BO:BO,MATCH($B65,[1]SuSa_2024!$B:$B,0)),"0")</f>
        <v>0</v>
      </c>
      <c r="AL65" s="8">
        <f>IFERROR(INDEX([1]SuSa_2024!BP:BP,MATCH($B65,[1]SuSa_2024!$B:$B,0)),"0")</f>
        <v>0</v>
      </c>
      <c r="AM65" s="8">
        <f>IFERROR(INDEX([1]SuSa_2024!BQ:BQ,MATCH($B65,[1]SuSa_2024!$B:$B,0)),"0")</f>
        <v>0</v>
      </c>
      <c r="AN65" s="8">
        <f>IFERROR(INDEX([1]SuSa_2024!BR:BR,MATCH($B65,[1]SuSa_2024!$B:$B,0)),"0")</f>
        <v>0</v>
      </c>
      <c r="AO65" s="8">
        <f>IFERROR(INDEX([1]SuSa_2024!BS:BS,MATCH($B65,[1]SuSa_2024!$B:$B,0)),"0")</f>
        <v>0</v>
      </c>
      <c r="AP65" s="8">
        <f>IFERROR(INDEX([1]SuSa_2024!BT:BT,MATCH($B65,[1]SuSa_2024!$B:$B,0)),"0")</f>
        <v>0</v>
      </c>
      <c r="AQ65" s="8">
        <f>IFERROR(INDEX([1]SuSa_2024!BU:BU,MATCH($B65,[1]SuSa_2024!$B:$B,0)),"0")</f>
        <v>0</v>
      </c>
      <c r="AR65" s="8">
        <f>IFERROR(INDEX([1]SuSa_2024!BV:BV,MATCH($B65,[1]SuSa_2024!$B:$B,0)),"0")</f>
        <v>0</v>
      </c>
      <c r="AS65" s="8">
        <f>IFERROR(INDEX([1]SuSa_2024!BW:BW,MATCH($B65,[1]SuSa_2024!$B:$B,0)),"0")</f>
        <v>0</v>
      </c>
      <c r="AT65" s="8">
        <f>IFERROR(INDEX([1]SuSa_2024!BX:BX,MATCH($B65,[1]SuSa_2024!$B:$B,0)),"0")</f>
        <v>0</v>
      </c>
      <c r="AU65" s="8">
        <f>IFERROR(INDEX([1]SuSa_2024!BY:BY,MATCH($B65,[1]SuSa_2024!$B:$B,0)),"0")</f>
        <v>0</v>
      </c>
      <c r="AV65" s="8" t="str">
        <f>IFERROR(INDEX([1]SuSa_2025!AR:AR,MATCH($B65,[1]SuSa_2025!$B:$B,0)),"0")</f>
        <v>0</v>
      </c>
      <c r="AW65" s="8" t="str">
        <f>IFERROR(INDEX([1]SuSa_2025!AS:AS,MATCH($B65,[1]SuSa_2025!$B:$B,0)),"0")</f>
        <v>0</v>
      </c>
      <c r="AX65" s="8" t="str">
        <f>IFERROR(INDEX([1]SuSa_2025!AT:AT,MATCH($B65,[1]SuSa_2025!$B:$B,0)),"0")</f>
        <v>0</v>
      </c>
      <c r="AY65" s="8" t="str">
        <f>IFERROR(INDEX([1]SuSa_2025!AU:AU,MATCH($B65,[1]SuSa_2025!$B:$B,0)),"0")</f>
        <v>0</v>
      </c>
      <c r="AZ65" s="8" t="str">
        <f>IFERROR(INDEX([1]SuSa_2025!AV:AV,MATCH($B65,[1]SuSa_2025!$B:$B,0)),"0")</f>
        <v>0</v>
      </c>
      <c r="BA65" s="8" t="str">
        <f>IFERROR(INDEX([1]SuSa_2025!AW:AW,MATCH($B65,[1]SuSa_2025!$B:$B,0)),"0")</f>
        <v>0</v>
      </c>
      <c r="BB65" s="8" t="str">
        <f>IFERROR(INDEX([1]SuSa_2025!AX:AX,MATCH($B65,[1]SuSa_2025!$B:$B,0)),"0")</f>
        <v>0</v>
      </c>
    </row>
    <row r="66" spans="1:55" s="12" customFormat="1" outlineLevel="1" collapsed="1" x14ac:dyDescent="0.25">
      <c r="A66" s="10" t="s">
        <v>239</v>
      </c>
      <c r="B66" s="11" t="s">
        <v>244</v>
      </c>
      <c r="C66" s="12" t="s">
        <v>245</v>
      </c>
      <c r="E66" s="12" t="s">
        <v>246</v>
      </c>
      <c r="F66" s="13">
        <f t="shared" si="0"/>
        <v>-1740.05</v>
      </c>
      <c r="G66" s="13">
        <f t="shared" si="1"/>
        <v>-4605.3100000000004</v>
      </c>
      <c r="H66" s="13">
        <f t="shared" si="2"/>
        <v>11417.680000000002</v>
      </c>
      <c r="I66" s="13">
        <f t="shared" si="3"/>
        <v>29674.579999999998</v>
      </c>
      <c r="J66" s="14"/>
      <c r="K66" s="14">
        <f t="shared" si="4"/>
        <v>23351.760000000002</v>
      </c>
      <c r="L66" s="14">
        <v>-3000</v>
      </c>
      <c r="M66" s="14">
        <v>-13716</v>
      </c>
      <c r="N66" s="14">
        <v>-14513.68</v>
      </c>
      <c r="O66" s="14">
        <v>-49403.37</v>
      </c>
      <c r="P66" s="14">
        <v>-5282.23</v>
      </c>
      <c r="Q66" s="14">
        <v>-8227.56</v>
      </c>
      <c r="R66" s="14">
        <v>-3750</v>
      </c>
      <c r="S66" s="14">
        <v>-271.88</v>
      </c>
      <c r="T66" s="14">
        <v>-2241.23</v>
      </c>
      <c r="U66" s="14">
        <v>-2868.5</v>
      </c>
      <c r="V66" s="14">
        <v>63.95</v>
      </c>
      <c r="W66" s="14">
        <v>-1740.05</v>
      </c>
      <c r="X66" s="14">
        <v>-5062.49</v>
      </c>
      <c r="Y66" s="14">
        <v>-24516.82</v>
      </c>
      <c r="Z66" s="14">
        <v>-3683.08</v>
      </c>
      <c r="AA66" s="14">
        <v>2877.48</v>
      </c>
      <c r="AB66" s="14">
        <v>-4572.6400000000003</v>
      </c>
      <c r="AC66" s="14">
        <v>-6125.54</v>
      </c>
      <c r="AD66" s="14">
        <v>-4225.96</v>
      </c>
      <c r="AE66" s="14">
        <v>-8176.39</v>
      </c>
      <c r="AF66" s="14">
        <v>-8351.43</v>
      </c>
      <c r="AG66" s="14">
        <v>-9692.15</v>
      </c>
      <c r="AH66" s="14">
        <v>-7116.29</v>
      </c>
      <c r="AI66" s="14">
        <v>-4605.3100000000004</v>
      </c>
      <c r="AJ66" s="8">
        <f>IFERROR(INDEX([1]SuSa_2024!BN:BN,MATCH($B66,[1]SuSa_2024!$B:$B,0)),"0")</f>
        <v>17047.509999999998</v>
      </c>
      <c r="AK66" s="8">
        <f>IFERROR(INDEX([1]SuSa_2024!BO:BO,MATCH($B66,[1]SuSa_2024!$B:$B,0)),"0")</f>
        <v>-2372.9500000000007</v>
      </c>
      <c r="AL66" s="8">
        <f>IFERROR(INDEX([1]SuSa_2024!BP:BP,MATCH($B66,[1]SuSa_2024!$B:$B,0)),"0")</f>
        <v>18310.13</v>
      </c>
      <c r="AM66" s="8">
        <f>IFERROR(INDEX([1]SuSa_2024!BQ:BQ,MATCH($B66,[1]SuSa_2024!$B:$B,0)),"0")</f>
        <v>6381.880000000001</v>
      </c>
      <c r="AN66" s="8">
        <f>IFERROR(INDEX([1]SuSa_2024!BR:BR,MATCH($B66,[1]SuSa_2024!$B:$B,0)),"0")</f>
        <v>-802.23999999999887</v>
      </c>
      <c r="AO66" s="8">
        <f>IFERROR(INDEX([1]SuSa_2024!BS:BS,MATCH($B66,[1]SuSa_2024!$B:$B,0)),"0")</f>
        <v>23351.760000000002</v>
      </c>
      <c r="AP66" s="8">
        <f>IFERROR(INDEX([1]SuSa_2024!BT:BT,MATCH($B66,[1]SuSa_2024!$B:$B,0)),"0")</f>
        <v>23351.760000000002</v>
      </c>
      <c r="AQ66" s="8">
        <f>IFERROR(INDEX([1]SuSa_2024!BU:BU,MATCH($B66,[1]SuSa_2024!$B:$B,0)),"0")</f>
        <v>23351.760000000002</v>
      </c>
      <c r="AR66" s="8">
        <f>IFERROR(INDEX([1]SuSa_2024!BV:BV,MATCH($B66,[1]SuSa_2024!$B:$B,0)),"0")</f>
        <v>23351.760000000002</v>
      </c>
      <c r="AS66" s="8">
        <f>IFERROR(INDEX([1]SuSa_2024!BW:BW,MATCH($B66,[1]SuSa_2024!$B:$B,0)),"0")</f>
        <v>23351.760000000002</v>
      </c>
      <c r="AT66" s="8">
        <f>IFERROR(INDEX([1]SuSa_2024!BX:BX,MATCH($B66,[1]SuSa_2024!$B:$B,0)),"0")</f>
        <v>23351.760000000002</v>
      </c>
      <c r="AU66" s="8">
        <f>IFERROR(INDEX([1]SuSa_2024!BY:BY,MATCH($B66,[1]SuSa_2024!$B:$B,0)),"0")</f>
        <v>11417.680000000002</v>
      </c>
      <c r="AV66" s="8">
        <f>IFERROR(INDEX([1]SuSa_2025!AR:AR,MATCH($B66,[1]SuSa_2025!$B:$B,0)),"0")</f>
        <v>15782.82</v>
      </c>
      <c r="AW66" s="8">
        <f>IFERROR(INDEX([1]SuSa_2025!AS:AS,MATCH($B66,[1]SuSa_2025!$B:$B,0)),"0")</f>
        <v>11175.29</v>
      </c>
      <c r="AX66" s="8">
        <f>IFERROR(INDEX([1]SuSa_2025!AT:AT,MATCH($B66,[1]SuSa_2025!$B:$B,0)),"0")</f>
        <v>30254.2</v>
      </c>
      <c r="AY66" s="8">
        <f>IFERROR(INDEX([1]SuSa_2025!AU:AU,MATCH($B66,[1]SuSa_2025!$B:$B,0)),"0")</f>
        <v>41302.080000000002</v>
      </c>
      <c r="AZ66" s="8">
        <f>IFERROR(INDEX([1]SuSa_2025!AV:AV,MATCH($B66,[1]SuSa_2025!$B:$B,0)),"0")</f>
        <v>38329.21</v>
      </c>
      <c r="BA66" s="8">
        <f>IFERROR(INDEX([1]SuSa_2025!AW:AW,MATCH($B66,[1]SuSa_2025!$B:$B,0)),"0")</f>
        <v>36065.35</v>
      </c>
      <c r="BB66" s="8">
        <f>IFERROR(INDEX([1]SuSa_2025!AX:AX,MATCH($B66,[1]SuSa_2025!$B:$B,0)),"0")</f>
        <v>29674.579999999998</v>
      </c>
      <c r="BC66" s="14"/>
    </row>
    <row r="67" spans="1:55" outlineLevel="1" collapsed="1" x14ac:dyDescent="0.25">
      <c r="A67" s="5" t="s">
        <v>239</v>
      </c>
      <c r="B67" s="6" t="s">
        <v>247</v>
      </c>
      <c r="C67" t="s">
        <v>248</v>
      </c>
      <c r="E67" t="s">
        <v>249</v>
      </c>
      <c r="F67" s="7">
        <f t="shared" ref="F67:F132" si="5">W67</f>
        <v>0</v>
      </c>
      <c r="G67" s="7">
        <f t="shared" ref="G67:G132" si="6">AI67</f>
        <v>0</v>
      </c>
      <c r="H67" s="7" t="str">
        <f t="shared" ref="H67:H132" si="7">AU67</f>
        <v>0</v>
      </c>
      <c r="I67" s="7" t="str">
        <f t="shared" ref="I67:I131" si="8">BB67</f>
        <v>0</v>
      </c>
      <c r="K67" s="8" t="str">
        <f t="shared" ref="K67:K131" si="9">AP67</f>
        <v>0</v>
      </c>
      <c r="L67" s="8">
        <v>-7001.22</v>
      </c>
      <c r="M67" s="8">
        <v>-7500.18</v>
      </c>
      <c r="N67" s="8">
        <v>-7500.18</v>
      </c>
      <c r="O67" s="8">
        <v>-7500.18</v>
      </c>
      <c r="P67" s="8">
        <v>-144</v>
      </c>
      <c r="Q67" s="8">
        <v>-144</v>
      </c>
      <c r="R67" s="8">
        <v>-144</v>
      </c>
      <c r="S67" s="8">
        <v>-144</v>
      </c>
      <c r="T67" s="8">
        <v>-144</v>
      </c>
      <c r="U67" s="8">
        <v>-144</v>
      </c>
      <c r="V67" s="8">
        <v>-144</v>
      </c>
      <c r="W67" s="8">
        <v>0</v>
      </c>
      <c r="AJ67" s="8" t="str">
        <f>IFERROR(INDEX([1]SuSa_2024!BN:BN,MATCH($B67,[1]SuSa_2024!$B:$B,0)),"0")</f>
        <v>0</v>
      </c>
      <c r="AK67" s="8" t="str">
        <f>IFERROR(INDEX([1]SuSa_2024!BO:BO,MATCH($B67,[1]SuSa_2024!$B:$B,0)),"0")</f>
        <v>0</v>
      </c>
      <c r="AL67" s="8" t="str">
        <f>IFERROR(INDEX([1]SuSa_2024!BP:BP,MATCH($B67,[1]SuSa_2024!$B:$B,0)),"0")</f>
        <v>0</v>
      </c>
      <c r="AM67" s="8" t="str">
        <f>IFERROR(INDEX([1]SuSa_2024!BQ:BQ,MATCH($B67,[1]SuSa_2024!$B:$B,0)),"0")</f>
        <v>0</v>
      </c>
      <c r="AN67" s="8" t="str">
        <f>IFERROR(INDEX([1]SuSa_2024!BR:BR,MATCH($B67,[1]SuSa_2024!$B:$B,0)),"0")</f>
        <v>0</v>
      </c>
      <c r="AO67" s="8" t="str">
        <f>IFERROR(INDEX([1]SuSa_2024!BS:BS,MATCH($B67,[1]SuSa_2024!$B:$B,0)),"0")</f>
        <v>0</v>
      </c>
      <c r="AP67" s="8" t="str">
        <f>IFERROR(INDEX([1]SuSa_2024!BT:BT,MATCH($B67,[1]SuSa_2024!$B:$B,0)),"0")</f>
        <v>0</v>
      </c>
      <c r="AQ67" s="8" t="str">
        <f>IFERROR(INDEX([1]SuSa_2024!BU:BU,MATCH($B67,[1]SuSa_2024!$B:$B,0)),"0")</f>
        <v>0</v>
      </c>
      <c r="AR67" s="8" t="str">
        <f>IFERROR(INDEX([1]SuSa_2024!BV:BV,MATCH($B67,[1]SuSa_2024!$B:$B,0)),"0")</f>
        <v>0</v>
      </c>
      <c r="AS67" s="8" t="str">
        <f>IFERROR(INDEX([1]SuSa_2024!BW:BW,MATCH($B67,[1]SuSa_2024!$B:$B,0)),"0")</f>
        <v>0</v>
      </c>
      <c r="AT67" s="8" t="str">
        <f>IFERROR(INDEX([1]SuSa_2024!BX:BX,MATCH($B67,[1]SuSa_2024!$B:$B,0)),"0")</f>
        <v>0</v>
      </c>
      <c r="AU67" s="8" t="str">
        <f>IFERROR(INDEX([1]SuSa_2024!BY:BY,MATCH($B67,[1]SuSa_2024!$B:$B,0)),"0")</f>
        <v>0</v>
      </c>
      <c r="AV67" s="8" t="str">
        <f>IFERROR(INDEX([1]SuSa_2025!AR:AR,MATCH($B67,[1]SuSa_2025!$B:$B,0)),"0")</f>
        <v>0</v>
      </c>
      <c r="AW67" s="8" t="str">
        <f>IFERROR(INDEX([1]SuSa_2025!AS:AS,MATCH($B67,[1]SuSa_2025!$B:$B,0)),"0")</f>
        <v>0</v>
      </c>
      <c r="AX67" s="8" t="str">
        <f>IFERROR(INDEX([1]SuSa_2025!AT:AT,MATCH($B67,[1]SuSa_2025!$B:$B,0)),"0")</f>
        <v>0</v>
      </c>
      <c r="AY67" s="8" t="str">
        <f>IFERROR(INDEX([1]SuSa_2025!AU:AU,MATCH($B67,[1]SuSa_2025!$B:$B,0)),"0")</f>
        <v>0</v>
      </c>
      <c r="AZ67" s="8" t="str">
        <f>IFERROR(INDEX([1]SuSa_2025!AV:AV,MATCH($B67,[1]SuSa_2025!$B:$B,0)),"0")</f>
        <v>0</v>
      </c>
      <c r="BA67" s="8" t="str">
        <f>IFERROR(INDEX([1]SuSa_2025!AW:AW,MATCH($B67,[1]SuSa_2025!$B:$B,0)),"0")</f>
        <v>0</v>
      </c>
      <c r="BB67" s="8" t="str">
        <f>IFERROR(INDEX([1]SuSa_2025!AX:AX,MATCH($B67,[1]SuSa_2025!$B:$B,0)),"0")</f>
        <v>0</v>
      </c>
    </row>
    <row r="68" spans="1:55" outlineLevel="1" collapsed="1" x14ac:dyDescent="0.25">
      <c r="A68" s="5" t="s">
        <v>239</v>
      </c>
      <c r="B68" s="6" t="s">
        <v>250</v>
      </c>
      <c r="C68" t="s">
        <v>251</v>
      </c>
      <c r="E68" t="s">
        <v>252</v>
      </c>
      <c r="F68" s="7">
        <f t="shared" si="5"/>
        <v>0</v>
      </c>
      <c r="G68" s="7">
        <f t="shared" si="6"/>
        <v>2601.33</v>
      </c>
      <c r="H68" s="7">
        <f t="shared" si="7"/>
        <v>298.98000000000013</v>
      </c>
      <c r="I68" s="7">
        <f t="shared" si="8"/>
        <v>298.98</v>
      </c>
      <c r="K68" s="8">
        <f t="shared" si="9"/>
        <v>298.98000000000013</v>
      </c>
      <c r="L68" s="8">
        <v>-242.2</v>
      </c>
      <c r="M68" s="8">
        <v>-242.2</v>
      </c>
      <c r="N68" s="8">
        <v>-242.2</v>
      </c>
      <c r="O68" s="8">
        <v>-242.2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AF68" s="8">
        <v>0</v>
      </c>
      <c r="AG68" s="8">
        <v>-108.49</v>
      </c>
      <c r="AH68" s="8">
        <v>-108.49</v>
      </c>
      <c r="AI68" s="8">
        <v>2601.33</v>
      </c>
      <c r="AJ68" s="8">
        <f>IFERROR(INDEX([1]SuSa_2024!BN:BN,MATCH($B68,[1]SuSa_2024!$B:$B,0)),"0")</f>
        <v>523.84000000000015</v>
      </c>
      <c r="AK68" s="8">
        <f>IFERROR(INDEX([1]SuSa_2024!BO:BO,MATCH($B68,[1]SuSa_2024!$B:$B,0)),"0")</f>
        <v>204.61000000000013</v>
      </c>
      <c r="AL68" s="8">
        <f>IFERROR(INDEX([1]SuSa_2024!BP:BP,MATCH($B68,[1]SuSa_2024!$B:$B,0)),"0")</f>
        <v>463.31000000000012</v>
      </c>
      <c r="AM68" s="8">
        <f>IFERROR(INDEX([1]SuSa_2024!BQ:BQ,MATCH($B68,[1]SuSa_2024!$B:$B,0)),"0")</f>
        <v>204.63000000000011</v>
      </c>
      <c r="AN68" s="8">
        <f>IFERROR(INDEX([1]SuSa_2024!BR:BR,MATCH($B68,[1]SuSa_2024!$B:$B,0)),"0")</f>
        <v>298.98000000000013</v>
      </c>
      <c r="AO68" s="8">
        <f>IFERROR(INDEX([1]SuSa_2024!BS:BS,MATCH($B68,[1]SuSa_2024!$B:$B,0)),"0")</f>
        <v>298.98000000000013</v>
      </c>
      <c r="AP68" s="8">
        <f>IFERROR(INDEX([1]SuSa_2024!BT:BT,MATCH($B68,[1]SuSa_2024!$B:$B,0)),"0")</f>
        <v>298.98000000000013</v>
      </c>
      <c r="AQ68" s="8">
        <f>IFERROR(INDEX([1]SuSa_2024!BU:BU,MATCH($B68,[1]SuSa_2024!$B:$B,0)),"0")</f>
        <v>298.98000000000013</v>
      </c>
      <c r="AR68" s="8">
        <f>IFERROR(INDEX([1]SuSa_2024!BV:BV,MATCH($B68,[1]SuSa_2024!$B:$B,0)),"0")</f>
        <v>298.98000000000013</v>
      </c>
      <c r="AS68" s="8">
        <f>IFERROR(INDEX([1]SuSa_2024!BW:BW,MATCH($B68,[1]SuSa_2024!$B:$B,0)),"0")</f>
        <v>298.98000000000013</v>
      </c>
      <c r="AT68" s="8">
        <f>IFERROR(INDEX([1]SuSa_2024!BX:BX,MATCH($B68,[1]SuSa_2024!$B:$B,0)),"0")</f>
        <v>340.05000000000013</v>
      </c>
      <c r="AU68" s="8">
        <f>IFERROR(INDEX([1]SuSa_2024!BY:BY,MATCH($B68,[1]SuSa_2024!$B:$B,0)),"0")</f>
        <v>298.98000000000013</v>
      </c>
      <c r="AV68" s="8">
        <f>IFERROR(INDEX([1]SuSa_2025!AR:AR,MATCH($B68,[1]SuSa_2025!$B:$B,0)),"0")</f>
        <v>298.98</v>
      </c>
      <c r="AW68" s="8">
        <f>IFERROR(INDEX([1]SuSa_2025!AS:AS,MATCH($B68,[1]SuSa_2025!$B:$B,0)),"0")</f>
        <v>298.98</v>
      </c>
      <c r="AX68" s="8">
        <f>IFERROR(INDEX([1]SuSa_2025!AT:AT,MATCH($B68,[1]SuSa_2025!$B:$B,0)),"0")</f>
        <v>298.98</v>
      </c>
      <c r="AY68" s="8">
        <f>IFERROR(INDEX([1]SuSa_2025!AU:AU,MATCH($B68,[1]SuSa_2025!$B:$B,0)),"0")</f>
        <v>298.98</v>
      </c>
      <c r="AZ68" s="8">
        <f>IFERROR(INDEX([1]SuSa_2025!AV:AV,MATCH($B68,[1]SuSa_2025!$B:$B,0)),"0")</f>
        <v>298.98</v>
      </c>
      <c r="BA68" s="8">
        <f>IFERROR(INDEX([1]SuSa_2025!AW:AW,MATCH($B68,[1]SuSa_2025!$B:$B,0)),"0")</f>
        <v>298.98</v>
      </c>
      <c r="BB68" s="8">
        <f>IFERROR(INDEX([1]SuSa_2025!AX:AX,MATCH($B68,[1]SuSa_2025!$B:$B,0)),"0")</f>
        <v>298.98</v>
      </c>
    </row>
    <row r="69" spans="1:55" outlineLevel="1" collapsed="1" x14ac:dyDescent="0.25">
      <c r="A69" s="5" t="s">
        <v>239</v>
      </c>
      <c r="B69" s="6" t="s">
        <v>253</v>
      </c>
      <c r="C69" t="s">
        <v>254</v>
      </c>
      <c r="E69" t="s">
        <v>149</v>
      </c>
      <c r="F69" s="7">
        <f t="shared" si="5"/>
        <v>38437.910000000003</v>
      </c>
      <c r="G69" s="7">
        <f t="shared" si="6"/>
        <v>15760.74</v>
      </c>
      <c r="H69" s="7">
        <f t="shared" si="7"/>
        <v>2760.929999999993</v>
      </c>
      <c r="I69" s="7">
        <f t="shared" si="8"/>
        <v>2667.21</v>
      </c>
      <c r="K69" s="8">
        <f t="shared" si="9"/>
        <v>124350.06</v>
      </c>
      <c r="L69" s="8">
        <v>13279.67</v>
      </c>
      <c r="M69" s="8">
        <v>17646.02</v>
      </c>
      <c r="N69" s="8">
        <v>16803.88</v>
      </c>
      <c r="O69" s="8">
        <v>8704.41</v>
      </c>
      <c r="P69" s="8">
        <v>14448.46</v>
      </c>
      <c r="Q69" s="8">
        <v>39646.199999999997</v>
      </c>
      <c r="R69" s="8">
        <v>31384.09</v>
      </c>
      <c r="S69" s="8">
        <v>19165.830000000002</v>
      </c>
      <c r="T69" s="8">
        <v>38689.11</v>
      </c>
      <c r="U69" s="8">
        <v>29863.46</v>
      </c>
      <c r="V69" s="8">
        <v>18682.96</v>
      </c>
      <c r="W69" s="8">
        <v>38437.910000000003</v>
      </c>
      <c r="X69" s="8">
        <v>20443.7</v>
      </c>
      <c r="Y69" s="8">
        <v>33658.03</v>
      </c>
      <c r="Z69" s="8">
        <v>39525.06</v>
      </c>
      <c r="AA69" s="8">
        <v>26256.57</v>
      </c>
      <c r="AB69" s="8">
        <v>31563.35</v>
      </c>
      <c r="AC69" s="8">
        <v>16360.65</v>
      </c>
      <c r="AD69" s="8">
        <v>59083.39</v>
      </c>
      <c r="AE69" s="8">
        <v>12021.95</v>
      </c>
      <c r="AF69" s="8">
        <v>19109.490000000002</v>
      </c>
      <c r="AG69" s="8">
        <v>23771.78</v>
      </c>
      <c r="AH69" s="8">
        <v>29431.43</v>
      </c>
      <c r="AI69" s="8">
        <v>15760.74</v>
      </c>
      <c r="AJ69" s="8">
        <f>IFERROR(INDEX([1]SuSa_2024!BN:BN,MATCH($B69,[1]SuSa_2024!$B:$B,0)),"0")</f>
        <v>20077.47</v>
      </c>
      <c r="AK69" s="8">
        <f>IFERROR(INDEX([1]SuSa_2024!BO:BO,MATCH($B69,[1]SuSa_2024!$B:$B,0)),"0")</f>
        <v>19387.23</v>
      </c>
      <c r="AL69" s="8">
        <f>IFERROR(INDEX([1]SuSa_2024!BP:BP,MATCH($B69,[1]SuSa_2024!$B:$B,0)),"0")</f>
        <v>13337.66</v>
      </c>
      <c r="AM69" s="8">
        <f>IFERROR(INDEX([1]SuSa_2024!BQ:BQ,MATCH($B69,[1]SuSa_2024!$B:$B,0)),"0")</f>
        <v>32597.95</v>
      </c>
      <c r="AN69" s="8">
        <f>IFERROR(INDEX([1]SuSa_2024!BR:BR,MATCH($B69,[1]SuSa_2024!$B:$B,0)),"0")</f>
        <v>124350.06</v>
      </c>
      <c r="AO69" s="8">
        <f>IFERROR(INDEX([1]SuSa_2024!BS:BS,MATCH($B69,[1]SuSa_2024!$B:$B,0)),"0")</f>
        <v>124350.06</v>
      </c>
      <c r="AP69" s="8">
        <f>IFERROR(INDEX([1]SuSa_2024!BT:BT,MATCH($B69,[1]SuSa_2024!$B:$B,0)),"0")</f>
        <v>124350.06</v>
      </c>
      <c r="AQ69" s="8">
        <f>IFERROR(INDEX([1]SuSa_2024!BU:BU,MATCH($B69,[1]SuSa_2024!$B:$B,0)),"0")</f>
        <v>124350.06</v>
      </c>
      <c r="AR69" s="8">
        <f>IFERROR(INDEX([1]SuSa_2024!BV:BV,MATCH($B69,[1]SuSa_2024!$B:$B,0)),"0")</f>
        <v>124350.06</v>
      </c>
      <c r="AS69" s="8">
        <f>IFERROR(INDEX([1]SuSa_2024!BW:BW,MATCH($B69,[1]SuSa_2024!$B:$B,0)),"0")</f>
        <v>89705.209999999992</v>
      </c>
      <c r="AT69" s="8">
        <f>IFERROR(INDEX([1]SuSa_2024!BX:BX,MATCH($B69,[1]SuSa_2024!$B:$B,0)),"0")</f>
        <v>89705.209999999992</v>
      </c>
      <c r="AU69" s="8">
        <f>IFERROR(INDEX([1]SuSa_2024!BY:BY,MATCH($B69,[1]SuSa_2024!$B:$B,0)),"0")</f>
        <v>2760.929999999993</v>
      </c>
      <c r="AV69" s="8">
        <f>IFERROR(INDEX([1]SuSa_2025!AR:AR,MATCH($B69,[1]SuSa_2025!$B:$B,0)),"0")</f>
        <v>2760.93</v>
      </c>
      <c r="AW69" s="8">
        <f>IFERROR(INDEX([1]SuSa_2025!AS:AS,MATCH($B69,[1]SuSa_2025!$B:$B,0)),"0")</f>
        <v>2760.93</v>
      </c>
      <c r="AX69" s="8">
        <f>IFERROR(INDEX([1]SuSa_2025!AT:AT,MATCH($B69,[1]SuSa_2025!$B:$B,0)),"0")</f>
        <v>2667.21</v>
      </c>
      <c r="AY69" s="8">
        <f>IFERROR(INDEX([1]SuSa_2025!AU:AU,MATCH($B69,[1]SuSa_2025!$B:$B,0)),"0")</f>
        <v>2667.21</v>
      </c>
      <c r="AZ69" s="8">
        <f>IFERROR(INDEX([1]SuSa_2025!AV:AV,MATCH($B69,[1]SuSa_2025!$B:$B,0)),"0")</f>
        <v>2667.21</v>
      </c>
      <c r="BA69" s="8">
        <f>IFERROR(INDEX([1]SuSa_2025!AW:AW,MATCH($B69,[1]SuSa_2025!$B:$B,0)),"0")</f>
        <v>2667.21</v>
      </c>
      <c r="BB69" s="8">
        <f>IFERROR(INDEX([1]SuSa_2025!AX:AX,MATCH($B69,[1]SuSa_2025!$B:$B,0)),"0")</f>
        <v>2667.21</v>
      </c>
    </row>
    <row r="70" spans="1:55" outlineLevel="1" collapsed="1" x14ac:dyDescent="0.25">
      <c r="A70" s="5" t="s">
        <v>239</v>
      </c>
      <c r="B70" s="6" t="s">
        <v>255</v>
      </c>
      <c r="C70" t="s">
        <v>256</v>
      </c>
      <c r="F70" s="7">
        <f t="shared" si="5"/>
        <v>0</v>
      </c>
      <c r="G70" s="7">
        <f t="shared" si="6"/>
        <v>0</v>
      </c>
      <c r="H70" s="7" t="str">
        <f t="shared" si="7"/>
        <v>0</v>
      </c>
      <c r="I70" s="7" t="str">
        <f t="shared" si="8"/>
        <v>0</v>
      </c>
      <c r="K70" s="8" t="str">
        <f t="shared" si="9"/>
        <v>0</v>
      </c>
      <c r="M70" s="8">
        <v>-58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AJ70" s="8" t="str">
        <f>IFERROR(INDEX([1]SuSa_2024!BN:BN,MATCH($B70,[1]SuSa_2024!$B:$B,0)),"0")</f>
        <v>0</v>
      </c>
      <c r="AK70" s="8" t="str">
        <f>IFERROR(INDEX([1]SuSa_2024!BO:BO,MATCH($B70,[1]SuSa_2024!$B:$B,0)),"0")</f>
        <v>0</v>
      </c>
      <c r="AL70" s="8" t="str">
        <f>IFERROR(INDEX([1]SuSa_2024!BP:BP,MATCH($B70,[1]SuSa_2024!$B:$B,0)),"0")</f>
        <v>0</v>
      </c>
      <c r="AM70" s="8" t="str">
        <f>IFERROR(INDEX([1]SuSa_2024!BQ:BQ,MATCH($B70,[1]SuSa_2024!$B:$B,0)),"0")</f>
        <v>0</v>
      </c>
      <c r="AN70" s="8" t="str">
        <f>IFERROR(INDEX([1]SuSa_2024!BR:BR,MATCH($B70,[1]SuSa_2024!$B:$B,0)),"0")</f>
        <v>0</v>
      </c>
      <c r="AO70" s="8" t="str">
        <f>IFERROR(INDEX([1]SuSa_2024!BS:BS,MATCH($B70,[1]SuSa_2024!$B:$B,0)),"0")</f>
        <v>0</v>
      </c>
      <c r="AP70" s="8" t="str">
        <f>IFERROR(INDEX([1]SuSa_2024!BT:BT,MATCH($B70,[1]SuSa_2024!$B:$B,0)),"0")</f>
        <v>0</v>
      </c>
      <c r="AQ70" s="8" t="str">
        <f>IFERROR(INDEX([1]SuSa_2024!BU:BU,MATCH($B70,[1]SuSa_2024!$B:$B,0)),"0")</f>
        <v>0</v>
      </c>
      <c r="AR70" s="8" t="str">
        <f>IFERROR(INDEX([1]SuSa_2024!BV:BV,MATCH($B70,[1]SuSa_2024!$B:$B,0)),"0")</f>
        <v>0</v>
      </c>
      <c r="AS70" s="8" t="str">
        <f>IFERROR(INDEX([1]SuSa_2024!BW:BW,MATCH($B70,[1]SuSa_2024!$B:$B,0)),"0")</f>
        <v>0</v>
      </c>
      <c r="AT70" s="8" t="str">
        <f>IFERROR(INDEX([1]SuSa_2024!BX:BX,MATCH($B70,[1]SuSa_2024!$B:$B,0)),"0")</f>
        <v>0</v>
      </c>
      <c r="AU70" s="8" t="str">
        <f>IFERROR(INDEX([1]SuSa_2024!BY:BY,MATCH($B70,[1]SuSa_2024!$B:$B,0)),"0")</f>
        <v>0</v>
      </c>
      <c r="AV70" s="8" t="str">
        <f>IFERROR(INDEX([1]SuSa_2025!AR:AR,MATCH($B70,[1]SuSa_2025!$B:$B,0)),"0")</f>
        <v>0</v>
      </c>
      <c r="AW70" s="8" t="str">
        <f>IFERROR(INDEX([1]SuSa_2025!AS:AS,MATCH($B70,[1]SuSa_2025!$B:$B,0)),"0")</f>
        <v>0</v>
      </c>
      <c r="AX70" s="8" t="str">
        <f>IFERROR(INDEX([1]SuSa_2025!AT:AT,MATCH($B70,[1]SuSa_2025!$B:$B,0)),"0")</f>
        <v>0</v>
      </c>
      <c r="AY70" s="8" t="str">
        <f>IFERROR(INDEX([1]SuSa_2025!AU:AU,MATCH($B70,[1]SuSa_2025!$B:$B,0)),"0")</f>
        <v>0</v>
      </c>
      <c r="AZ70" s="8" t="str">
        <f>IFERROR(INDEX([1]SuSa_2025!AV:AV,MATCH($B70,[1]SuSa_2025!$B:$B,0)),"0")</f>
        <v>0</v>
      </c>
      <c r="BA70" s="8" t="str">
        <f>IFERROR(INDEX([1]SuSa_2025!AW:AW,MATCH($B70,[1]SuSa_2025!$B:$B,0)),"0")</f>
        <v>0</v>
      </c>
      <c r="BB70" s="8" t="str">
        <f>IFERROR(INDEX([1]SuSa_2025!AX:AX,MATCH($B70,[1]SuSa_2025!$B:$B,0)),"0")</f>
        <v>0</v>
      </c>
    </row>
    <row r="71" spans="1:55" outlineLevel="1" collapsed="1" x14ac:dyDescent="0.25">
      <c r="A71" s="5" t="s">
        <v>239</v>
      </c>
      <c r="B71" s="6" t="s">
        <v>257</v>
      </c>
      <c r="C71" t="s">
        <v>258</v>
      </c>
      <c r="F71" s="7">
        <f t="shared" si="5"/>
        <v>0</v>
      </c>
      <c r="G71" s="7">
        <f t="shared" si="6"/>
        <v>0</v>
      </c>
      <c r="H71" s="7">
        <f t="shared" si="7"/>
        <v>0</v>
      </c>
      <c r="I71" s="7" t="str">
        <f t="shared" si="8"/>
        <v>0</v>
      </c>
      <c r="K71" s="8">
        <f t="shared" si="9"/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f>IFERROR(INDEX([1]SuSa_2024!BN:BN,MATCH($B71,[1]SuSa_2024!$B:$B,0)),"0")</f>
        <v>0</v>
      </c>
      <c r="AK71" s="8">
        <f>IFERROR(INDEX([1]SuSa_2024!BO:BO,MATCH($B71,[1]SuSa_2024!$B:$B,0)),"0")</f>
        <v>0</v>
      </c>
      <c r="AL71" s="8">
        <f>IFERROR(INDEX([1]SuSa_2024!BP:BP,MATCH($B71,[1]SuSa_2024!$B:$B,0)),"0")</f>
        <v>0</v>
      </c>
      <c r="AM71" s="8">
        <f>IFERROR(INDEX([1]SuSa_2024!BQ:BQ,MATCH($B71,[1]SuSa_2024!$B:$B,0)),"0")</f>
        <v>0</v>
      </c>
      <c r="AN71" s="8">
        <f>IFERROR(INDEX([1]SuSa_2024!BR:BR,MATCH($B71,[1]SuSa_2024!$B:$B,0)),"0")</f>
        <v>0</v>
      </c>
      <c r="AO71" s="8">
        <f>IFERROR(INDEX([1]SuSa_2024!BS:BS,MATCH($B71,[1]SuSa_2024!$B:$B,0)),"0")</f>
        <v>0</v>
      </c>
      <c r="AP71" s="8">
        <f>IFERROR(INDEX([1]SuSa_2024!BT:BT,MATCH($B71,[1]SuSa_2024!$B:$B,0)),"0")</f>
        <v>0</v>
      </c>
      <c r="AQ71" s="8">
        <f>IFERROR(INDEX([1]SuSa_2024!BU:BU,MATCH($B71,[1]SuSa_2024!$B:$B,0)),"0")</f>
        <v>0</v>
      </c>
      <c r="AR71" s="8">
        <f>IFERROR(INDEX([1]SuSa_2024!BV:BV,MATCH($B71,[1]SuSa_2024!$B:$B,0)),"0")</f>
        <v>0</v>
      </c>
      <c r="AS71" s="8">
        <f>IFERROR(INDEX([1]SuSa_2024!BW:BW,MATCH($B71,[1]SuSa_2024!$B:$B,0)),"0")</f>
        <v>0</v>
      </c>
      <c r="AT71" s="8">
        <f>IFERROR(INDEX([1]SuSa_2024!BX:BX,MATCH($B71,[1]SuSa_2024!$B:$B,0)),"0")</f>
        <v>0</v>
      </c>
      <c r="AU71" s="8">
        <f>IFERROR(INDEX([1]SuSa_2024!BY:BY,MATCH($B71,[1]SuSa_2024!$B:$B,0)),"0")</f>
        <v>0</v>
      </c>
      <c r="AV71" s="8" t="str">
        <f>IFERROR(INDEX([1]SuSa_2025!AR:AR,MATCH($B71,[1]SuSa_2025!$B:$B,0)),"0")</f>
        <v>0</v>
      </c>
      <c r="AW71" s="8" t="str">
        <f>IFERROR(INDEX([1]SuSa_2025!AS:AS,MATCH($B71,[1]SuSa_2025!$B:$B,0)),"0")</f>
        <v>0</v>
      </c>
      <c r="AX71" s="8" t="str">
        <f>IFERROR(INDEX([1]SuSa_2025!AT:AT,MATCH($B71,[1]SuSa_2025!$B:$B,0)),"0")</f>
        <v>0</v>
      </c>
      <c r="AY71" s="8" t="str">
        <f>IFERROR(INDEX([1]SuSa_2025!AU:AU,MATCH($B71,[1]SuSa_2025!$B:$B,0)),"0")</f>
        <v>0</v>
      </c>
      <c r="AZ71" s="8" t="str">
        <f>IFERROR(INDEX([1]SuSa_2025!AV:AV,MATCH($B71,[1]SuSa_2025!$B:$B,0)),"0")</f>
        <v>0</v>
      </c>
      <c r="BA71" s="8" t="str">
        <f>IFERROR(INDEX([1]SuSa_2025!AW:AW,MATCH($B71,[1]SuSa_2025!$B:$B,0)),"0")</f>
        <v>0</v>
      </c>
      <c r="BB71" s="8" t="str">
        <f>IFERROR(INDEX([1]SuSa_2025!AX:AX,MATCH($B71,[1]SuSa_2025!$B:$B,0)),"0")</f>
        <v>0</v>
      </c>
    </row>
    <row r="72" spans="1:55" outlineLevel="1" collapsed="1" x14ac:dyDescent="0.25">
      <c r="A72" s="5" t="s">
        <v>259</v>
      </c>
      <c r="B72" s="6" t="s">
        <v>260</v>
      </c>
      <c r="C72" t="s">
        <v>261</v>
      </c>
      <c r="F72" s="7">
        <f t="shared" si="5"/>
        <v>0</v>
      </c>
      <c r="G72" s="7">
        <f t="shared" si="6"/>
        <v>0</v>
      </c>
      <c r="H72" s="7" t="str">
        <f t="shared" si="7"/>
        <v>0</v>
      </c>
      <c r="I72" s="7">
        <f t="shared" si="8"/>
        <v>0</v>
      </c>
      <c r="K72" s="8" t="str">
        <f t="shared" si="9"/>
        <v>0</v>
      </c>
      <c r="AJ72" s="8" t="str">
        <f>IFERROR(INDEX([1]SuSa_2024!BN:BN,MATCH($B72,[1]SuSa_2024!$B:$B,0)),"0")</f>
        <v>0</v>
      </c>
      <c r="AK72" s="8" t="str">
        <f>IFERROR(INDEX([1]SuSa_2024!BO:BO,MATCH($B72,[1]SuSa_2024!$B:$B,0)),"0")</f>
        <v>0</v>
      </c>
      <c r="AL72" s="8" t="str">
        <f>IFERROR(INDEX([1]SuSa_2024!BP:BP,MATCH($B72,[1]SuSa_2024!$B:$B,0)),"0")</f>
        <v>0</v>
      </c>
      <c r="AM72" s="8" t="str">
        <f>IFERROR(INDEX([1]SuSa_2024!BQ:BQ,MATCH($B72,[1]SuSa_2024!$B:$B,0)),"0")</f>
        <v>0</v>
      </c>
      <c r="AN72" s="8" t="str">
        <f>IFERROR(INDEX([1]SuSa_2024!BR:BR,MATCH($B72,[1]SuSa_2024!$B:$B,0)),"0")</f>
        <v>0</v>
      </c>
      <c r="AO72" s="8" t="str">
        <f>IFERROR(INDEX([1]SuSa_2024!BS:BS,MATCH($B72,[1]SuSa_2024!$B:$B,0)),"0")</f>
        <v>0</v>
      </c>
      <c r="AP72" s="8" t="str">
        <f>IFERROR(INDEX([1]SuSa_2024!BT:BT,MATCH($B72,[1]SuSa_2024!$B:$B,0)),"0")</f>
        <v>0</v>
      </c>
      <c r="AQ72" s="8" t="str">
        <f>IFERROR(INDEX([1]SuSa_2024!BU:BU,MATCH($B72,[1]SuSa_2024!$B:$B,0)),"0")</f>
        <v>0</v>
      </c>
      <c r="AR72" s="8" t="str">
        <f>IFERROR(INDEX([1]SuSa_2024!BV:BV,MATCH($B72,[1]SuSa_2024!$B:$B,0)),"0")</f>
        <v>0</v>
      </c>
      <c r="AS72" s="8" t="str">
        <f>IFERROR(INDEX([1]SuSa_2024!BW:BW,MATCH($B72,[1]SuSa_2024!$B:$B,0)),"0")</f>
        <v>0</v>
      </c>
      <c r="AT72" s="8" t="str">
        <f>IFERROR(INDEX([1]SuSa_2024!BX:BX,MATCH($B72,[1]SuSa_2024!$B:$B,0)),"0")</f>
        <v>0</v>
      </c>
      <c r="AU72" s="8" t="str">
        <f>IFERROR(INDEX([1]SuSa_2024!BY:BY,MATCH($B72,[1]SuSa_2024!$B:$B,0)),"0")</f>
        <v>0</v>
      </c>
      <c r="AV72" s="8">
        <f>IFERROR(INDEX([1]SuSa_2025!AR:AR,MATCH($B72,[1]SuSa_2025!$B:$B,0)),"0")</f>
        <v>-20000</v>
      </c>
      <c r="AW72" s="8">
        <f>IFERROR(INDEX([1]SuSa_2025!AS:AS,MATCH($B72,[1]SuSa_2025!$B:$B,0)),"0")</f>
        <v>-20000</v>
      </c>
      <c r="AX72" s="8">
        <f>IFERROR(INDEX([1]SuSa_2025!AT:AT,MATCH($B72,[1]SuSa_2025!$B:$B,0)),"0")</f>
        <v>0</v>
      </c>
      <c r="AY72" s="8">
        <f>IFERROR(INDEX([1]SuSa_2025!AU:AU,MATCH($B72,[1]SuSa_2025!$B:$B,0)),"0")</f>
        <v>0</v>
      </c>
      <c r="AZ72" s="8">
        <f>IFERROR(INDEX([1]SuSa_2025!AV:AV,MATCH($B72,[1]SuSa_2025!$B:$B,0)),"0")</f>
        <v>0</v>
      </c>
      <c r="BA72" s="8">
        <f>IFERROR(INDEX([1]SuSa_2025!AW:AW,MATCH($B72,[1]SuSa_2025!$B:$B,0)),"0")</f>
        <v>0</v>
      </c>
      <c r="BB72" s="8">
        <f>IFERROR(INDEX([1]SuSa_2025!AX:AX,MATCH($B72,[1]SuSa_2025!$B:$B,0)),"0")</f>
        <v>0</v>
      </c>
    </row>
    <row r="73" spans="1:55" outlineLevel="1" collapsed="1" x14ac:dyDescent="0.25">
      <c r="A73" s="5" t="s">
        <v>262</v>
      </c>
      <c r="B73" s="6" t="s">
        <v>263</v>
      </c>
      <c r="C73" t="s">
        <v>264</v>
      </c>
      <c r="F73" s="7">
        <f t="shared" si="5"/>
        <v>0</v>
      </c>
      <c r="G73" s="7">
        <f t="shared" si="6"/>
        <v>0</v>
      </c>
      <c r="H73" s="7">
        <f t="shared" si="7"/>
        <v>9454.58</v>
      </c>
      <c r="I73" s="7">
        <f t="shared" si="8"/>
        <v>16825.559999999998</v>
      </c>
      <c r="K73" s="8">
        <f t="shared" si="9"/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152.51</v>
      </c>
      <c r="V73" s="8">
        <v>-405.09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f>IFERROR(INDEX([1]SuSa_2024!BN:BN,MATCH($B73,[1]SuSa_2024!$B:$B,0)),"0")</f>
        <v>0</v>
      </c>
      <c r="AK73" s="8">
        <f>IFERROR(INDEX([1]SuSa_2024!BO:BO,MATCH($B73,[1]SuSa_2024!$B:$B,0)),"0")</f>
        <v>0</v>
      </c>
      <c r="AL73" s="8">
        <f>IFERROR(INDEX([1]SuSa_2024!BP:BP,MATCH($B73,[1]SuSa_2024!$B:$B,0)),"0")</f>
        <v>0</v>
      </c>
      <c r="AM73" s="8">
        <f>IFERROR(INDEX([1]SuSa_2024!BQ:BQ,MATCH($B73,[1]SuSa_2024!$B:$B,0)),"0")</f>
        <v>0</v>
      </c>
      <c r="AN73" s="8">
        <f>IFERROR(INDEX([1]SuSa_2024!BR:BR,MATCH($B73,[1]SuSa_2024!$B:$B,0)),"0")</f>
        <v>19596.349999999999</v>
      </c>
      <c r="AO73" s="8">
        <f>IFERROR(INDEX([1]SuSa_2024!BS:BS,MATCH($B73,[1]SuSa_2024!$B:$B,0)),"0")</f>
        <v>0</v>
      </c>
      <c r="AP73" s="8">
        <f>IFERROR(INDEX([1]SuSa_2024!BT:BT,MATCH($B73,[1]SuSa_2024!$B:$B,0)),"0")</f>
        <v>0</v>
      </c>
      <c r="AQ73" s="8">
        <f>IFERROR(INDEX([1]SuSa_2024!BU:BU,MATCH($B73,[1]SuSa_2024!$B:$B,0)),"0")</f>
        <v>0</v>
      </c>
      <c r="AR73" s="8">
        <f>IFERROR(INDEX([1]SuSa_2024!BV:BV,MATCH($B73,[1]SuSa_2024!$B:$B,0)),"0")</f>
        <v>0</v>
      </c>
      <c r="AS73" s="8">
        <f>IFERROR(INDEX([1]SuSa_2024!BW:BW,MATCH($B73,[1]SuSa_2024!$B:$B,0)),"0")</f>
        <v>1066.9000000000001</v>
      </c>
      <c r="AT73" s="8">
        <f>IFERROR(INDEX([1]SuSa_2024!BX:BX,MATCH($B73,[1]SuSa_2024!$B:$B,0)),"0")</f>
        <v>6422.73</v>
      </c>
      <c r="AU73" s="8">
        <f>IFERROR(INDEX([1]SuSa_2024!BY:BY,MATCH($B73,[1]SuSa_2024!$B:$B,0)),"0")</f>
        <v>9454.58</v>
      </c>
      <c r="AV73" s="8">
        <f>IFERROR(INDEX([1]SuSa_2025!AR:AR,MATCH($B73,[1]SuSa_2025!$B:$B,0)),"0")</f>
        <v>8222.59</v>
      </c>
      <c r="AW73" s="8">
        <f>IFERROR(INDEX([1]SuSa_2025!AS:AS,MATCH($B73,[1]SuSa_2025!$B:$B,0)),"0")</f>
        <v>10367.15</v>
      </c>
      <c r="AX73" s="8">
        <f>IFERROR(INDEX([1]SuSa_2025!AT:AT,MATCH($B73,[1]SuSa_2025!$B:$B,0)),"0")</f>
        <v>11595.38</v>
      </c>
      <c r="AY73" s="8">
        <f>IFERROR(INDEX([1]SuSa_2025!AU:AU,MATCH($B73,[1]SuSa_2025!$B:$B,0)),"0")</f>
        <v>12255.679999999998</v>
      </c>
      <c r="AZ73" s="8">
        <f>IFERROR(INDEX([1]SuSa_2025!AV:AV,MATCH($B73,[1]SuSa_2025!$B:$B,0)),"0")</f>
        <v>12255.679999999998</v>
      </c>
      <c r="BA73" s="8">
        <f>IFERROR(INDEX([1]SuSa_2025!AW:AW,MATCH($B73,[1]SuSa_2025!$B:$B,0)),"0")</f>
        <v>12805.679999999998</v>
      </c>
      <c r="BB73" s="8">
        <f>IFERROR(INDEX([1]SuSa_2025!AX:AX,MATCH($B73,[1]SuSa_2025!$B:$B,0)),"0")</f>
        <v>16825.559999999998</v>
      </c>
    </row>
    <row r="74" spans="1:55" outlineLevel="1" collapsed="1" x14ac:dyDescent="0.25">
      <c r="A74" s="5" t="s">
        <v>265</v>
      </c>
      <c r="B74" s="6" t="s">
        <v>266</v>
      </c>
      <c r="C74" t="s">
        <v>267</v>
      </c>
      <c r="F74" s="7">
        <f t="shared" si="5"/>
        <v>-46090.2</v>
      </c>
      <c r="G74" s="7">
        <f t="shared" si="6"/>
        <v>-57986.42</v>
      </c>
      <c r="H74" s="7">
        <f t="shared" si="7"/>
        <v>-50705.83</v>
      </c>
      <c r="I74" s="7">
        <f t="shared" si="8"/>
        <v>-29474.079999999998</v>
      </c>
      <c r="K74" s="8">
        <f t="shared" si="9"/>
        <v>-52353.44000000001</v>
      </c>
      <c r="L74" s="8">
        <v>-57350.04</v>
      </c>
      <c r="M74" s="8">
        <v>-43591.7</v>
      </c>
      <c r="N74" s="8">
        <v>-47924.92</v>
      </c>
      <c r="O74" s="8">
        <v>-48786.43</v>
      </c>
      <c r="P74" s="8">
        <v>-47218.77</v>
      </c>
      <c r="Q74" s="8">
        <v>-40438.730000000003</v>
      </c>
      <c r="R74" s="8">
        <v>-64992.77</v>
      </c>
      <c r="S74" s="8">
        <v>-46456</v>
      </c>
      <c r="T74" s="8">
        <v>-57092.21</v>
      </c>
      <c r="U74" s="8">
        <v>-46394.73</v>
      </c>
      <c r="V74" s="8">
        <v>-43306.63</v>
      </c>
      <c r="W74" s="8">
        <v>-46090.2</v>
      </c>
      <c r="X74" s="8">
        <v>-75660.03</v>
      </c>
      <c r="Y74" s="8">
        <v>-40914.06</v>
      </c>
      <c r="Z74" s="8">
        <v>-47676.12</v>
      </c>
      <c r="AA74" s="8">
        <v>-46167.09</v>
      </c>
      <c r="AB74" s="8">
        <v>-46271.74</v>
      </c>
      <c r="AC74" s="8">
        <v>-48307.59</v>
      </c>
      <c r="AD74" s="8">
        <v>-60682.11</v>
      </c>
      <c r="AE74" s="8">
        <v>-53144.57</v>
      </c>
      <c r="AF74" s="8">
        <v>-51627.26</v>
      </c>
      <c r="AG74" s="8">
        <v>-55032.03</v>
      </c>
      <c r="AH74" s="8">
        <v>-56067.040000000001</v>
      </c>
      <c r="AI74" s="8">
        <v>-57986.42</v>
      </c>
      <c r="AJ74" s="8">
        <f>IFERROR(INDEX([1]SuSa_2024!BN:BN,MATCH($B74,[1]SuSa_2024!$B:$B,0)),"0")</f>
        <v>-71449.14</v>
      </c>
      <c r="AK74" s="8">
        <f>IFERROR(INDEX([1]SuSa_2024!BO:BO,MATCH($B74,[1]SuSa_2024!$B:$B,0)),"0")</f>
        <v>-50042.380000000005</v>
      </c>
      <c r="AL74" s="8">
        <f>IFERROR(INDEX([1]SuSa_2024!BP:BP,MATCH($B74,[1]SuSa_2024!$B:$B,0)),"0")</f>
        <v>-51461.94</v>
      </c>
      <c r="AM74" s="8">
        <f>IFERROR(INDEX([1]SuSa_2024!BQ:BQ,MATCH($B74,[1]SuSa_2024!$B:$B,0)),"0")</f>
        <v>-327121.69</v>
      </c>
      <c r="AN74" s="8">
        <f>IFERROR(INDEX([1]SuSa_2024!BR:BR,MATCH($B74,[1]SuSa_2024!$B:$B,0)),"0")</f>
        <v>-58670.700000000012</v>
      </c>
      <c r="AO74" s="8">
        <f>IFERROR(INDEX([1]SuSa_2024!BS:BS,MATCH($B74,[1]SuSa_2024!$B:$B,0)),"0")</f>
        <v>-46376.930000000008</v>
      </c>
      <c r="AP74" s="8">
        <f>IFERROR(INDEX([1]SuSa_2024!BT:BT,MATCH($B74,[1]SuSa_2024!$B:$B,0)),"0")</f>
        <v>-52353.44000000001</v>
      </c>
      <c r="AQ74" s="8">
        <f>IFERROR(INDEX([1]SuSa_2024!BU:BU,MATCH($B74,[1]SuSa_2024!$B:$B,0)),"0")</f>
        <v>-44281.680000000008</v>
      </c>
      <c r="AR74" s="8">
        <f>IFERROR(INDEX([1]SuSa_2024!BV:BV,MATCH($B74,[1]SuSa_2024!$B:$B,0)),"0")</f>
        <v>-56026.16</v>
      </c>
      <c r="AS74" s="8">
        <f>IFERROR(INDEX([1]SuSa_2024!BW:BW,MATCH($B74,[1]SuSa_2024!$B:$B,0)),"0")</f>
        <v>-22962.990000000005</v>
      </c>
      <c r="AT74" s="8">
        <f>IFERROR(INDEX([1]SuSa_2024!BX:BX,MATCH($B74,[1]SuSa_2024!$B:$B,0)),"0")</f>
        <v>-23026.410000000003</v>
      </c>
      <c r="AU74" s="8">
        <f>IFERROR(INDEX([1]SuSa_2024!BY:BY,MATCH($B74,[1]SuSa_2024!$B:$B,0)),"0")</f>
        <v>-50705.83</v>
      </c>
      <c r="AV74" s="8">
        <f>IFERROR(INDEX([1]SuSa_2025!AR:AR,MATCH($B74,[1]SuSa_2025!$B:$B,0)),"0")</f>
        <v>-30707.15</v>
      </c>
      <c r="AW74" s="8">
        <f>IFERROR(INDEX([1]SuSa_2025!AS:AS,MATCH($B74,[1]SuSa_2025!$B:$B,0)),"0")</f>
        <v>-24533.22</v>
      </c>
      <c r="AX74" s="8">
        <f>IFERROR(INDEX([1]SuSa_2025!AT:AT,MATCH($B74,[1]SuSa_2025!$B:$B,0)),"0")</f>
        <v>-22527.16</v>
      </c>
      <c r="AY74" s="8">
        <f>IFERROR(INDEX([1]SuSa_2025!AU:AU,MATCH($B74,[1]SuSa_2025!$B:$B,0)),"0")</f>
        <v>-22319.599999999999</v>
      </c>
      <c r="AZ74" s="8">
        <f>IFERROR(INDEX([1]SuSa_2025!AV:AV,MATCH($B74,[1]SuSa_2025!$B:$B,0)),"0")</f>
        <v>-28857.78</v>
      </c>
      <c r="BA74" s="8">
        <f>IFERROR(INDEX([1]SuSa_2025!AW:AW,MATCH($B74,[1]SuSa_2025!$B:$B,0)),"0")</f>
        <v>-30120.289999999997</v>
      </c>
      <c r="BB74" s="8">
        <f>IFERROR(INDEX([1]SuSa_2025!AX:AX,MATCH($B74,[1]SuSa_2025!$B:$B,0)),"0")</f>
        <v>-29474.079999999998</v>
      </c>
    </row>
    <row r="75" spans="1:55" outlineLevel="1" collapsed="1" x14ac:dyDescent="0.25">
      <c r="A75" s="5" t="s">
        <v>268</v>
      </c>
      <c r="B75" s="6" t="s">
        <v>269</v>
      </c>
      <c r="C75" t="s">
        <v>270</v>
      </c>
      <c r="F75" s="7">
        <f t="shared" si="5"/>
        <v>-767.33</v>
      </c>
      <c r="G75" s="7">
        <f t="shared" si="6"/>
        <v>-3927.69</v>
      </c>
      <c r="H75" s="7">
        <f t="shared" si="7"/>
        <v>1052.5000000000016</v>
      </c>
      <c r="I75" s="7">
        <f t="shared" si="8"/>
        <v>2687.9199999999996</v>
      </c>
      <c r="K75" s="8">
        <f t="shared" si="9"/>
        <v>-1030.0699999999983</v>
      </c>
      <c r="L75" s="8">
        <v>0</v>
      </c>
      <c r="M75" s="8">
        <v>0</v>
      </c>
      <c r="N75" s="8">
        <v>510.58</v>
      </c>
      <c r="O75" s="8">
        <v>0</v>
      </c>
      <c r="P75" s="8">
        <v>0</v>
      </c>
      <c r="Q75" s="8">
        <v>0</v>
      </c>
      <c r="R75" s="8">
        <v>2822.55</v>
      </c>
      <c r="S75" s="8">
        <v>9012.2900000000009</v>
      </c>
      <c r="T75" s="8">
        <v>8259.57</v>
      </c>
      <c r="U75" s="8">
        <v>-439.03</v>
      </c>
      <c r="V75" s="8">
        <v>-1772.73</v>
      </c>
      <c r="W75" s="8">
        <v>-767.33</v>
      </c>
      <c r="X75" s="8">
        <v>-1743.99</v>
      </c>
      <c r="Y75" s="8">
        <v>-991.79</v>
      </c>
      <c r="Z75" s="8">
        <v>-1015.23</v>
      </c>
      <c r="AA75" s="8">
        <v>-3335.1</v>
      </c>
      <c r="AB75" s="8">
        <v>-3874.33</v>
      </c>
      <c r="AC75" s="8">
        <v>-3875.33</v>
      </c>
      <c r="AD75" s="8">
        <v>-6782.4</v>
      </c>
      <c r="AE75" s="8">
        <v>-12853.93</v>
      </c>
      <c r="AF75" s="8">
        <v>-12878.38</v>
      </c>
      <c r="AG75" s="8">
        <v>-3568.42</v>
      </c>
      <c r="AH75" s="8">
        <v>-9858.07</v>
      </c>
      <c r="AI75" s="8">
        <v>-3927.69</v>
      </c>
      <c r="AJ75" s="8">
        <f>IFERROR(INDEX([1]SuSa_2024!BN:BN,MATCH($B75,[1]SuSa_2024!$B:$B,0)),"0")</f>
        <v>-3612.01</v>
      </c>
      <c r="AK75" s="8">
        <f>IFERROR(INDEX([1]SuSa_2024!BO:BO,MATCH($B75,[1]SuSa_2024!$B:$B,0)),"0")</f>
        <v>-2020.1100000000001</v>
      </c>
      <c r="AL75" s="8">
        <f>IFERROR(INDEX([1]SuSa_2024!BP:BP,MATCH($B75,[1]SuSa_2024!$B:$B,0)),"0")</f>
        <v>-6851.08</v>
      </c>
      <c r="AM75" s="8">
        <f>IFERROR(INDEX([1]SuSa_2024!BQ:BQ,MATCH($B75,[1]SuSa_2024!$B:$B,0)),"0")</f>
        <v>-3032.81</v>
      </c>
      <c r="AN75" s="8">
        <f>IFERROR(INDEX([1]SuSa_2024!BR:BR,MATCH($B75,[1]SuSa_2024!$B:$B,0)),"0")</f>
        <v>-9261.6299999999992</v>
      </c>
      <c r="AO75" s="8">
        <f>IFERROR(INDEX([1]SuSa_2024!BS:BS,MATCH($B75,[1]SuSa_2024!$B:$B,0)),"0")</f>
        <v>-113.33999999999833</v>
      </c>
      <c r="AP75" s="8">
        <f>IFERROR(INDEX([1]SuSa_2024!BT:BT,MATCH($B75,[1]SuSa_2024!$B:$B,0)),"0")</f>
        <v>-1030.0699999999983</v>
      </c>
      <c r="AQ75" s="8">
        <f>IFERROR(INDEX([1]SuSa_2024!BU:BU,MATCH($B75,[1]SuSa_2024!$B:$B,0)),"0")</f>
        <v>279.47000000000162</v>
      </c>
      <c r="AR75" s="8">
        <f>IFERROR(INDEX([1]SuSa_2024!BV:BV,MATCH($B75,[1]SuSa_2024!$B:$B,0)),"0")</f>
        <v>-473.56999999999834</v>
      </c>
      <c r="AS75" s="8">
        <f>IFERROR(INDEX([1]SuSa_2024!BW:BW,MATCH($B75,[1]SuSa_2024!$B:$B,0)),"0")</f>
        <v>-503.74999999999835</v>
      </c>
      <c r="AT75" s="8">
        <f>IFERROR(INDEX([1]SuSa_2024!BX:BX,MATCH($B75,[1]SuSa_2024!$B:$B,0)),"0")</f>
        <v>1052.5000000000016</v>
      </c>
      <c r="AU75" s="8">
        <f>IFERROR(INDEX([1]SuSa_2024!BY:BY,MATCH($B75,[1]SuSa_2024!$B:$B,0)),"0")</f>
        <v>1052.5000000000016</v>
      </c>
      <c r="AV75" s="8">
        <f>IFERROR(INDEX([1]SuSa_2025!AR:AR,MATCH($B75,[1]SuSa_2025!$B:$B,0)),"0")</f>
        <v>-5004.3</v>
      </c>
      <c r="AW75" s="8">
        <f>IFERROR(INDEX([1]SuSa_2025!AS:AS,MATCH($B75,[1]SuSa_2025!$B:$B,0)),"0")</f>
        <v>567.05999999999949</v>
      </c>
      <c r="AX75" s="8">
        <f>IFERROR(INDEX([1]SuSa_2025!AT:AT,MATCH($B75,[1]SuSa_2025!$B:$B,0)),"0")</f>
        <v>685.15999999999951</v>
      </c>
      <c r="AY75" s="8">
        <f>IFERROR(INDEX([1]SuSa_2025!AU:AU,MATCH($B75,[1]SuSa_2025!$B:$B,0)),"0")</f>
        <v>1513.7499999999995</v>
      </c>
      <c r="AZ75" s="8">
        <f>IFERROR(INDEX([1]SuSa_2025!AV:AV,MATCH($B75,[1]SuSa_2025!$B:$B,0)),"0")</f>
        <v>1513.7499999999995</v>
      </c>
      <c r="BA75" s="8">
        <f>IFERROR(INDEX([1]SuSa_2025!AW:AW,MATCH($B75,[1]SuSa_2025!$B:$B,0)),"0")</f>
        <v>1513.7499999999995</v>
      </c>
      <c r="BB75" s="8">
        <f>IFERROR(INDEX([1]SuSa_2025!AX:AX,MATCH($B75,[1]SuSa_2025!$B:$B,0)),"0")</f>
        <v>2687.9199999999996</v>
      </c>
    </row>
    <row r="76" spans="1:55" outlineLevel="1" collapsed="1" x14ac:dyDescent="0.25">
      <c r="A76" s="5" t="s">
        <v>271</v>
      </c>
      <c r="B76" s="6" t="s">
        <v>272</v>
      </c>
      <c r="C76" t="s">
        <v>273</v>
      </c>
      <c r="F76" s="7">
        <f t="shared" si="5"/>
        <v>0</v>
      </c>
      <c r="G76" s="7">
        <f t="shared" si="6"/>
        <v>0</v>
      </c>
      <c r="H76" s="7" t="str">
        <f t="shared" si="7"/>
        <v>0</v>
      </c>
      <c r="I76" s="7">
        <f t="shared" si="8"/>
        <v>0</v>
      </c>
      <c r="K76" s="8" t="str">
        <f t="shared" si="9"/>
        <v>0</v>
      </c>
      <c r="AJ76" s="8" t="str">
        <f>IFERROR(INDEX([1]SuSa_2024!BN:BN,MATCH($B76,[1]SuSa_2024!$B:$B,0)),"0")</f>
        <v>0</v>
      </c>
      <c r="AK76" s="8" t="str">
        <f>IFERROR(INDEX([1]SuSa_2024!BO:BO,MATCH($B76,[1]SuSa_2024!$B:$B,0)),"0")</f>
        <v>0</v>
      </c>
      <c r="AL76" s="8" t="str">
        <f>IFERROR(INDEX([1]SuSa_2024!BP:BP,MATCH($B76,[1]SuSa_2024!$B:$B,0)),"0")</f>
        <v>0</v>
      </c>
      <c r="AM76" s="8" t="str">
        <f>IFERROR(INDEX([1]SuSa_2024!BQ:BQ,MATCH($B76,[1]SuSa_2024!$B:$B,0)),"0")</f>
        <v>0</v>
      </c>
      <c r="AN76" s="8" t="str">
        <f>IFERROR(INDEX([1]SuSa_2024!BR:BR,MATCH($B76,[1]SuSa_2024!$B:$B,0)),"0")</f>
        <v>0</v>
      </c>
      <c r="AO76" s="8" t="str">
        <f>IFERROR(INDEX([1]SuSa_2024!BS:BS,MATCH($B76,[1]SuSa_2024!$B:$B,0)),"0")</f>
        <v>0</v>
      </c>
      <c r="AP76" s="8" t="str">
        <f>IFERROR(INDEX([1]SuSa_2024!BT:BT,MATCH($B76,[1]SuSa_2024!$B:$B,0)),"0")</f>
        <v>0</v>
      </c>
      <c r="AQ76" s="8" t="str">
        <f>IFERROR(INDEX([1]SuSa_2024!BU:BU,MATCH($B76,[1]SuSa_2024!$B:$B,0)),"0")</f>
        <v>0</v>
      </c>
      <c r="AR76" s="8" t="str">
        <f>IFERROR(INDEX([1]SuSa_2024!BV:BV,MATCH($B76,[1]SuSa_2024!$B:$B,0)),"0")</f>
        <v>0</v>
      </c>
      <c r="AS76" s="8" t="str">
        <f>IFERROR(INDEX([1]SuSa_2024!BW:BW,MATCH($B76,[1]SuSa_2024!$B:$B,0)),"0")</f>
        <v>0</v>
      </c>
      <c r="AT76" s="8" t="str">
        <f>IFERROR(INDEX([1]SuSa_2024!BX:BX,MATCH($B76,[1]SuSa_2024!$B:$B,0)),"0")</f>
        <v>0</v>
      </c>
      <c r="AU76" s="8" t="str">
        <f>IFERROR(INDEX([1]SuSa_2024!BY:BY,MATCH($B76,[1]SuSa_2024!$B:$B,0)),"0")</f>
        <v>0</v>
      </c>
      <c r="AV76" s="8">
        <f>IFERROR(INDEX([1]SuSa_2025!AR:AR,MATCH($B76,[1]SuSa_2025!$B:$B,0)),"0")</f>
        <v>0</v>
      </c>
      <c r="AW76" s="8">
        <f>IFERROR(INDEX([1]SuSa_2025!AS:AS,MATCH($B76,[1]SuSa_2025!$B:$B,0)),"0")</f>
        <v>0</v>
      </c>
      <c r="AX76" s="8">
        <f>IFERROR(INDEX([1]SuSa_2025!AT:AT,MATCH($B76,[1]SuSa_2025!$B:$B,0)),"0")</f>
        <v>584</v>
      </c>
      <c r="AY76" s="8">
        <f>IFERROR(INDEX([1]SuSa_2025!AU:AU,MATCH($B76,[1]SuSa_2025!$B:$B,0)),"0")</f>
        <v>0</v>
      </c>
      <c r="AZ76" s="8">
        <f>IFERROR(INDEX([1]SuSa_2025!AV:AV,MATCH($B76,[1]SuSa_2025!$B:$B,0)),"0")</f>
        <v>0</v>
      </c>
      <c r="BA76" s="8">
        <f>IFERROR(INDEX([1]SuSa_2025!AW:AW,MATCH($B76,[1]SuSa_2025!$B:$B,0)),"0")</f>
        <v>0</v>
      </c>
      <c r="BB76" s="8">
        <f>IFERROR(INDEX([1]SuSa_2025!AX:AX,MATCH($B76,[1]SuSa_2025!$B:$B,0)),"0")</f>
        <v>0</v>
      </c>
    </row>
    <row r="77" spans="1:55" outlineLevel="1" collapsed="1" x14ac:dyDescent="0.25">
      <c r="A77" s="5" t="s">
        <v>274</v>
      </c>
      <c r="B77" s="6" t="s">
        <v>275</v>
      </c>
      <c r="C77" t="s">
        <v>276</v>
      </c>
      <c r="F77" s="7">
        <f t="shared" si="5"/>
        <v>0</v>
      </c>
      <c r="G77" s="7">
        <f t="shared" si="6"/>
        <v>-542</v>
      </c>
      <c r="H77" s="7">
        <f t="shared" si="7"/>
        <v>-5282.5400000000009</v>
      </c>
      <c r="I77" s="7">
        <f t="shared" si="8"/>
        <v>-3313.8900000000003</v>
      </c>
      <c r="K77" s="8">
        <f t="shared" si="9"/>
        <v>-42.860000000000582</v>
      </c>
      <c r="L77" s="8">
        <v>173.14</v>
      </c>
      <c r="M77" s="8">
        <v>0</v>
      </c>
      <c r="N77" s="8">
        <v>173.14</v>
      </c>
      <c r="O77" s="8">
        <v>346.28</v>
      </c>
      <c r="P77" s="8">
        <v>556.41999999999996</v>
      </c>
      <c r="Q77" s="8">
        <v>3075</v>
      </c>
      <c r="R77" s="8">
        <v>3285.14</v>
      </c>
      <c r="S77" s="8">
        <v>-333.86</v>
      </c>
      <c r="T77" s="8">
        <v>-3714.18</v>
      </c>
      <c r="U77" s="8">
        <v>-2783.3</v>
      </c>
      <c r="V77" s="8">
        <v>-6621.65</v>
      </c>
      <c r="W77" s="8">
        <v>0</v>
      </c>
      <c r="X77" s="8">
        <v>180</v>
      </c>
      <c r="Y77" s="8">
        <v>658</v>
      </c>
      <c r="Z77" s="8">
        <v>520</v>
      </c>
      <c r="AA77" s="8">
        <v>780</v>
      </c>
      <c r="AB77" s="8">
        <v>-824</v>
      </c>
      <c r="AC77" s="8">
        <v>-1106</v>
      </c>
      <c r="AD77" s="8">
        <v>-1388</v>
      </c>
      <c r="AE77" s="8">
        <v>-542</v>
      </c>
      <c r="AF77" s="8">
        <v>-542</v>
      </c>
      <c r="AG77" s="8">
        <v>-542</v>
      </c>
      <c r="AH77" s="8">
        <v>-542</v>
      </c>
      <c r="AI77" s="8">
        <v>-542</v>
      </c>
      <c r="AJ77" s="8">
        <f>IFERROR(INDEX([1]SuSa_2024!BN:BN,MATCH($B77,[1]SuSa_2024!$B:$B,0)),"0")</f>
        <v>-542</v>
      </c>
      <c r="AK77" s="8">
        <f>IFERROR(INDEX([1]SuSa_2024!BO:BO,MATCH($B77,[1]SuSa_2024!$B:$B,0)),"0")</f>
        <v>-542</v>
      </c>
      <c r="AL77" s="8">
        <f>IFERROR(INDEX([1]SuSa_2024!BP:BP,MATCH($B77,[1]SuSa_2024!$B:$B,0)),"0")</f>
        <v>-542</v>
      </c>
      <c r="AM77" s="8">
        <f>IFERROR(INDEX([1]SuSa_2024!BQ:BQ,MATCH($B77,[1]SuSa_2024!$B:$B,0)),"0")</f>
        <v>-542</v>
      </c>
      <c r="AN77" s="8">
        <f>IFERROR(INDEX([1]SuSa_2024!BR:BR,MATCH($B77,[1]SuSa_2024!$B:$B,0)),"0")</f>
        <v>-30492.62</v>
      </c>
      <c r="AO77" s="8">
        <f>IFERROR(INDEX([1]SuSa_2024!BS:BS,MATCH($B77,[1]SuSa_2024!$B:$B,0)),"0")</f>
        <v>-42.860000000000582</v>
      </c>
      <c r="AP77" s="8">
        <f>IFERROR(INDEX([1]SuSa_2024!BT:BT,MATCH($B77,[1]SuSa_2024!$B:$B,0)),"0")</f>
        <v>-42.860000000000582</v>
      </c>
      <c r="AQ77" s="8">
        <f>IFERROR(INDEX([1]SuSa_2024!BU:BU,MATCH($B77,[1]SuSa_2024!$B:$B,0)),"0")</f>
        <v>-616.86000000000058</v>
      </c>
      <c r="AR77" s="8">
        <f>IFERROR(INDEX([1]SuSa_2024!BV:BV,MATCH($B77,[1]SuSa_2024!$B:$B,0)),"0")</f>
        <v>-616.86000000000058</v>
      </c>
      <c r="AS77" s="8">
        <f>IFERROR(INDEX([1]SuSa_2024!BW:BW,MATCH($B77,[1]SuSa_2024!$B:$B,0)),"0")</f>
        <v>-334.86000000000058</v>
      </c>
      <c r="AT77" s="8">
        <f>IFERROR(INDEX([1]SuSa_2024!BX:BX,MATCH($B77,[1]SuSa_2024!$B:$B,0)),"0")</f>
        <v>-334.86000000000058</v>
      </c>
      <c r="AU77" s="8">
        <f>IFERROR(INDEX([1]SuSa_2024!BY:BY,MATCH($B77,[1]SuSa_2024!$B:$B,0)),"0")</f>
        <v>-5282.5400000000009</v>
      </c>
      <c r="AV77" s="8">
        <f>IFERROR(INDEX([1]SuSa_2025!AR:AR,MATCH($B77,[1]SuSa_2025!$B:$B,0)),"0")</f>
        <v>-5282.54</v>
      </c>
      <c r="AW77" s="8">
        <f>IFERROR(INDEX([1]SuSa_2025!AS:AS,MATCH($B77,[1]SuSa_2025!$B:$B,0)),"0")</f>
        <v>-5542.54</v>
      </c>
      <c r="AX77" s="8">
        <f>IFERROR(INDEX([1]SuSa_2025!AT:AT,MATCH($B77,[1]SuSa_2025!$B:$B,0)),"0")</f>
        <v>-5759.21</v>
      </c>
      <c r="AY77" s="8">
        <f>IFERROR(INDEX([1]SuSa_2025!AU:AU,MATCH($B77,[1]SuSa_2025!$B:$B,0)),"0")</f>
        <v>-5099.88</v>
      </c>
      <c r="AZ77" s="8">
        <f>IFERROR(INDEX([1]SuSa_2025!AV:AV,MATCH($B77,[1]SuSa_2025!$B:$B,0)),"0")</f>
        <v>-3984.55</v>
      </c>
      <c r="BA77" s="8">
        <f>IFERROR(INDEX([1]SuSa_2025!AW:AW,MATCH($B77,[1]SuSa_2025!$B:$B,0)),"0")</f>
        <v>-3649.2200000000003</v>
      </c>
      <c r="BB77" s="8">
        <f>IFERROR(INDEX([1]SuSa_2025!AX:AX,MATCH($B77,[1]SuSa_2025!$B:$B,0)),"0")</f>
        <v>-3313.8900000000003</v>
      </c>
    </row>
    <row r="78" spans="1:55" outlineLevel="1" collapsed="1" x14ac:dyDescent="0.25">
      <c r="A78" s="5" t="s">
        <v>277</v>
      </c>
      <c r="B78" s="6" t="s">
        <v>278</v>
      </c>
      <c r="C78" t="s">
        <v>279</v>
      </c>
      <c r="F78" s="7">
        <f t="shared" si="5"/>
        <v>-260</v>
      </c>
      <c r="G78" s="7">
        <f t="shared" si="6"/>
        <v>0</v>
      </c>
      <c r="H78" s="7">
        <f t="shared" si="7"/>
        <v>0</v>
      </c>
      <c r="I78" s="7" t="str">
        <f t="shared" si="8"/>
        <v>0</v>
      </c>
      <c r="K78" s="8">
        <f t="shared" si="9"/>
        <v>0</v>
      </c>
      <c r="L78" s="8">
        <v>-457.14</v>
      </c>
      <c r="M78" s="8">
        <v>0</v>
      </c>
      <c r="N78" s="8">
        <v>-457.14</v>
      </c>
      <c r="O78" s="8">
        <v>0</v>
      </c>
      <c r="P78" s="8">
        <v>0</v>
      </c>
      <c r="Q78" s="8">
        <v>-494.14</v>
      </c>
      <c r="R78" s="8">
        <v>0</v>
      </c>
      <c r="S78" s="8">
        <v>0</v>
      </c>
      <c r="T78" s="8">
        <v>0</v>
      </c>
      <c r="U78" s="8">
        <v>-2964.7</v>
      </c>
      <c r="V78" s="8">
        <v>-2964.7</v>
      </c>
      <c r="W78" s="8">
        <v>-260</v>
      </c>
      <c r="X78" s="8">
        <v>-260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f>IFERROR(INDEX([1]SuSa_2024!BN:BN,MATCH($B78,[1]SuSa_2024!$B:$B,0)),"0")</f>
        <v>0</v>
      </c>
      <c r="AK78" s="8">
        <f>IFERROR(INDEX([1]SuSa_2024!BO:BO,MATCH($B78,[1]SuSa_2024!$B:$B,0)),"0")</f>
        <v>0</v>
      </c>
      <c r="AL78" s="8">
        <f>IFERROR(INDEX([1]SuSa_2024!BP:BP,MATCH($B78,[1]SuSa_2024!$B:$B,0)),"0")</f>
        <v>0</v>
      </c>
      <c r="AM78" s="8">
        <f>IFERROR(INDEX([1]SuSa_2024!BQ:BQ,MATCH($B78,[1]SuSa_2024!$B:$B,0)),"0")</f>
        <v>0</v>
      </c>
      <c r="AN78" s="8">
        <f>IFERROR(INDEX([1]SuSa_2024!BR:BR,MATCH($B78,[1]SuSa_2024!$B:$B,0)),"0")</f>
        <v>0</v>
      </c>
      <c r="AO78" s="8">
        <f>IFERROR(INDEX([1]SuSa_2024!BS:BS,MATCH($B78,[1]SuSa_2024!$B:$B,0)),"0")</f>
        <v>0</v>
      </c>
      <c r="AP78" s="8">
        <f>IFERROR(INDEX([1]SuSa_2024!BT:BT,MATCH($B78,[1]SuSa_2024!$B:$B,0)),"0")</f>
        <v>0</v>
      </c>
      <c r="AQ78" s="8">
        <f>IFERROR(INDEX([1]SuSa_2024!BU:BU,MATCH($B78,[1]SuSa_2024!$B:$B,0)),"0")</f>
        <v>0</v>
      </c>
      <c r="AR78" s="8">
        <f>IFERROR(INDEX([1]SuSa_2024!BV:BV,MATCH($B78,[1]SuSa_2024!$B:$B,0)),"0")</f>
        <v>0</v>
      </c>
      <c r="AS78" s="8">
        <f>IFERROR(INDEX([1]SuSa_2024!BW:BW,MATCH($B78,[1]SuSa_2024!$B:$B,0)),"0")</f>
        <v>0</v>
      </c>
      <c r="AT78" s="8">
        <f>IFERROR(INDEX([1]SuSa_2024!BX:BX,MATCH($B78,[1]SuSa_2024!$B:$B,0)),"0")</f>
        <v>0</v>
      </c>
      <c r="AU78" s="8">
        <f>IFERROR(INDEX([1]SuSa_2024!BY:BY,MATCH($B78,[1]SuSa_2024!$B:$B,0)),"0")</f>
        <v>0</v>
      </c>
      <c r="AV78" s="8" t="str">
        <f>IFERROR(INDEX([1]SuSa_2025!AR:AR,MATCH($B78,[1]SuSa_2025!$B:$B,0)),"0")</f>
        <v>0</v>
      </c>
      <c r="AW78" s="8" t="str">
        <f>IFERROR(INDEX([1]SuSa_2025!AS:AS,MATCH($B78,[1]SuSa_2025!$B:$B,0)),"0")</f>
        <v>0</v>
      </c>
      <c r="AX78" s="8" t="str">
        <f>IFERROR(INDEX([1]SuSa_2025!AT:AT,MATCH($B78,[1]SuSa_2025!$B:$B,0)),"0")</f>
        <v>0</v>
      </c>
      <c r="AY78" s="8" t="str">
        <f>IFERROR(INDEX([1]SuSa_2025!AU:AU,MATCH($B78,[1]SuSa_2025!$B:$B,0)),"0")</f>
        <v>0</v>
      </c>
      <c r="AZ78" s="8" t="str">
        <f>IFERROR(INDEX([1]SuSa_2025!AV:AV,MATCH($B78,[1]SuSa_2025!$B:$B,0)),"0")</f>
        <v>0</v>
      </c>
      <c r="BA78" s="8" t="str">
        <f>IFERROR(INDEX([1]SuSa_2025!AW:AW,MATCH($B78,[1]SuSa_2025!$B:$B,0)),"0")</f>
        <v>0</v>
      </c>
      <c r="BB78" s="8" t="str">
        <f>IFERROR(INDEX([1]SuSa_2025!AX:AX,MATCH($B78,[1]SuSa_2025!$B:$B,0)),"0")</f>
        <v>0</v>
      </c>
    </row>
    <row r="79" spans="1:55" outlineLevel="1" collapsed="1" x14ac:dyDescent="0.25">
      <c r="A79" s="5" t="s">
        <v>280</v>
      </c>
      <c r="B79" s="6" t="s">
        <v>281</v>
      </c>
      <c r="C79" t="s">
        <v>282</v>
      </c>
      <c r="F79" s="7">
        <f t="shared" si="5"/>
        <v>0</v>
      </c>
      <c r="G79" s="7">
        <f t="shared" si="6"/>
        <v>0</v>
      </c>
      <c r="H79" s="7">
        <f t="shared" si="7"/>
        <v>0</v>
      </c>
      <c r="I79" s="7">
        <f t="shared" si="8"/>
        <v>0</v>
      </c>
      <c r="K79" s="8">
        <f t="shared" si="9"/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f>IFERROR(INDEX([1]SuSa_2024!BN:BN,MATCH($B79,[1]SuSa_2024!$B:$B,0)),"0")</f>
        <v>0</v>
      </c>
      <c r="AK79" s="8">
        <f>IFERROR(INDEX([1]SuSa_2024!BO:BO,MATCH($B79,[1]SuSa_2024!$B:$B,0)),"0")</f>
        <v>0</v>
      </c>
      <c r="AL79" s="8">
        <f>IFERROR(INDEX([1]SuSa_2024!BP:BP,MATCH($B79,[1]SuSa_2024!$B:$B,0)),"0")</f>
        <v>0</v>
      </c>
      <c r="AM79" s="8">
        <f>IFERROR(INDEX([1]SuSa_2024!BQ:BQ,MATCH($B79,[1]SuSa_2024!$B:$B,0)),"0")</f>
        <v>0</v>
      </c>
      <c r="AN79" s="8">
        <f>IFERROR(INDEX([1]SuSa_2024!BR:BR,MATCH($B79,[1]SuSa_2024!$B:$B,0)),"0")</f>
        <v>0</v>
      </c>
      <c r="AO79" s="8">
        <f>IFERROR(INDEX([1]SuSa_2024!BS:BS,MATCH($B79,[1]SuSa_2024!$B:$B,0)),"0")</f>
        <v>0</v>
      </c>
      <c r="AP79" s="8">
        <f>IFERROR(INDEX([1]SuSa_2024!BT:BT,MATCH($B79,[1]SuSa_2024!$B:$B,0)),"0")</f>
        <v>0</v>
      </c>
      <c r="AQ79" s="8">
        <f>IFERROR(INDEX([1]SuSa_2024!BU:BU,MATCH($B79,[1]SuSa_2024!$B:$B,0)),"0")</f>
        <v>0</v>
      </c>
      <c r="AR79" s="8">
        <f>IFERROR(INDEX([1]SuSa_2024!BV:BV,MATCH($B79,[1]SuSa_2024!$B:$B,0)),"0")</f>
        <v>0</v>
      </c>
      <c r="AS79" s="8">
        <f>IFERROR(INDEX([1]SuSa_2024!BW:BW,MATCH($B79,[1]SuSa_2024!$B:$B,0)),"0")</f>
        <v>0</v>
      </c>
      <c r="AT79" s="8">
        <f>IFERROR(INDEX([1]SuSa_2024!BX:BX,MATCH($B79,[1]SuSa_2024!$B:$B,0)),"0")</f>
        <v>0</v>
      </c>
      <c r="AU79" s="8">
        <f>IFERROR(INDEX([1]SuSa_2024!BY:BY,MATCH($B79,[1]SuSa_2024!$B:$B,0)),"0")</f>
        <v>0</v>
      </c>
      <c r="AV79" s="8">
        <f>IFERROR(INDEX([1]SuSa_2025!AR:AR,MATCH($B79,[1]SuSa_2025!$B:$B,0)),"0")</f>
        <v>0</v>
      </c>
      <c r="AW79" s="8">
        <f>IFERROR(INDEX([1]SuSa_2025!AS:AS,MATCH($B79,[1]SuSa_2025!$B:$B,0)),"0")</f>
        <v>0</v>
      </c>
      <c r="AX79" s="8">
        <f>IFERROR(INDEX([1]SuSa_2025!AT:AT,MATCH($B79,[1]SuSa_2025!$B:$B,0)),"0")</f>
        <v>0</v>
      </c>
      <c r="AY79" s="8">
        <f>IFERROR(INDEX([1]SuSa_2025!AU:AU,MATCH($B79,[1]SuSa_2025!$B:$B,0)),"0")</f>
        <v>0</v>
      </c>
      <c r="AZ79" s="8">
        <f>IFERROR(INDEX([1]SuSa_2025!AV:AV,MATCH($B79,[1]SuSa_2025!$B:$B,0)),"0")</f>
        <v>0</v>
      </c>
      <c r="BA79" s="8">
        <f>IFERROR(INDEX([1]SuSa_2025!AW:AW,MATCH($B79,[1]SuSa_2025!$B:$B,0)),"0")</f>
        <v>0</v>
      </c>
      <c r="BB79" s="8">
        <f>IFERROR(INDEX([1]SuSa_2025!AX:AX,MATCH($B79,[1]SuSa_2025!$B:$B,0)),"0")</f>
        <v>0</v>
      </c>
    </row>
    <row r="80" spans="1:55" outlineLevel="1" collapsed="1" x14ac:dyDescent="0.25">
      <c r="A80" s="5" t="s">
        <v>283</v>
      </c>
      <c r="B80" s="6" t="s">
        <v>284</v>
      </c>
      <c r="C80" t="s">
        <v>285</v>
      </c>
      <c r="F80" s="7">
        <f t="shared" si="5"/>
        <v>0</v>
      </c>
      <c r="G80" s="7">
        <f t="shared" si="6"/>
        <v>0</v>
      </c>
      <c r="H80" s="7" t="str">
        <f t="shared" si="7"/>
        <v>0</v>
      </c>
      <c r="I80" s="7" t="str">
        <f t="shared" si="8"/>
        <v>0</v>
      </c>
      <c r="K80" s="8" t="str">
        <f t="shared" si="9"/>
        <v>0</v>
      </c>
      <c r="L80" s="8">
        <v>552.30999999999995</v>
      </c>
      <c r="M80" s="8">
        <v>0</v>
      </c>
      <c r="N80" s="8">
        <v>0</v>
      </c>
      <c r="O80" s="8">
        <v>-2417.5500000000002</v>
      </c>
      <c r="P80" s="8">
        <v>-2823.5</v>
      </c>
      <c r="Q80" s="8">
        <v>-3536.72</v>
      </c>
      <c r="R80" s="8">
        <v>-6024.61</v>
      </c>
      <c r="S80" s="8">
        <v>-4459.1099999999997</v>
      </c>
      <c r="T80" s="8">
        <v>-1175.1099999999999</v>
      </c>
      <c r="U80" s="8">
        <v>0</v>
      </c>
      <c r="V80" s="8">
        <v>1546.53</v>
      </c>
      <c r="W80" s="8">
        <v>0</v>
      </c>
      <c r="AJ80" s="8" t="str">
        <f>IFERROR(INDEX([1]SuSa_2024!BN:BN,MATCH($B80,[1]SuSa_2024!$B:$B,0)),"0")</f>
        <v>0</v>
      </c>
      <c r="AK80" s="8" t="str">
        <f>IFERROR(INDEX([1]SuSa_2024!BO:BO,MATCH($B80,[1]SuSa_2024!$B:$B,0)),"0")</f>
        <v>0</v>
      </c>
      <c r="AL80" s="8" t="str">
        <f>IFERROR(INDEX([1]SuSa_2024!BP:BP,MATCH($B80,[1]SuSa_2024!$B:$B,0)),"0")</f>
        <v>0</v>
      </c>
      <c r="AM80" s="8" t="str">
        <f>IFERROR(INDEX([1]SuSa_2024!BQ:BQ,MATCH($B80,[1]SuSa_2024!$B:$B,0)),"0")</f>
        <v>0</v>
      </c>
      <c r="AN80" s="8" t="str">
        <f>IFERROR(INDEX([1]SuSa_2024!BR:BR,MATCH($B80,[1]SuSa_2024!$B:$B,0)),"0")</f>
        <v>0</v>
      </c>
      <c r="AO80" s="8" t="str">
        <f>IFERROR(INDEX([1]SuSa_2024!BS:BS,MATCH($B80,[1]SuSa_2024!$B:$B,0)),"0")</f>
        <v>0</v>
      </c>
      <c r="AP80" s="8" t="str">
        <f>IFERROR(INDEX([1]SuSa_2024!BT:BT,MATCH($B80,[1]SuSa_2024!$B:$B,0)),"0")</f>
        <v>0</v>
      </c>
      <c r="AQ80" s="8" t="str">
        <f>IFERROR(INDEX([1]SuSa_2024!BU:BU,MATCH($B80,[1]SuSa_2024!$B:$B,0)),"0")</f>
        <v>0</v>
      </c>
      <c r="AR80" s="8" t="str">
        <f>IFERROR(INDEX([1]SuSa_2024!BV:BV,MATCH($B80,[1]SuSa_2024!$B:$B,0)),"0")</f>
        <v>0</v>
      </c>
      <c r="AS80" s="8" t="str">
        <f>IFERROR(INDEX([1]SuSa_2024!BW:BW,MATCH($B80,[1]SuSa_2024!$B:$B,0)),"0")</f>
        <v>0</v>
      </c>
      <c r="AT80" s="8" t="str">
        <f>IFERROR(INDEX([1]SuSa_2024!BX:BX,MATCH($B80,[1]SuSa_2024!$B:$B,0)),"0")</f>
        <v>0</v>
      </c>
      <c r="AU80" s="8" t="str">
        <f>IFERROR(INDEX([1]SuSa_2024!BY:BY,MATCH($B80,[1]SuSa_2024!$B:$B,0)),"0")</f>
        <v>0</v>
      </c>
      <c r="AV80" s="8" t="str">
        <f>IFERROR(INDEX([1]SuSa_2025!AR:AR,MATCH($B80,[1]SuSa_2025!$B:$B,0)),"0")</f>
        <v>0</v>
      </c>
      <c r="AW80" s="8" t="str">
        <f>IFERROR(INDEX([1]SuSa_2025!AS:AS,MATCH($B80,[1]SuSa_2025!$B:$B,0)),"0")</f>
        <v>0</v>
      </c>
      <c r="AX80" s="8" t="str">
        <f>IFERROR(INDEX([1]SuSa_2025!AT:AT,MATCH($B80,[1]SuSa_2025!$B:$B,0)),"0")</f>
        <v>0</v>
      </c>
      <c r="AY80" s="8" t="str">
        <f>IFERROR(INDEX([1]SuSa_2025!AU:AU,MATCH($B80,[1]SuSa_2025!$B:$B,0)),"0")</f>
        <v>0</v>
      </c>
      <c r="AZ80" s="8" t="str">
        <f>IFERROR(INDEX([1]SuSa_2025!AV:AV,MATCH($B80,[1]SuSa_2025!$B:$B,0)),"0")</f>
        <v>0</v>
      </c>
      <c r="BA80" s="8" t="str">
        <f>IFERROR(INDEX([1]SuSa_2025!AW:AW,MATCH($B80,[1]SuSa_2025!$B:$B,0)),"0")</f>
        <v>0</v>
      </c>
      <c r="BB80" s="8" t="str">
        <f>IFERROR(INDEX([1]SuSa_2025!AX:AX,MATCH($B80,[1]SuSa_2025!$B:$B,0)),"0")</f>
        <v>0</v>
      </c>
    </row>
    <row r="81" spans="1:55" outlineLevel="1" collapsed="1" x14ac:dyDescent="0.25">
      <c r="A81" s="5" t="s">
        <v>286</v>
      </c>
      <c r="B81" s="6" t="s">
        <v>287</v>
      </c>
      <c r="C81" t="s">
        <v>288</v>
      </c>
      <c r="F81" s="7">
        <f t="shared" si="5"/>
        <v>-702.04</v>
      </c>
      <c r="G81" s="7">
        <f t="shared" si="6"/>
        <v>-4624.51</v>
      </c>
      <c r="H81" s="7">
        <f t="shared" si="7"/>
        <v>-725.3900000000001</v>
      </c>
      <c r="I81" s="7">
        <f t="shared" si="8"/>
        <v>-31.66</v>
      </c>
      <c r="K81" s="8">
        <f t="shared" si="9"/>
        <v>-337.45</v>
      </c>
      <c r="M81" s="8">
        <v>-2.04</v>
      </c>
      <c r="N81" s="8">
        <v>-2.04</v>
      </c>
      <c r="O81" s="8">
        <v>-2.04</v>
      </c>
      <c r="P81" s="8">
        <v>-2.04</v>
      </c>
      <c r="Q81" s="8">
        <v>-2.04</v>
      </c>
      <c r="R81" s="8">
        <v>-2.04</v>
      </c>
      <c r="S81" s="8">
        <v>-2.04</v>
      </c>
      <c r="T81" s="8">
        <v>-2.04</v>
      </c>
      <c r="U81" s="8">
        <v>-2.04</v>
      </c>
      <c r="V81" s="8">
        <v>-2.04</v>
      </c>
      <c r="W81" s="8">
        <v>-702.04</v>
      </c>
      <c r="AF81" s="8">
        <v>-1862.25</v>
      </c>
      <c r="AG81" s="8">
        <v>-2247.2600000000002</v>
      </c>
      <c r="AH81" s="8">
        <v>-4228.6000000000004</v>
      </c>
      <c r="AI81" s="8">
        <v>-4624.51</v>
      </c>
      <c r="AJ81" s="8">
        <f>IFERROR(INDEX([1]SuSa_2024!BN:BN,MATCH($B81,[1]SuSa_2024!$B:$B,0)),"0")</f>
        <v>-91.5</v>
      </c>
      <c r="AK81" s="8">
        <f>IFERROR(INDEX([1]SuSa_2024!BO:BO,MATCH($B81,[1]SuSa_2024!$B:$B,0)),"0")</f>
        <v>-148.77000000000001</v>
      </c>
      <c r="AL81" s="8">
        <f>IFERROR(INDEX([1]SuSa_2024!BP:BP,MATCH($B81,[1]SuSa_2024!$B:$B,0)),"0")</f>
        <v>-195.9</v>
      </c>
      <c r="AM81" s="8">
        <f>IFERROR(INDEX([1]SuSa_2024!BQ:BQ,MATCH($B81,[1]SuSa_2024!$B:$B,0)),"0")</f>
        <v>-232.25</v>
      </c>
      <c r="AN81" s="8">
        <f>IFERROR(INDEX([1]SuSa_2024!BR:BR,MATCH($B81,[1]SuSa_2024!$B:$B,0)),"0")</f>
        <v>-292.19</v>
      </c>
      <c r="AO81" s="8">
        <f>IFERROR(INDEX([1]SuSa_2024!BS:BS,MATCH($B81,[1]SuSa_2024!$B:$B,0)),"0")</f>
        <v>-327.2</v>
      </c>
      <c r="AP81" s="8">
        <f>IFERROR(INDEX([1]SuSa_2024!BT:BT,MATCH($B81,[1]SuSa_2024!$B:$B,0)),"0")</f>
        <v>-337.45</v>
      </c>
      <c r="AQ81" s="8">
        <f>IFERROR(INDEX([1]SuSa_2024!BU:BU,MATCH($B81,[1]SuSa_2024!$B:$B,0)),"0")</f>
        <v>-385.5</v>
      </c>
      <c r="AR81" s="8">
        <f>IFERROR(INDEX([1]SuSa_2024!BV:BV,MATCH($B81,[1]SuSa_2024!$B:$B,0)),"0")</f>
        <v>-397.97</v>
      </c>
      <c r="AS81" s="8">
        <f>IFERROR(INDEX([1]SuSa_2024!BW:BW,MATCH($B81,[1]SuSa_2024!$B:$B,0)),"0")</f>
        <v>-422.94000000000005</v>
      </c>
      <c r="AT81" s="8">
        <f>IFERROR(INDEX([1]SuSa_2024!BX:BX,MATCH($B81,[1]SuSa_2024!$B:$B,0)),"0")</f>
        <v>-494.19000000000005</v>
      </c>
      <c r="AU81" s="8">
        <f>IFERROR(INDEX([1]SuSa_2024!BY:BY,MATCH($B81,[1]SuSa_2024!$B:$B,0)),"0")</f>
        <v>-725.3900000000001</v>
      </c>
      <c r="AV81" s="8">
        <f>IFERROR(INDEX([1]SuSa_2025!AR:AR,MATCH($B81,[1]SuSa_2025!$B:$B,0)),"0")</f>
        <v>-31.66</v>
      </c>
      <c r="AW81" s="8">
        <f>IFERROR(INDEX([1]SuSa_2025!AS:AS,MATCH($B81,[1]SuSa_2025!$B:$B,0)),"0")</f>
        <v>-31.66</v>
      </c>
      <c r="AX81" s="8">
        <f>IFERROR(INDEX([1]SuSa_2025!AT:AT,MATCH($B81,[1]SuSa_2025!$B:$B,0)),"0")</f>
        <v>-31.66</v>
      </c>
      <c r="AY81" s="8">
        <f>IFERROR(INDEX([1]SuSa_2025!AU:AU,MATCH($B81,[1]SuSa_2025!$B:$B,0)),"0")</f>
        <v>-31.66</v>
      </c>
      <c r="AZ81" s="8">
        <f>IFERROR(INDEX([1]SuSa_2025!AV:AV,MATCH($B81,[1]SuSa_2025!$B:$B,0)),"0")</f>
        <v>-31.66</v>
      </c>
      <c r="BA81" s="8">
        <f>IFERROR(INDEX([1]SuSa_2025!AW:AW,MATCH($B81,[1]SuSa_2025!$B:$B,0)),"0")</f>
        <v>-31.66</v>
      </c>
      <c r="BB81" s="8">
        <f>IFERROR(INDEX([1]SuSa_2025!AX:AX,MATCH($B81,[1]SuSa_2025!$B:$B,0)),"0")</f>
        <v>-31.66</v>
      </c>
    </row>
    <row r="82" spans="1:55" outlineLevel="1" collapsed="1" x14ac:dyDescent="0.25">
      <c r="A82" s="5" t="s">
        <v>289</v>
      </c>
      <c r="B82" s="6" t="s">
        <v>290</v>
      </c>
      <c r="C82" t="s">
        <v>291</v>
      </c>
      <c r="F82" s="7">
        <f t="shared" si="5"/>
        <v>-39.79</v>
      </c>
      <c r="G82" s="7">
        <f t="shared" si="6"/>
        <v>-16.809999999999999</v>
      </c>
      <c r="H82" s="7">
        <f t="shared" si="7"/>
        <v>0</v>
      </c>
      <c r="I82" s="7" t="str">
        <f t="shared" si="8"/>
        <v>0</v>
      </c>
      <c r="K82" s="8">
        <f t="shared" si="9"/>
        <v>0</v>
      </c>
      <c r="L82" s="8">
        <v>-3</v>
      </c>
      <c r="M82" s="8">
        <v>-3</v>
      </c>
      <c r="N82" s="8">
        <v>-3.19</v>
      </c>
      <c r="O82" s="8">
        <v>-4.55</v>
      </c>
      <c r="P82" s="8">
        <v>-4.34</v>
      </c>
      <c r="Q82" s="8">
        <v>-5.43</v>
      </c>
      <c r="R82" s="8">
        <v>-11.2</v>
      </c>
      <c r="S82" s="8">
        <v>-19.97</v>
      </c>
      <c r="T82" s="8">
        <v>-19.97</v>
      </c>
      <c r="U82" s="8">
        <v>-26.03</v>
      </c>
      <c r="V82" s="8">
        <v>-35.51</v>
      </c>
      <c r="W82" s="8">
        <v>-39.79</v>
      </c>
      <c r="X82" s="8">
        <v>-7.39</v>
      </c>
      <c r="Y82" s="8">
        <v>-7.39</v>
      </c>
      <c r="Z82" s="8">
        <v>-9.25</v>
      </c>
      <c r="AA82" s="8">
        <v>-7.94</v>
      </c>
      <c r="AB82" s="8">
        <v>-14.46</v>
      </c>
      <c r="AC82" s="8">
        <v>-14.46</v>
      </c>
      <c r="AD82" s="8">
        <v>-14.46</v>
      </c>
      <c r="AE82" s="8">
        <v>-14.46</v>
      </c>
      <c r="AF82" s="8">
        <v>-14.46</v>
      </c>
      <c r="AG82" s="8">
        <v>-14.46</v>
      </c>
      <c r="AH82" s="8">
        <v>-16.809999999999999</v>
      </c>
      <c r="AI82" s="8">
        <v>-16.809999999999999</v>
      </c>
      <c r="AJ82" s="8">
        <f>IFERROR(INDEX([1]SuSa_2024!BN:BN,MATCH($B82,[1]SuSa_2024!$B:$B,0)),"0")</f>
        <v>0</v>
      </c>
      <c r="AK82" s="8">
        <f>IFERROR(INDEX([1]SuSa_2024!BO:BO,MATCH($B82,[1]SuSa_2024!$B:$B,0)),"0")</f>
        <v>0</v>
      </c>
      <c r="AL82" s="8">
        <f>IFERROR(INDEX([1]SuSa_2024!BP:BP,MATCH($B82,[1]SuSa_2024!$B:$B,0)),"0")</f>
        <v>0</v>
      </c>
      <c r="AM82" s="8">
        <f>IFERROR(INDEX([1]SuSa_2024!BQ:BQ,MATCH($B82,[1]SuSa_2024!$B:$B,0)),"0")</f>
        <v>0</v>
      </c>
      <c r="AN82" s="8">
        <f>IFERROR(INDEX([1]SuSa_2024!BR:BR,MATCH($B82,[1]SuSa_2024!$B:$B,0)),"0")</f>
        <v>0</v>
      </c>
      <c r="AO82" s="8">
        <f>IFERROR(INDEX([1]SuSa_2024!BS:BS,MATCH($B82,[1]SuSa_2024!$B:$B,0)),"0")</f>
        <v>0</v>
      </c>
      <c r="AP82" s="8">
        <f>IFERROR(INDEX([1]SuSa_2024!BT:BT,MATCH($B82,[1]SuSa_2024!$B:$B,0)),"0")</f>
        <v>0</v>
      </c>
      <c r="AQ82" s="8">
        <f>IFERROR(INDEX([1]SuSa_2024!BU:BU,MATCH($B82,[1]SuSa_2024!$B:$B,0)),"0")</f>
        <v>0</v>
      </c>
      <c r="AR82" s="8">
        <f>IFERROR(INDEX([1]SuSa_2024!BV:BV,MATCH($B82,[1]SuSa_2024!$B:$B,0)),"0")</f>
        <v>0</v>
      </c>
      <c r="AS82" s="8">
        <f>IFERROR(INDEX([1]SuSa_2024!BW:BW,MATCH($B82,[1]SuSa_2024!$B:$B,0)),"0")</f>
        <v>0</v>
      </c>
      <c r="AT82" s="8">
        <f>IFERROR(INDEX([1]SuSa_2024!BX:BX,MATCH($B82,[1]SuSa_2024!$B:$B,0)),"0")</f>
        <v>0</v>
      </c>
      <c r="AU82" s="8">
        <f>IFERROR(INDEX([1]SuSa_2024!BY:BY,MATCH($B82,[1]SuSa_2024!$B:$B,0)),"0")</f>
        <v>0</v>
      </c>
      <c r="AV82" s="8" t="str">
        <f>IFERROR(INDEX([1]SuSa_2025!AR:AR,MATCH($B82,[1]SuSa_2025!$B:$B,0)),"0")</f>
        <v>0</v>
      </c>
      <c r="AW82" s="8" t="str">
        <f>IFERROR(INDEX([1]SuSa_2025!AS:AS,MATCH($B82,[1]SuSa_2025!$B:$B,0)),"0")</f>
        <v>0</v>
      </c>
      <c r="AX82" s="8" t="str">
        <f>IFERROR(INDEX([1]SuSa_2025!AT:AT,MATCH($B82,[1]SuSa_2025!$B:$B,0)),"0")</f>
        <v>0</v>
      </c>
      <c r="AY82" s="8" t="str">
        <f>IFERROR(INDEX([1]SuSa_2025!AU:AU,MATCH($B82,[1]SuSa_2025!$B:$B,0)),"0")</f>
        <v>0</v>
      </c>
      <c r="AZ82" s="8" t="str">
        <f>IFERROR(INDEX([1]SuSa_2025!AV:AV,MATCH($B82,[1]SuSa_2025!$B:$B,0)),"0")</f>
        <v>0</v>
      </c>
      <c r="BA82" s="8" t="str">
        <f>IFERROR(INDEX([1]SuSa_2025!AW:AW,MATCH($B82,[1]SuSa_2025!$B:$B,0)),"0")</f>
        <v>0</v>
      </c>
      <c r="BB82" s="8" t="str">
        <f>IFERROR(INDEX([1]SuSa_2025!AX:AX,MATCH($B82,[1]SuSa_2025!$B:$B,0)),"0")</f>
        <v>0</v>
      </c>
    </row>
    <row r="83" spans="1:55" outlineLevel="1" collapsed="1" x14ac:dyDescent="0.25">
      <c r="A83" s="5" t="s">
        <v>292</v>
      </c>
      <c r="B83" s="6" t="s">
        <v>293</v>
      </c>
      <c r="C83" t="s">
        <v>294</v>
      </c>
      <c r="F83" s="7">
        <f t="shared" si="5"/>
        <v>-1198.4100000000001</v>
      </c>
      <c r="G83" s="7">
        <f t="shared" si="6"/>
        <v>-5493.52</v>
      </c>
      <c r="H83" s="7">
        <f t="shared" si="7"/>
        <v>-2498.12</v>
      </c>
      <c r="I83" s="7">
        <f t="shared" si="8"/>
        <v>-332.12</v>
      </c>
      <c r="K83" s="8">
        <f t="shared" si="9"/>
        <v>-639.37000000000012</v>
      </c>
      <c r="L83" s="8">
        <v>-71.72</v>
      </c>
      <c r="M83" s="8">
        <v>-139.18</v>
      </c>
      <c r="N83" s="8">
        <v>-158.22</v>
      </c>
      <c r="O83" s="8">
        <v>-289.67</v>
      </c>
      <c r="P83" s="8">
        <v>-394.06</v>
      </c>
      <c r="Q83" s="8">
        <v>-422.41</v>
      </c>
      <c r="R83" s="8">
        <v>-481.21</v>
      </c>
      <c r="S83" s="8">
        <v>-570.35</v>
      </c>
      <c r="T83" s="8">
        <v>-637.02</v>
      </c>
      <c r="U83" s="8">
        <v>-709.47</v>
      </c>
      <c r="V83" s="8">
        <v>-756.76</v>
      </c>
      <c r="W83" s="8">
        <v>-1198.4100000000001</v>
      </c>
      <c r="X83" s="8">
        <v>-193.42</v>
      </c>
      <c r="Y83" s="8">
        <v>-243.69</v>
      </c>
      <c r="Z83" s="8">
        <v>-3712.64</v>
      </c>
      <c r="AA83" s="8">
        <v>-3771.4</v>
      </c>
      <c r="AB83" s="8">
        <v>-3856.75</v>
      </c>
      <c r="AC83" s="8">
        <v>-3905.55</v>
      </c>
      <c r="AD83" s="8">
        <v>-5279.23</v>
      </c>
      <c r="AE83" s="8">
        <v>-5352.34</v>
      </c>
      <c r="AF83" s="8">
        <v>-5365.73</v>
      </c>
      <c r="AG83" s="8">
        <v>-5434.05</v>
      </c>
      <c r="AH83" s="8">
        <v>-5490.11</v>
      </c>
      <c r="AI83" s="8">
        <v>-5493.52</v>
      </c>
      <c r="AJ83" s="8">
        <f>IFERROR(INDEX([1]SuSa_2024!BN:BN,MATCH($B83,[1]SuSa_2024!$B:$B,0)),"0")</f>
        <v>-566.49</v>
      </c>
      <c r="AK83" s="8">
        <f>IFERROR(INDEX([1]SuSa_2024!BO:BO,MATCH($B83,[1]SuSa_2024!$B:$B,0)),"0")</f>
        <v>-601.43000000000006</v>
      </c>
      <c r="AL83" s="8">
        <f>IFERROR(INDEX([1]SuSa_2024!BP:BP,MATCH($B83,[1]SuSa_2024!$B:$B,0)),"0")</f>
        <v>-616.87000000000012</v>
      </c>
      <c r="AM83" s="8">
        <f>IFERROR(INDEX([1]SuSa_2024!BQ:BQ,MATCH($B83,[1]SuSa_2024!$B:$B,0)),"0")</f>
        <v>-624.82000000000016</v>
      </c>
      <c r="AN83" s="8">
        <f>IFERROR(INDEX([1]SuSa_2024!BR:BR,MATCH($B83,[1]SuSa_2024!$B:$B,0)),"0")</f>
        <v>-624.82000000000016</v>
      </c>
      <c r="AO83" s="8">
        <f>IFERROR(INDEX([1]SuSa_2024!BS:BS,MATCH($B83,[1]SuSa_2024!$B:$B,0)),"0")</f>
        <v>-639.37000000000012</v>
      </c>
      <c r="AP83" s="8">
        <f>IFERROR(INDEX([1]SuSa_2024!BT:BT,MATCH($B83,[1]SuSa_2024!$B:$B,0)),"0")</f>
        <v>-639.37000000000012</v>
      </c>
      <c r="AQ83" s="8">
        <f>IFERROR(INDEX([1]SuSa_2024!BU:BU,MATCH($B83,[1]SuSa_2024!$B:$B,0)),"0")</f>
        <v>-639.37000000000012</v>
      </c>
      <c r="AR83" s="8">
        <f>IFERROR(INDEX([1]SuSa_2024!BV:BV,MATCH($B83,[1]SuSa_2024!$B:$B,0)),"0")</f>
        <v>-639.37000000000012</v>
      </c>
      <c r="AS83" s="8">
        <f>IFERROR(INDEX([1]SuSa_2024!BW:BW,MATCH($B83,[1]SuSa_2024!$B:$B,0)),"0")</f>
        <v>-639.37000000000012</v>
      </c>
      <c r="AT83" s="8">
        <f>IFERROR(INDEX([1]SuSa_2024!BX:BX,MATCH($B83,[1]SuSa_2024!$B:$B,0)),"0")</f>
        <v>-639.37000000000012</v>
      </c>
      <c r="AU83" s="8">
        <f>IFERROR(INDEX([1]SuSa_2024!BY:BY,MATCH($B83,[1]SuSa_2024!$B:$B,0)),"0")</f>
        <v>-2498.12</v>
      </c>
      <c r="AV83" s="8">
        <f>IFERROR(INDEX([1]SuSa_2025!AR:AR,MATCH($B83,[1]SuSa_2025!$B:$B,0)),"0")</f>
        <v>0</v>
      </c>
      <c r="AW83" s="8">
        <f>IFERROR(INDEX([1]SuSa_2025!AS:AS,MATCH($B83,[1]SuSa_2025!$B:$B,0)),"0")</f>
        <v>-3.18</v>
      </c>
      <c r="AX83" s="8">
        <f>IFERROR(INDEX([1]SuSa_2025!AT:AT,MATCH($B83,[1]SuSa_2025!$B:$B,0)),"0")</f>
        <v>-10.47</v>
      </c>
      <c r="AY83" s="8">
        <f>IFERROR(INDEX([1]SuSa_2025!AU:AU,MATCH($B83,[1]SuSa_2025!$B:$B,0)),"0")</f>
        <v>-34.39</v>
      </c>
      <c r="AZ83" s="8">
        <f>IFERROR(INDEX([1]SuSa_2025!AV:AV,MATCH($B83,[1]SuSa_2025!$B:$B,0)),"0")</f>
        <v>-34.39</v>
      </c>
      <c r="BA83" s="8">
        <f>IFERROR(INDEX([1]SuSa_2025!AW:AW,MATCH($B83,[1]SuSa_2025!$B:$B,0)),"0")</f>
        <v>-324.82</v>
      </c>
      <c r="BB83" s="8">
        <f>IFERROR(INDEX([1]SuSa_2025!AX:AX,MATCH($B83,[1]SuSa_2025!$B:$B,0)),"0")</f>
        <v>-332.12</v>
      </c>
    </row>
    <row r="84" spans="1:55" outlineLevel="1" collapsed="1" x14ac:dyDescent="0.25">
      <c r="A84" s="5" t="s">
        <v>295</v>
      </c>
      <c r="B84" s="6" t="s">
        <v>296</v>
      </c>
      <c r="C84" t="s">
        <v>297</v>
      </c>
      <c r="F84" s="7">
        <f t="shared" si="5"/>
        <v>-324887.02</v>
      </c>
      <c r="G84" s="7">
        <f t="shared" si="6"/>
        <v>-935334.58</v>
      </c>
      <c r="H84" s="7">
        <f t="shared" si="7"/>
        <v>-390932.54000000004</v>
      </c>
      <c r="I84" s="7">
        <f t="shared" si="8"/>
        <v>-212303.66000000003</v>
      </c>
      <c r="K84" s="8">
        <f t="shared" si="9"/>
        <v>-267252.94</v>
      </c>
      <c r="L84" s="8">
        <v>-23044.400000000001</v>
      </c>
      <c r="M84" s="8">
        <v>-34368.68</v>
      </c>
      <c r="N84" s="8">
        <v>-83985.66</v>
      </c>
      <c r="O84" s="8">
        <v>-108175.38</v>
      </c>
      <c r="P84" s="8">
        <v>-127827.81</v>
      </c>
      <c r="Q84" s="8">
        <v>-161299.31</v>
      </c>
      <c r="R84" s="8">
        <v>-174510.46</v>
      </c>
      <c r="S84" s="8">
        <v>-190946.86</v>
      </c>
      <c r="T84" s="8">
        <v>-215869.86</v>
      </c>
      <c r="U84" s="8">
        <v>-226660.56</v>
      </c>
      <c r="V84" s="8">
        <v>-262151.3</v>
      </c>
      <c r="W84" s="8">
        <v>-324887.02</v>
      </c>
      <c r="X84" s="8">
        <v>-19495.490000000002</v>
      </c>
      <c r="Y84" s="8">
        <v>-39830.300000000003</v>
      </c>
      <c r="Z84" s="8">
        <v>-122710.74</v>
      </c>
      <c r="AA84" s="8">
        <v>-211424.55</v>
      </c>
      <c r="AB84" s="8">
        <v>-286799.35999999999</v>
      </c>
      <c r="AC84" s="8">
        <v>-362391.8</v>
      </c>
      <c r="AD84" s="8">
        <v>-431183.06</v>
      </c>
      <c r="AE84" s="8">
        <v>-531216.86</v>
      </c>
      <c r="AF84" s="8">
        <v>-646535.93999999994</v>
      </c>
      <c r="AG84" s="8">
        <v>-767025.57</v>
      </c>
      <c r="AH84" s="8">
        <v>-846738.62</v>
      </c>
      <c r="AI84" s="8">
        <v>-935334.58</v>
      </c>
      <c r="AJ84" s="8">
        <f>IFERROR(INDEX([1]SuSa_2024!BN:BN,MATCH($B84,[1]SuSa_2024!$B:$B,0)),"0")</f>
        <v>-62969.5</v>
      </c>
      <c r="AK84" s="8">
        <f>IFERROR(INDEX([1]SuSa_2024!BO:BO,MATCH($B84,[1]SuSa_2024!$B:$B,0)),"0")</f>
        <v>-92192.07</v>
      </c>
      <c r="AL84" s="8">
        <f>IFERROR(INDEX([1]SuSa_2024!BP:BP,MATCH($B84,[1]SuSa_2024!$B:$B,0)),"0")</f>
        <v>-156504.37</v>
      </c>
      <c r="AM84" s="8">
        <f>IFERROR(INDEX([1]SuSa_2024!BQ:BQ,MATCH($B84,[1]SuSa_2024!$B:$B,0)),"0")</f>
        <v>-189910.76</v>
      </c>
      <c r="AN84" s="8">
        <f>IFERROR(INDEX([1]SuSa_2024!BR:BR,MATCH($B84,[1]SuSa_2024!$B:$B,0)),"0")</f>
        <v>-228736.79</v>
      </c>
      <c r="AO84" s="8">
        <f>IFERROR(INDEX([1]SuSa_2024!BS:BS,MATCH($B84,[1]SuSa_2024!$B:$B,0)),"0")</f>
        <v>-261944.35</v>
      </c>
      <c r="AP84" s="8">
        <f>IFERROR(INDEX([1]SuSa_2024!BT:BT,MATCH($B84,[1]SuSa_2024!$B:$B,0)),"0")</f>
        <v>-267252.94</v>
      </c>
      <c r="AQ84" s="8">
        <f>IFERROR(INDEX([1]SuSa_2024!BU:BU,MATCH($B84,[1]SuSa_2024!$B:$B,0)),"0")</f>
        <v>-288917.71000000002</v>
      </c>
      <c r="AR84" s="8">
        <f>IFERROR(INDEX([1]SuSa_2024!BV:BV,MATCH($B84,[1]SuSa_2024!$B:$B,0)),"0")</f>
        <v>-309984.29000000004</v>
      </c>
      <c r="AS84" s="8">
        <f>IFERROR(INDEX([1]SuSa_2024!BW:BW,MATCH($B84,[1]SuSa_2024!$B:$B,0)),"0")</f>
        <v>-341033.86000000004</v>
      </c>
      <c r="AT84" s="8">
        <f>IFERROR(INDEX([1]SuSa_2024!BX:BX,MATCH($B84,[1]SuSa_2024!$B:$B,0)),"0")</f>
        <v>-358703.55000000005</v>
      </c>
      <c r="AU84" s="8">
        <f>IFERROR(INDEX([1]SuSa_2024!BY:BY,MATCH($B84,[1]SuSa_2024!$B:$B,0)),"0")</f>
        <v>-390932.54000000004</v>
      </c>
      <c r="AV84" s="8">
        <f>IFERROR(INDEX([1]SuSa_2025!AR:AR,MATCH($B84,[1]SuSa_2025!$B:$B,0)),"0")</f>
        <v>-37100.660000000003</v>
      </c>
      <c r="AW84" s="8">
        <f>IFERROR(INDEX([1]SuSa_2025!AS:AS,MATCH($B84,[1]SuSa_2025!$B:$B,0)),"0")</f>
        <v>-47780.480000000003</v>
      </c>
      <c r="AX84" s="8">
        <f>IFERROR(INDEX([1]SuSa_2025!AT:AT,MATCH($B84,[1]SuSa_2025!$B:$B,0)),"0")</f>
        <v>-68159.02</v>
      </c>
      <c r="AY84" s="8">
        <f>IFERROR(INDEX([1]SuSa_2025!AU:AU,MATCH($B84,[1]SuSa_2025!$B:$B,0)),"0")</f>
        <v>-100822.61</v>
      </c>
      <c r="AZ84" s="8">
        <f>IFERROR(INDEX([1]SuSa_2025!AV:AV,MATCH($B84,[1]SuSa_2025!$B:$B,0)),"0")</f>
        <v>-130187.07</v>
      </c>
      <c r="BA84" s="8">
        <f>IFERROR(INDEX([1]SuSa_2025!AW:AW,MATCH($B84,[1]SuSa_2025!$B:$B,0)),"0")</f>
        <v>-173412.11000000002</v>
      </c>
      <c r="BB84" s="8">
        <f>IFERROR(INDEX([1]SuSa_2025!AX:AX,MATCH($B84,[1]SuSa_2025!$B:$B,0)),"0")</f>
        <v>-212303.66000000003</v>
      </c>
    </row>
    <row r="85" spans="1:55" outlineLevel="1" collapsed="1" x14ac:dyDescent="0.25">
      <c r="A85" s="5" t="s">
        <v>298</v>
      </c>
      <c r="B85" s="6" t="s">
        <v>299</v>
      </c>
      <c r="C85" t="s">
        <v>300</v>
      </c>
      <c r="F85" s="7">
        <f t="shared" si="5"/>
        <v>0</v>
      </c>
      <c r="G85" s="7">
        <f t="shared" si="6"/>
        <v>436387.01</v>
      </c>
      <c r="H85" s="7">
        <f t="shared" si="7"/>
        <v>214052.96999999997</v>
      </c>
      <c r="I85" s="7">
        <f t="shared" si="8"/>
        <v>44410.45</v>
      </c>
      <c r="K85" s="8">
        <f t="shared" si="9"/>
        <v>143580.59999999998</v>
      </c>
      <c r="Y85" s="8">
        <v>-4089.07</v>
      </c>
      <c r="Z85" s="8">
        <v>-14237.56</v>
      </c>
      <c r="AA85" s="8">
        <v>-14237.56</v>
      </c>
      <c r="AB85" s="8">
        <v>29025.75</v>
      </c>
      <c r="AC85" s="8">
        <v>79649.63</v>
      </c>
      <c r="AD85" s="8">
        <v>138328.63</v>
      </c>
      <c r="AE85" s="8">
        <v>167651.89000000001</v>
      </c>
      <c r="AF85" s="8">
        <v>215450.66</v>
      </c>
      <c r="AG85" s="8">
        <v>280961.90000000002</v>
      </c>
      <c r="AH85" s="8">
        <v>376161.85</v>
      </c>
      <c r="AI85" s="8">
        <v>436387.01</v>
      </c>
      <c r="AJ85" s="8">
        <f>IFERROR(INDEX([1]SuSa_2024!BN:BN,MATCH($B85,[1]SuSa_2024!$B:$B,0)),"0")</f>
        <v>0</v>
      </c>
      <c r="AK85" s="8">
        <f>IFERROR(INDEX([1]SuSa_2024!BO:BO,MATCH($B85,[1]SuSa_2024!$B:$B,0)),"0")</f>
        <v>0</v>
      </c>
      <c r="AL85" s="8">
        <f>IFERROR(INDEX([1]SuSa_2024!BP:BP,MATCH($B85,[1]SuSa_2024!$B:$B,0)),"0")</f>
        <v>28334.3</v>
      </c>
      <c r="AM85" s="8">
        <f>IFERROR(INDEX([1]SuSa_2024!BQ:BQ,MATCH($B85,[1]SuSa_2024!$B:$B,0)),"0")</f>
        <v>47895.99</v>
      </c>
      <c r="AN85" s="8">
        <f>IFERROR(INDEX([1]SuSa_2024!BR:BR,MATCH($B85,[1]SuSa_2024!$B:$B,0)),"0")</f>
        <v>118018.79999999999</v>
      </c>
      <c r="AO85" s="8">
        <f>IFERROR(INDEX([1]SuSa_2024!BS:BS,MATCH($B85,[1]SuSa_2024!$B:$B,0)),"0")</f>
        <v>118018.79999999999</v>
      </c>
      <c r="AP85" s="8">
        <f>IFERROR(INDEX([1]SuSa_2024!BT:BT,MATCH($B85,[1]SuSa_2024!$B:$B,0)),"0")</f>
        <v>143580.59999999998</v>
      </c>
      <c r="AQ85" s="8">
        <f>IFERROR(INDEX([1]SuSa_2024!BU:BU,MATCH($B85,[1]SuSa_2024!$B:$B,0)),"0")</f>
        <v>170647.19999999998</v>
      </c>
      <c r="AR85" s="8">
        <f>IFERROR(INDEX([1]SuSa_2024!BV:BV,MATCH($B85,[1]SuSa_2024!$B:$B,0)),"0")</f>
        <v>170647.19999999998</v>
      </c>
      <c r="AS85" s="8">
        <f>IFERROR(INDEX([1]SuSa_2024!BW:BW,MATCH($B85,[1]SuSa_2024!$B:$B,0)),"0")</f>
        <v>172990.15</v>
      </c>
      <c r="AT85" s="8">
        <f>IFERROR(INDEX([1]SuSa_2024!BX:BX,MATCH($B85,[1]SuSa_2024!$B:$B,0)),"0")</f>
        <v>172752.38999999998</v>
      </c>
      <c r="AU85" s="8">
        <f>IFERROR(INDEX([1]SuSa_2024!BY:BY,MATCH($B85,[1]SuSa_2024!$B:$B,0)),"0")</f>
        <v>214052.96999999997</v>
      </c>
      <c r="AV85" s="8">
        <f>IFERROR(INDEX([1]SuSa_2025!AR:AR,MATCH($B85,[1]SuSa_2025!$B:$B,0)),"0")</f>
        <v>0</v>
      </c>
      <c r="AW85" s="8">
        <f>IFERROR(INDEX([1]SuSa_2025!AS:AS,MATCH($B85,[1]SuSa_2025!$B:$B,0)),"0")</f>
        <v>0</v>
      </c>
      <c r="AX85" s="8">
        <f>IFERROR(INDEX([1]SuSa_2025!AT:AT,MATCH($B85,[1]SuSa_2025!$B:$B,0)),"0")</f>
        <v>0</v>
      </c>
      <c r="AY85" s="8">
        <f>IFERROR(INDEX([1]SuSa_2025!AU:AU,MATCH($B85,[1]SuSa_2025!$B:$B,0)),"0")</f>
        <v>4655.53</v>
      </c>
      <c r="AZ85" s="8">
        <f>IFERROR(INDEX([1]SuSa_2025!AV:AV,MATCH($B85,[1]SuSa_2025!$B:$B,0)),"0")</f>
        <v>18222.12</v>
      </c>
      <c r="BA85" s="8">
        <f>IFERROR(INDEX([1]SuSa_2025!AW:AW,MATCH($B85,[1]SuSa_2025!$B:$B,0)),"0")</f>
        <v>44410.45</v>
      </c>
      <c r="BB85" s="8">
        <f>IFERROR(INDEX([1]SuSa_2025!AX:AX,MATCH($B85,[1]SuSa_2025!$B:$B,0)),"0")</f>
        <v>44410.45</v>
      </c>
    </row>
    <row r="86" spans="1:55" outlineLevel="1" collapsed="1" x14ac:dyDescent="0.25">
      <c r="A86" s="5" t="s">
        <v>301</v>
      </c>
      <c r="B86" s="6" t="s">
        <v>302</v>
      </c>
      <c r="C86" t="s">
        <v>303</v>
      </c>
      <c r="F86" s="7">
        <f t="shared" si="5"/>
        <v>31421.85</v>
      </c>
      <c r="G86" s="7">
        <f t="shared" si="6"/>
        <v>14807</v>
      </c>
      <c r="H86" s="7">
        <f t="shared" si="7"/>
        <v>48241</v>
      </c>
      <c r="I86" s="7">
        <f t="shared" si="8"/>
        <v>24044</v>
      </c>
      <c r="K86" s="8">
        <f t="shared" si="9"/>
        <v>48241</v>
      </c>
      <c r="N86" s="8">
        <v>21029</v>
      </c>
      <c r="O86" s="8">
        <v>21029</v>
      </c>
      <c r="P86" s="8">
        <v>21029</v>
      </c>
      <c r="Q86" s="8">
        <v>34280.720000000001</v>
      </c>
      <c r="R86" s="8">
        <v>34280.720000000001</v>
      </c>
      <c r="S86" s="8">
        <v>34280.720000000001</v>
      </c>
      <c r="T86" s="8">
        <v>34280.720000000001</v>
      </c>
      <c r="U86" s="8">
        <v>34280.720000000001</v>
      </c>
      <c r="V86" s="8">
        <v>34280.720000000001</v>
      </c>
      <c r="W86" s="8">
        <v>31421.85</v>
      </c>
      <c r="Y86" s="8">
        <v>14458</v>
      </c>
      <c r="Z86" s="8">
        <v>14458</v>
      </c>
      <c r="AA86" s="8">
        <v>14458</v>
      </c>
      <c r="AB86" s="8">
        <v>14458</v>
      </c>
      <c r="AC86" s="8">
        <v>14458</v>
      </c>
      <c r="AD86" s="8">
        <v>14458</v>
      </c>
      <c r="AE86" s="8">
        <v>14807</v>
      </c>
      <c r="AF86" s="8">
        <v>14807</v>
      </c>
      <c r="AG86" s="8">
        <v>14807</v>
      </c>
      <c r="AH86" s="8">
        <v>14807</v>
      </c>
      <c r="AI86" s="8">
        <v>14807</v>
      </c>
      <c r="AJ86" s="8">
        <f>IFERROR(INDEX([1]SuSa_2024!BN:BN,MATCH($B86,[1]SuSa_2024!$B:$B,0)),"0")</f>
        <v>0</v>
      </c>
      <c r="AK86" s="8">
        <f>IFERROR(INDEX([1]SuSa_2024!BO:BO,MATCH($B86,[1]SuSa_2024!$B:$B,0)),"0")</f>
        <v>46308</v>
      </c>
      <c r="AL86" s="8">
        <f>IFERROR(INDEX([1]SuSa_2024!BP:BP,MATCH($B86,[1]SuSa_2024!$B:$B,0)),"0")</f>
        <v>48241</v>
      </c>
      <c r="AM86" s="8">
        <f>IFERROR(INDEX([1]SuSa_2024!BQ:BQ,MATCH($B86,[1]SuSa_2024!$B:$B,0)),"0")</f>
        <v>48241</v>
      </c>
      <c r="AN86" s="8">
        <f>IFERROR(INDEX([1]SuSa_2024!BR:BR,MATCH($B86,[1]SuSa_2024!$B:$B,0)),"0")</f>
        <v>48241</v>
      </c>
      <c r="AO86" s="8">
        <f>IFERROR(INDEX([1]SuSa_2024!BS:BS,MATCH($B86,[1]SuSa_2024!$B:$B,0)),"0")</f>
        <v>48241</v>
      </c>
      <c r="AP86" s="8">
        <f>IFERROR(INDEX([1]SuSa_2024!BT:BT,MATCH($B86,[1]SuSa_2024!$B:$B,0)),"0")</f>
        <v>48241</v>
      </c>
      <c r="AQ86" s="8">
        <f>IFERROR(INDEX([1]SuSa_2024!BU:BU,MATCH($B86,[1]SuSa_2024!$B:$B,0)),"0")</f>
        <v>48241</v>
      </c>
      <c r="AR86" s="8">
        <f>IFERROR(INDEX([1]SuSa_2024!BV:BV,MATCH($B86,[1]SuSa_2024!$B:$B,0)),"0")</f>
        <v>48241</v>
      </c>
      <c r="AS86" s="8">
        <f>IFERROR(INDEX([1]SuSa_2024!BW:BW,MATCH($B86,[1]SuSa_2024!$B:$B,0)),"0")</f>
        <v>48241</v>
      </c>
      <c r="AT86" s="8">
        <f>IFERROR(INDEX([1]SuSa_2024!BX:BX,MATCH($B86,[1]SuSa_2024!$B:$B,0)),"0")</f>
        <v>48241</v>
      </c>
      <c r="AU86" s="8">
        <f>IFERROR(INDEX([1]SuSa_2024!BY:BY,MATCH($B86,[1]SuSa_2024!$B:$B,0)),"0")</f>
        <v>48241</v>
      </c>
      <c r="AV86" s="8">
        <f>IFERROR(INDEX([1]SuSa_2025!AR:AR,MATCH($B86,[1]SuSa_2025!$B:$B,0)),"0")</f>
        <v>0</v>
      </c>
      <c r="AW86" s="8">
        <f>IFERROR(INDEX([1]SuSa_2025!AS:AS,MATCH($B86,[1]SuSa_2025!$B:$B,0)),"0")</f>
        <v>0</v>
      </c>
      <c r="AX86" s="8">
        <f>IFERROR(INDEX([1]SuSa_2025!AT:AT,MATCH($B86,[1]SuSa_2025!$B:$B,0)),"0")</f>
        <v>0</v>
      </c>
      <c r="AY86" s="8">
        <f>IFERROR(INDEX([1]SuSa_2025!AU:AU,MATCH($B86,[1]SuSa_2025!$B:$B,0)),"0")</f>
        <v>23844</v>
      </c>
      <c r="AZ86" s="8">
        <f>IFERROR(INDEX([1]SuSa_2025!AV:AV,MATCH($B86,[1]SuSa_2025!$B:$B,0)),"0")</f>
        <v>24044</v>
      </c>
      <c r="BA86" s="8">
        <f>IFERROR(INDEX([1]SuSa_2025!AW:AW,MATCH($B86,[1]SuSa_2025!$B:$B,0)),"0")</f>
        <v>24044</v>
      </c>
      <c r="BB86" s="8">
        <f>IFERROR(INDEX([1]SuSa_2025!AX:AX,MATCH($B86,[1]SuSa_2025!$B:$B,0)),"0")</f>
        <v>24044</v>
      </c>
    </row>
    <row r="87" spans="1:55" outlineLevel="1" collapsed="1" x14ac:dyDescent="0.25">
      <c r="A87" s="5" t="s">
        <v>304</v>
      </c>
      <c r="B87" s="6" t="s">
        <v>305</v>
      </c>
      <c r="C87" t="s">
        <v>306</v>
      </c>
      <c r="F87" s="7">
        <f t="shared" si="5"/>
        <v>-114233.48</v>
      </c>
      <c r="G87" s="7">
        <f t="shared" si="6"/>
        <v>-130821.89</v>
      </c>
      <c r="H87" s="7">
        <f t="shared" si="7"/>
        <v>-69606.820000000007</v>
      </c>
      <c r="I87" s="7">
        <f t="shared" si="8"/>
        <v>-8952.56</v>
      </c>
      <c r="K87" s="8">
        <f t="shared" si="9"/>
        <v>-32496.109999999997</v>
      </c>
      <c r="L87" s="8">
        <v>-8353.11</v>
      </c>
      <c r="M87" s="8">
        <v>-11866.65</v>
      </c>
      <c r="N87" s="8">
        <v>-17004.95</v>
      </c>
      <c r="O87" s="8">
        <v>-26220.07</v>
      </c>
      <c r="P87" s="8">
        <v>-30747.59</v>
      </c>
      <c r="Q87" s="8">
        <v>-35880.65</v>
      </c>
      <c r="R87" s="8">
        <v>-48187.18</v>
      </c>
      <c r="S87" s="8">
        <v>-51753.16</v>
      </c>
      <c r="T87" s="8">
        <v>-101976.29</v>
      </c>
      <c r="U87" s="8">
        <v>-104570.86</v>
      </c>
      <c r="V87" s="8">
        <v>-109656.5</v>
      </c>
      <c r="W87" s="8">
        <v>-114233.48</v>
      </c>
      <c r="X87" s="8">
        <v>-16523.580000000002</v>
      </c>
      <c r="Y87" s="8">
        <v>-43871.4</v>
      </c>
      <c r="Z87" s="8">
        <v>-47723.8</v>
      </c>
      <c r="AA87" s="8">
        <v>-54349.24</v>
      </c>
      <c r="AB87" s="8">
        <v>-57346.29</v>
      </c>
      <c r="AC87" s="8">
        <v>-84325.85</v>
      </c>
      <c r="AD87" s="8">
        <v>-95183.25</v>
      </c>
      <c r="AE87" s="8">
        <v>-105322.28</v>
      </c>
      <c r="AF87" s="8">
        <v>-109671.22</v>
      </c>
      <c r="AG87" s="8">
        <v>-114610.98</v>
      </c>
      <c r="AH87" s="8">
        <v>-119749.52</v>
      </c>
      <c r="AI87" s="8">
        <v>-130821.89</v>
      </c>
      <c r="AJ87" s="8">
        <f>IFERROR(INDEX([1]SuSa_2024!BN:BN,MATCH($B87,[1]SuSa_2024!$B:$B,0)),"0")</f>
        <v>-14061.55</v>
      </c>
      <c r="AK87" s="8">
        <f>IFERROR(INDEX([1]SuSa_2024!BO:BO,MATCH($B87,[1]SuSa_2024!$B:$B,0)),"0")</f>
        <v>-16140.64</v>
      </c>
      <c r="AL87" s="8">
        <f>IFERROR(INDEX([1]SuSa_2024!BP:BP,MATCH($B87,[1]SuSa_2024!$B:$B,0)),"0")</f>
        <v>-18708.96</v>
      </c>
      <c r="AM87" s="8">
        <f>IFERROR(INDEX([1]SuSa_2024!BQ:BQ,MATCH($B87,[1]SuSa_2024!$B:$B,0)),"0")</f>
        <v>-23867.07</v>
      </c>
      <c r="AN87" s="8">
        <f>IFERROR(INDEX([1]SuSa_2024!BR:BR,MATCH($B87,[1]SuSa_2024!$B:$B,0)),"0")</f>
        <v>-28819.94</v>
      </c>
      <c r="AO87" s="8">
        <f>IFERROR(INDEX([1]SuSa_2024!BS:BS,MATCH($B87,[1]SuSa_2024!$B:$B,0)),"0")</f>
        <v>-31416.51</v>
      </c>
      <c r="AP87" s="8">
        <f>IFERROR(INDEX([1]SuSa_2024!BT:BT,MATCH($B87,[1]SuSa_2024!$B:$B,0)),"0")</f>
        <v>-32496.109999999997</v>
      </c>
      <c r="AQ87" s="8">
        <f>IFERROR(INDEX([1]SuSa_2024!BU:BU,MATCH($B87,[1]SuSa_2024!$B:$B,0)),"0")</f>
        <v>-32366.17</v>
      </c>
      <c r="AR87" s="8">
        <f>IFERROR(INDEX([1]SuSa_2024!BV:BV,MATCH($B87,[1]SuSa_2024!$B:$B,0)),"0")</f>
        <v>-32575.919999999998</v>
      </c>
      <c r="AS87" s="8">
        <f>IFERROR(INDEX([1]SuSa_2024!BW:BW,MATCH($B87,[1]SuSa_2024!$B:$B,0)),"0")</f>
        <v>-32924.339999999997</v>
      </c>
      <c r="AT87" s="8">
        <f>IFERROR(INDEX([1]SuSa_2024!BX:BX,MATCH($B87,[1]SuSa_2024!$B:$B,0)),"0")</f>
        <v>-32924.339999999997</v>
      </c>
      <c r="AU87" s="8">
        <f>IFERROR(INDEX([1]SuSa_2024!BY:BY,MATCH($B87,[1]SuSa_2024!$B:$B,0)),"0")</f>
        <v>-69606.820000000007</v>
      </c>
      <c r="AV87" s="8">
        <f>IFERROR(INDEX([1]SuSa_2025!AR:AR,MATCH($B87,[1]SuSa_2025!$B:$B,0)),"0")</f>
        <v>-398.68</v>
      </c>
      <c r="AW87" s="8">
        <f>IFERROR(INDEX([1]SuSa_2025!AS:AS,MATCH($B87,[1]SuSa_2025!$B:$B,0)),"0")</f>
        <v>-836.40000000000009</v>
      </c>
      <c r="AX87" s="8">
        <f>IFERROR(INDEX([1]SuSa_2025!AT:AT,MATCH($B87,[1]SuSa_2025!$B:$B,0)),"0")</f>
        <v>-5131.9600000000009</v>
      </c>
      <c r="AY87" s="8">
        <f>IFERROR(INDEX([1]SuSa_2025!AU:AU,MATCH($B87,[1]SuSa_2025!$B:$B,0)),"0")</f>
        <v>-6180.4600000000009</v>
      </c>
      <c r="AZ87" s="8">
        <f>IFERROR(INDEX([1]SuSa_2025!AV:AV,MATCH($B87,[1]SuSa_2025!$B:$B,0)),"0")</f>
        <v>-6819.8200000000006</v>
      </c>
      <c r="BA87" s="8">
        <f>IFERROR(INDEX([1]SuSa_2025!AW:AW,MATCH($B87,[1]SuSa_2025!$B:$B,0)),"0")</f>
        <v>-8391.58</v>
      </c>
      <c r="BB87" s="8">
        <f>IFERROR(INDEX([1]SuSa_2025!AX:AX,MATCH($B87,[1]SuSa_2025!$B:$B,0)),"0")</f>
        <v>-8952.56</v>
      </c>
    </row>
    <row r="88" spans="1:55" outlineLevel="1" collapsed="1" x14ac:dyDescent="0.25">
      <c r="A88" s="5" t="s">
        <v>307</v>
      </c>
      <c r="B88" s="6" t="s">
        <v>308</v>
      </c>
      <c r="C88" t="s">
        <v>309</v>
      </c>
      <c r="F88" s="7">
        <f t="shared" si="5"/>
        <v>99158.42</v>
      </c>
      <c r="G88" s="7">
        <f t="shared" si="6"/>
        <v>0</v>
      </c>
      <c r="H88" s="7">
        <f t="shared" si="7"/>
        <v>-41300.58</v>
      </c>
      <c r="I88" s="7">
        <f t="shared" si="8"/>
        <v>0</v>
      </c>
      <c r="K88" s="8">
        <f t="shared" si="9"/>
        <v>0</v>
      </c>
      <c r="N88" s="8">
        <v>14957.77</v>
      </c>
      <c r="O88" s="8">
        <v>15482.78</v>
      </c>
      <c r="P88" s="8">
        <v>57223.8</v>
      </c>
      <c r="Q88" s="8">
        <v>57223.8</v>
      </c>
      <c r="R88" s="8">
        <v>67289.22</v>
      </c>
      <c r="S88" s="8">
        <v>86476.43</v>
      </c>
      <c r="T88" s="8">
        <v>86476.43</v>
      </c>
      <c r="U88" s="8">
        <v>90531.53</v>
      </c>
      <c r="V88" s="8">
        <v>99158.42</v>
      </c>
      <c r="W88" s="8">
        <v>99158.42</v>
      </c>
      <c r="AJ88" s="8">
        <f>IFERROR(INDEX([1]SuSa_2024!BN:BN,MATCH($B88,[1]SuSa_2024!$B:$B,0)),"0")</f>
        <v>0</v>
      </c>
      <c r="AK88" s="8">
        <f>IFERROR(INDEX([1]SuSa_2024!BO:BO,MATCH($B88,[1]SuSa_2024!$B:$B,0)),"0")</f>
        <v>0</v>
      </c>
      <c r="AL88" s="8">
        <f>IFERROR(INDEX([1]SuSa_2024!BP:BP,MATCH($B88,[1]SuSa_2024!$B:$B,0)),"0")</f>
        <v>0</v>
      </c>
      <c r="AM88" s="8">
        <f>IFERROR(INDEX([1]SuSa_2024!BQ:BQ,MATCH($B88,[1]SuSa_2024!$B:$B,0)),"0")</f>
        <v>0</v>
      </c>
      <c r="AN88" s="8">
        <f>IFERROR(INDEX([1]SuSa_2024!BR:BR,MATCH($B88,[1]SuSa_2024!$B:$B,0)),"0")</f>
        <v>0</v>
      </c>
      <c r="AO88" s="8">
        <f>IFERROR(INDEX([1]SuSa_2024!BS:BS,MATCH($B88,[1]SuSa_2024!$B:$B,0)),"0")</f>
        <v>0</v>
      </c>
      <c r="AP88" s="8">
        <f>IFERROR(INDEX([1]SuSa_2024!BT:BT,MATCH($B88,[1]SuSa_2024!$B:$B,0)),"0")</f>
        <v>0</v>
      </c>
      <c r="AQ88" s="8">
        <f>IFERROR(INDEX([1]SuSa_2024!BU:BU,MATCH($B88,[1]SuSa_2024!$B:$B,0)),"0")</f>
        <v>0</v>
      </c>
      <c r="AR88" s="8">
        <f>IFERROR(INDEX([1]SuSa_2024!BV:BV,MATCH($B88,[1]SuSa_2024!$B:$B,0)),"0")</f>
        <v>0</v>
      </c>
      <c r="AS88" s="8">
        <f>IFERROR(INDEX([1]SuSa_2024!BW:BW,MATCH($B88,[1]SuSa_2024!$B:$B,0)),"0")</f>
        <v>0</v>
      </c>
      <c r="AT88" s="8">
        <f>IFERROR(INDEX([1]SuSa_2024!BX:BX,MATCH($B88,[1]SuSa_2024!$B:$B,0)),"0")</f>
        <v>0</v>
      </c>
      <c r="AU88" s="8">
        <f>IFERROR(INDEX([1]SuSa_2024!BY:BY,MATCH($B88,[1]SuSa_2024!$B:$B,0)),"0")</f>
        <v>-41300.58</v>
      </c>
      <c r="AV88" s="8">
        <f>IFERROR(INDEX([1]SuSa_2025!AR:AR,MATCH($B88,[1]SuSa_2025!$B:$B,0)),"0")</f>
        <v>0</v>
      </c>
      <c r="AW88" s="8">
        <f>IFERROR(INDEX([1]SuSa_2025!AS:AS,MATCH($B88,[1]SuSa_2025!$B:$B,0)),"0")</f>
        <v>0</v>
      </c>
      <c r="AX88" s="8">
        <f>IFERROR(INDEX([1]SuSa_2025!AT:AT,MATCH($B88,[1]SuSa_2025!$B:$B,0)),"0")</f>
        <v>0</v>
      </c>
      <c r="AY88" s="8">
        <f>IFERROR(INDEX([1]SuSa_2025!AU:AU,MATCH($B88,[1]SuSa_2025!$B:$B,0)),"0")</f>
        <v>0</v>
      </c>
      <c r="AZ88" s="8">
        <f>IFERROR(INDEX([1]SuSa_2025!AV:AV,MATCH($B88,[1]SuSa_2025!$B:$B,0)),"0")</f>
        <v>0</v>
      </c>
      <c r="BA88" s="8">
        <f>IFERROR(INDEX([1]SuSa_2025!AW:AW,MATCH($B88,[1]SuSa_2025!$B:$B,0)),"0")</f>
        <v>0</v>
      </c>
      <c r="BB88" s="8">
        <f>IFERROR(INDEX([1]SuSa_2025!AX:AX,MATCH($B88,[1]SuSa_2025!$B:$B,0)),"0")</f>
        <v>0</v>
      </c>
    </row>
    <row r="89" spans="1:55" outlineLevel="1" collapsed="1" x14ac:dyDescent="0.25">
      <c r="A89" s="5" t="s">
        <v>310</v>
      </c>
      <c r="B89" s="6" t="s">
        <v>311</v>
      </c>
      <c r="C89" t="s">
        <v>312</v>
      </c>
      <c r="F89" s="7">
        <f t="shared" si="5"/>
        <v>0</v>
      </c>
      <c r="G89" s="7">
        <f t="shared" si="6"/>
        <v>0</v>
      </c>
      <c r="H89" s="7">
        <f t="shared" si="7"/>
        <v>21268.099999999995</v>
      </c>
      <c r="I89" s="7" t="str">
        <f t="shared" si="8"/>
        <v>0</v>
      </c>
      <c r="K89" s="8">
        <f t="shared" si="9"/>
        <v>21268.099999999995</v>
      </c>
      <c r="L89" s="8">
        <v>7202.32</v>
      </c>
      <c r="M89" s="8">
        <v>19444.57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-10714.6</v>
      </c>
      <c r="Y89" s="8">
        <v>-0.1</v>
      </c>
      <c r="Z89" s="8">
        <v>0</v>
      </c>
      <c r="AA89" s="8">
        <v>0</v>
      </c>
      <c r="AB89" s="8">
        <v>0</v>
      </c>
      <c r="AC89" s="8">
        <v>0</v>
      </c>
      <c r="AD89" s="8">
        <v>2318.92</v>
      </c>
      <c r="AE89" s="8">
        <v>-705.7</v>
      </c>
      <c r="AF89" s="8">
        <v>-705.7</v>
      </c>
      <c r="AG89" s="8">
        <v>-705.7</v>
      </c>
      <c r="AH89" s="8">
        <v>-705.7</v>
      </c>
      <c r="AI89" s="8">
        <v>0</v>
      </c>
      <c r="AJ89" s="8">
        <f>IFERROR(INDEX([1]SuSa_2024!BN:BN,MATCH($B89,[1]SuSa_2024!$B:$B,0)),"0")</f>
        <v>11783.439999999995</v>
      </c>
      <c r="AK89" s="8">
        <f>IFERROR(INDEX([1]SuSa_2024!BO:BO,MATCH($B89,[1]SuSa_2024!$B:$B,0)),"0")</f>
        <v>21268.099999999995</v>
      </c>
      <c r="AL89" s="8">
        <f>IFERROR(INDEX([1]SuSa_2024!BP:BP,MATCH($B89,[1]SuSa_2024!$B:$B,0)),"0")</f>
        <v>21268.099999999995</v>
      </c>
      <c r="AM89" s="8">
        <f>IFERROR(INDEX([1]SuSa_2024!BQ:BQ,MATCH($B89,[1]SuSa_2024!$B:$B,0)),"0")</f>
        <v>21268.099999999995</v>
      </c>
      <c r="AN89" s="8">
        <f>IFERROR(INDEX([1]SuSa_2024!BR:BR,MATCH($B89,[1]SuSa_2024!$B:$B,0)),"0")</f>
        <v>21268.099999999995</v>
      </c>
      <c r="AO89" s="8">
        <f>IFERROR(INDEX([1]SuSa_2024!BS:BS,MATCH($B89,[1]SuSa_2024!$B:$B,0)),"0")</f>
        <v>21268.099999999995</v>
      </c>
      <c r="AP89" s="8">
        <f>IFERROR(INDEX([1]SuSa_2024!BT:BT,MATCH($B89,[1]SuSa_2024!$B:$B,0)),"0")</f>
        <v>21268.099999999995</v>
      </c>
      <c r="AQ89" s="8">
        <f>IFERROR(INDEX([1]SuSa_2024!BU:BU,MATCH($B89,[1]SuSa_2024!$B:$B,0)),"0")</f>
        <v>21268.099999999995</v>
      </c>
      <c r="AR89" s="8">
        <f>IFERROR(INDEX([1]SuSa_2024!BV:BV,MATCH($B89,[1]SuSa_2024!$B:$B,0)),"0")</f>
        <v>21268.099999999995</v>
      </c>
      <c r="AS89" s="8">
        <f>IFERROR(INDEX([1]SuSa_2024!BW:BW,MATCH($B89,[1]SuSa_2024!$B:$B,0)),"0")</f>
        <v>21268.099999999995</v>
      </c>
      <c r="AT89" s="8">
        <f>IFERROR(INDEX([1]SuSa_2024!BX:BX,MATCH($B89,[1]SuSa_2024!$B:$B,0)),"0")</f>
        <v>21268.099999999995</v>
      </c>
      <c r="AU89" s="8">
        <f>IFERROR(INDEX([1]SuSa_2024!BY:BY,MATCH($B89,[1]SuSa_2024!$B:$B,0)),"0")</f>
        <v>21268.099999999995</v>
      </c>
      <c r="AV89" s="8" t="str">
        <f>IFERROR(INDEX([1]SuSa_2025!AR:AR,MATCH($B89,[1]SuSa_2025!$B:$B,0)),"0")</f>
        <v>0</v>
      </c>
      <c r="AW89" s="8" t="str">
        <f>IFERROR(INDEX([1]SuSa_2025!AS:AS,MATCH($B89,[1]SuSa_2025!$B:$B,0)),"0")</f>
        <v>0</v>
      </c>
      <c r="AX89" s="8" t="str">
        <f>IFERROR(INDEX([1]SuSa_2025!AT:AT,MATCH($B89,[1]SuSa_2025!$B:$B,0)),"0")</f>
        <v>0</v>
      </c>
      <c r="AY89" s="8" t="str">
        <f>IFERROR(INDEX([1]SuSa_2025!AU:AU,MATCH($B89,[1]SuSa_2025!$B:$B,0)),"0")</f>
        <v>0</v>
      </c>
      <c r="AZ89" s="8" t="str">
        <f>IFERROR(INDEX([1]SuSa_2025!AV:AV,MATCH($B89,[1]SuSa_2025!$B:$B,0)),"0")</f>
        <v>0</v>
      </c>
      <c r="BA89" s="8" t="str">
        <f>IFERROR(INDEX([1]SuSa_2025!AW:AW,MATCH($B89,[1]SuSa_2025!$B:$B,0)),"0")</f>
        <v>0</v>
      </c>
      <c r="BB89" s="8" t="str">
        <f>IFERROR(INDEX([1]SuSa_2025!AX:AX,MATCH($B89,[1]SuSa_2025!$B:$B,0)),"0")</f>
        <v>0</v>
      </c>
    </row>
    <row r="90" spans="1:55" outlineLevel="1" collapsed="1" x14ac:dyDescent="0.25">
      <c r="A90" s="5" t="s">
        <v>310</v>
      </c>
      <c r="B90" s="6" t="s">
        <v>313</v>
      </c>
      <c r="C90" t="s">
        <v>314</v>
      </c>
      <c r="F90" s="7">
        <f t="shared" si="5"/>
        <v>0</v>
      </c>
      <c r="G90" s="7">
        <f t="shared" si="6"/>
        <v>0</v>
      </c>
      <c r="H90" s="7" t="str">
        <f t="shared" si="7"/>
        <v>0</v>
      </c>
      <c r="I90" s="7">
        <f t="shared" si="8"/>
        <v>12969.039999999997</v>
      </c>
      <c r="K90" s="8" t="str">
        <f t="shared" si="9"/>
        <v>0</v>
      </c>
      <c r="AJ90" s="8" t="str">
        <f>IFERROR(INDEX([1]SuSa_2024!BN:BN,MATCH($B90,[1]SuSa_2024!$B:$B,0)),"0")</f>
        <v>0</v>
      </c>
      <c r="AK90" s="8" t="str">
        <f>IFERROR(INDEX([1]SuSa_2024!BO:BO,MATCH($B90,[1]SuSa_2024!$B:$B,0)),"0")</f>
        <v>0</v>
      </c>
      <c r="AL90" s="8" t="str">
        <f>IFERROR(INDEX([1]SuSa_2024!BP:BP,MATCH($B90,[1]SuSa_2024!$B:$B,0)),"0")</f>
        <v>0</v>
      </c>
      <c r="AM90" s="8" t="str">
        <f>IFERROR(INDEX([1]SuSa_2024!BQ:BQ,MATCH($B90,[1]SuSa_2024!$B:$B,0)),"0")</f>
        <v>0</v>
      </c>
      <c r="AN90" s="8" t="str">
        <f>IFERROR(INDEX([1]SuSa_2024!BR:BR,MATCH($B90,[1]SuSa_2024!$B:$B,0)),"0")</f>
        <v>0</v>
      </c>
      <c r="AO90" s="8" t="str">
        <f>IFERROR(INDEX([1]SuSa_2024!BS:BS,MATCH($B90,[1]SuSa_2024!$B:$B,0)),"0")</f>
        <v>0</v>
      </c>
      <c r="AP90" s="8" t="str">
        <f>IFERROR(INDEX([1]SuSa_2024!BT:BT,MATCH($B90,[1]SuSa_2024!$B:$B,0)),"0")</f>
        <v>0</v>
      </c>
      <c r="AQ90" s="8" t="str">
        <f>IFERROR(INDEX([1]SuSa_2024!BU:BU,MATCH($B90,[1]SuSa_2024!$B:$B,0)),"0")</f>
        <v>0</v>
      </c>
      <c r="AR90" s="8" t="str">
        <f>IFERROR(INDEX([1]SuSa_2024!BV:BV,MATCH($B90,[1]SuSa_2024!$B:$B,0)),"0")</f>
        <v>0</v>
      </c>
      <c r="AS90" s="8" t="str">
        <f>IFERROR(INDEX([1]SuSa_2024!BW:BW,MATCH($B90,[1]SuSa_2024!$B:$B,0)),"0")</f>
        <v>0</v>
      </c>
      <c r="AT90" s="8" t="str">
        <f>IFERROR(INDEX([1]SuSa_2024!BX:BX,MATCH($B90,[1]SuSa_2024!$B:$B,0)),"0")</f>
        <v>0</v>
      </c>
      <c r="AU90" s="8" t="str">
        <f>IFERROR(INDEX([1]SuSa_2024!BY:BY,MATCH($B90,[1]SuSa_2024!$B:$B,0)),"0")</f>
        <v>0</v>
      </c>
      <c r="AV90" s="8">
        <f>IFERROR(INDEX([1]SuSa_2025!AR:AR,MATCH($B90,[1]SuSa_2025!$B:$B,0)),"0")</f>
        <v>37134.839999999997</v>
      </c>
      <c r="AW90" s="8">
        <f>IFERROR(INDEX([1]SuSa_2025!AS:AS,MATCH($B90,[1]SuSa_2025!$B:$B,0)),"0")</f>
        <v>37134.839999999997</v>
      </c>
      <c r="AX90" s="8">
        <f>IFERROR(INDEX([1]SuSa_2025!AT:AT,MATCH($B90,[1]SuSa_2025!$B:$B,0)),"0")</f>
        <v>37134.839999999997</v>
      </c>
      <c r="AY90" s="8">
        <f>IFERROR(INDEX([1]SuSa_2025!AU:AU,MATCH($B90,[1]SuSa_2025!$B:$B,0)),"0")</f>
        <v>39894.67</v>
      </c>
      <c r="AZ90" s="8">
        <f>IFERROR(INDEX([1]SuSa_2025!AV:AV,MATCH($B90,[1]SuSa_2025!$B:$B,0)),"0")</f>
        <v>12969.039999999997</v>
      </c>
      <c r="BA90" s="8">
        <f>IFERROR(INDEX([1]SuSa_2025!AW:AW,MATCH($B90,[1]SuSa_2025!$B:$B,0)),"0")</f>
        <v>12969.039999999997</v>
      </c>
      <c r="BB90" s="8">
        <f>IFERROR(INDEX([1]SuSa_2025!AX:AX,MATCH($B90,[1]SuSa_2025!$B:$B,0)),"0")</f>
        <v>12969.039999999997</v>
      </c>
    </row>
    <row r="91" spans="1:55" outlineLevel="1" collapsed="1" x14ac:dyDescent="0.25">
      <c r="A91" s="5" t="s">
        <v>315</v>
      </c>
      <c r="B91" s="6" t="s">
        <v>316</v>
      </c>
      <c r="C91" t="s">
        <v>317</v>
      </c>
      <c r="F91" s="7">
        <f t="shared" si="5"/>
        <v>0</v>
      </c>
      <c r="G91" s="7">
        <f t="shared" si="6"/>
        <v>0</v>
      </c>
      <c r="H91" s="7">
        <f t="shared" si="7"/>
        <v>0</v>
      </c>
      <c r="I91" s="7" t="str">
        <f t="shared" si="8"/>
        <v>0</v>
      </c>
      <c r="K91" s="8">
        <f t="shared" si="9"/>
        <v>0</v>
      </c>
      <c r="Z91" s="8">
        <v>182.95</v>
      </c>
      <c r="AA91" s="8">
        <v>182.95</v>
      </c>
      <c r="AB91" s="8">
        <v>-441.8</v>
      </c>
      <c r="AC91" s="8">
        <v>-441.8</v>
      </c>
      <c r="AD91" s="8">
        <v>-441.8</v>
      </c>
      <c r="AE91" s="8">
        <v>-441.8</v>
      </c>
      <c r="AF91" s="8">
        <v>-441.8</v>
      </c>
      <c r="AG91" s="8">
        <v>-441.8</v>
      </c>
      <c r="AH91" s="8">
        <v>-441.8</v>
      </c>
      <c r="AI91" s="8">
        <v>0</v>
      </c>
      <c r="AJ91" s="8">
        <f>IFERROR(INDEX([1]SuSa_2024!BN:BN,MATCH($B91,[1]SuSa_2024!$B:$B,0)),"0")</f>
        <v>0</v>
      </c>
      <c r="AK91" s="8">
        <f>IFERROR(INDEX([1]SuSa_2024!BO:BO,MATCH($B91,[1]SuSa_2024!$B:$B,0)),"0")</f>
        <v>0</v>
      </c>
      <c r="AL91" s="8">
        <f>IFERROR(INDEX([1]SuSa_2024!BP:BP,MATCH($B91,[1]SuSa_2024!$B:$B,0)),"0")</f>
        <v>0</v>
      </c>
      <c r="AM91" s="8">
        <f>IFERROR(INDEX([1]SuSa_2024!BQ:BQ,MATCH($B91,[1]SuSa_2024!$B:$B,0)),"0")</f>
        <v>0</v>
      </c>
      <c r="AN91" s="8">
        <f>IFERROR(INDEX([1]SuSa_2024!BR:BR,MATCH($B91,[1]SuSa_2024!$B:$B,0)),"0")</f>
        <v>0</v>
      </c>
      <c r="AO91" s="8">
        <f>IFERROR(INDEX([1]SuSa_2024!BS:BS,MATCH($B91,[1]SuSa_2024!$B:$B,0)),"0")</f>
        <v>0</v>
      </c>
      <c r="AP91" s="8">
        <f>IFERROR(INDEX([1]SuSa_2024!BT:BT,MATCH($B91,[1]SuSa_2024!$B:$B,0)),"0")</f>
        <v>0</v>
      </c>
      <c r="AQ91" s="8">
        <f>IFERROR(INDEX([1]SuSa_2024!BU:BU,MATCH($B91,[1]SuSa_2024!$B:$B,0)),"0")</f>
        <v>0</v>
      </c>
      <c r="AR91" s="8">
        <f>IFERROR(INDEX([1]SuSa_2024!BV:BV,MATCH($B91,[1]SuSa_2024!$B:$B,0)),"0")</f>
        <v>1.62</v>
      </c>
      <c r="AS91" s="8">
        <f>IFERROR(INDEX([1]SuSa_2024!BW:BW,MATCH($B91,[1]SuSa_2024!$B:$B,0)),"0")</f>
        <v>1.62</v>
      </c>
      <c r="AT91" s="8">
        <f>IFERROR(INDEX([1]SuSa_2024!BX:BX,MATCH($B91,[1]SuSa_2024!$B:$B,0)),"0")</f>
        <v>1.62</v>
      </c>
      <c r="AU91" s="8">
        <f>IFERROR(INDEX([1]SuSa_2024!BY:BY,MATCH($B91,[1]SuSa_2024!$B:$B,0)),"0")</f>
        <v>0</v>
      </c>
      <c r="AV91" s="8" t="str">
        <f>IFERROR(INDEX([1]SuSa_2025!AR:AR,MATCH($B91,[1]SuSa_2025!$B:$B,0)),"0")</f>
        <v>0</v>
      </c>
      <c r="AW91" s="8" t="str">
        <f>IFERROR(INDEX([1]SuSa_2025!AS:AS,MATCH($B91,[1]SuSa_2025!$B:$B,0)),"0")</f>
        <v>0</v>
      </c>
      <c r="AX91" s="8" t="str">
        <f>IFERROR(INDEX([1]SuSa_2025!AT:AT,MATCH($B91,[1]SuSa_2025!$B:$B,0)),"0")</f>
        <v>0</v>
      </c>
      <c r="AY91" s="8" t="str">
        <f>IFERROR(INDEX([1]SuSa_2025!AU:AU,MATCH($B91,[1]SuSa_2025!$B:$B,0)),"0")</f>
        <v>0</v>
      </c>
      <c r="AZ91" s="8" t="str">
        <f>IFERROR(INDEX([1]SuSa_2025!AV:AV,MATCH($B91,[1]SuSa_2025!$B:$B,0)),"0")</f>
        <v>0</v>
      </c>
      <c r="BA91" s="8" t="str">
        <f>IFERROR(INDEX([1]SuSa_2025!AW:AW,MATCH($B91,[1]SuSa_2025!$B:$B,0)),"0")</f>
        <v>0</v>
      </c>
      <c r="BB91" s="8" t="str">
        <f>IFERROR(INDEX([1]SuSa_2025!AX:AX,MATCH($B91,[1]SuSa_2025!$B:$B,0)),"0")</f>
        <v>0</v>
      </c>
    </row>
    <row r="92" spans="1:55" outlineLevel="1" collapsed="1" x14ac:dyDescent="0.25">
      <c r="A92" s="5" t="s">
        <v>315</v>
      </c>
      <c r="B92" s="6" t="s">
        <v>318</v>
      </c>
      <c r="C92" t="s">
        <v>319</v>
      </c>
      <c r="F92" s="7">
        <f t="shared" si="5"/>
        <v>0</v>
      </c>
      <c r="G92" s="7">
        <f t="shared" si="6"/>
        <v>0</v>
      </c>
      <c r="H92" s="7" t="str">
        <f t="shared" si="7"/>
        <v>0</v>
      </c>
      <c r="I92" s="7">
        <f t="shared" si="8"/>
        <v>21268.1</v>
      </c>
      <c r="K92" s="8" t="str">
        <f t="shared" si="9"/>
        <v>0</v>
      </c>
      <c r="AJ92" s="8" t="str">
        <f>IFERROR(INDEX([1]SuSa_2024!BN:BN,MATCH($B92,[1]SuSa_2024!$B:$B,0)),"0")</f>
        <v>0</v>
      </c>
      <c r="AK92" s="8" t="str">
        <f>IFERROR(INDEX([1]SuSa_2024!BO:BO,MATCH($B92,[1]SuSa_2024!$B:$B,0)),"0")</f>
        <v>0</v>
      </c>
      <c r="AL92" s="8" t="str">
        <f>IFERROR(INDEX([1]SuSa_2024!BP:BP,MATCH($B92,[1]SuSa_2024!$B:$B,0)),"0")</f>
        <v>0</v>
      </c>
      <c r="AM92" s="8" t="str">
        <f>IFERROR(INDEX([1]SuSa_2024!BQ:BQ,MATCH($B92,[1]SuSa_2024!$B:$B,0)),"0")</f>
        <v>0</v>
      </c>
      <c r="AN92" s="8" t="str">
        <f>IFERROR(INDEX([1]SuSa_2024!BR:BR,MATCH($B92,[1]SuSa_2024!$B:$B,0)),"0")</f>
        <v>0</v>
      </c>
      <c r="AO92" s="8" t="str">
        <f>IFERROR(INDEX([1]SuSa_2024!BS:BS,MATCH($B92,[1]SuSa_2024!$B:$B,0)),"0")</f>
        <v>0</v>
      </c>
      <c r="AP92" s="8" t="str">
        <f>IFERROR(INDEX([1]SuSa_2024!BT:BT,MATCH($B92,[1]SuSa_2024!$B:$B,0)),"0")</f>
        <v>0</v>
      </c>
      <c r="AQ92" s="8" t="str">
        <f>IFERROR(INDEX([1]SuSa_2024!BU:BU,MATCH($B92,[1]SuSa_2024!$B:$B,0)),"0")</f>
        <v>0</v>
      </c>
      <c r="AR92" s="8" t="str">
        <f>IFERROR(INDEX([1]SuSa_2024!BV:BV,MATCH($B92,[1]SuSa_2024!$B:$B,0)),"0")</f>
        <v>0</v>
      </c>
      <c r="AS92" s="8" t="str">
        <f>IFERROR(INDEX([1]SuSa_2024!BW:BW,MATCH($B92,[1]SuSa_2024!$B:$B,0)),"0")</f>
        <v>0</v>
      </c>
      <c r="AT92" s="8" t="str">
        <f>IFERROR(INDEX([1]SuSa_2024!BX:BX,MATCH($B92,[1]SuSa_2024!$B:$B,0)),"0")</f>
        <v>0</v>
      </c>
      <c r="AU92" s="8" t="str">
        <f>IFERROR(INDEX([1]SuSa_2024!BY:BY,MATCH($B92,[1]SuSa_2024!$B:$B,0)),"0")</f>
        <v>0</v>
      </c>
      <c r="AV92" s="8">
        <f>IFERROR(INDEX([1]SuSa_2025!AR:AR,MATCH($B92,[1]SuSa_2025!$B:$B,0)),"0")</f>
        <v>21268.1</v>
      </c>
      <c r="AW92" s="8">
        <f>IFERROR(INDEX([1]SuSa_2025!AS:AS,MATCH($B92,[1]SuSa_2025!$B:$B,0)),"0")</f>
        <v>21268.1</v>
      </c>
      <c r="AX92" s="8">
        <f>IFERROR(INDEX([1]SuSa_2025!AT:AT,MATCH($B92,[1]SuSa_2025!$B:$B,0)),"0")</f>
        <v>21268.1</v>
      </c>
      <c r="AY92" s="8">
        <f>IFERROR(INDEX([1]SuSa_2025!AU:AU,MATCH($B92,[1]SuSa_2025!$B:$B,0)),"0")</f>
        <v>21268.1</v>
      </c>
      <c r="AZ92" s="8">
        <f>IFERROR(INDEX([1]SuSa_2025!AV:AV,MATCH($B92,[1]SuSa_2025!$B:$B,0)),"0")</f>
        <v>21268.1</v>
      </c>
      <c r="BA92" s="8">
        <f>IFERROR(INDEX([1]SuSa_2025!AW:AW,MATCH($B92,[1]SuSa_2025!$B:$B,0)),"0")</f>
        <v>21268.1</v>
      </c>
      <c r="BB92" s="8">
        <f>IFERROR(INDEX([1]SuSa_2025!AX:AX,MATCH($B92,[1]SuSa_2025!$B:$B,0)),"0")</f>
        <v>21268.1</v>
      </c>
    </row>
    <row r="93" spans="1:55" ht="15.75" outlineLevel="1" collapsed="1" thickBot="1" x14ac:dyDescent="0.3">
      <c r="A93" s="5" t="s">
        <v>320</v>
      </c>
      <c r="B93" s="5" t="s">
        <v>321</v>
      </c>
      <c r="C93" t="s">
        <v>322</v>
      </c>
      <c r="F93" s="7">
        <f t="shared" si="5"/>
        <v>0</v>
      </c>
      <c r="G93" s="7">
        <f t="shared" si="6"/>
        <v>0</v>
      </c>
      <c r="H93" s="7" t="str">
        <f t="shared" si="7"/>
        <v>0</v>
      </c>
      <c r="I93" s="7" t="str">
        <f t="shared" si="8"/>
        <v>0</v>
      </c>
      <c r="K93" s="8" t="str">
        <f t="shared" si="9"/>
        <v>0</v>
      </c>
      <c r="L93" s="8">
        <v>-24014.49</v>
      </c>
      <c r="M93" s="8">
        <v>-24014.49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AJ93" s="8" t="str">
        <f>IFERROR(INDEX([1]SuSa_2024!BN:BN,MATCH($B93,[1]SuSa_2024!$B:$B,0)),"0")</f>
        <v>0</v>
      </c>
      <c r="AK93" s="8" t="str">
        <f>IFERROR(INDEX([1]SuSa_2024!BO:BO,MATCH($B93,[1]SuSa_2024!$B:$B,0)),"0")</f>
        <v>0</v>
      </c>
      <c r="AL93" s="8" t="str">
        <f>IFERROR(INDEX([1]SuSa_2024!BP:BP,MATCH($B93,[1]SuSa_2024!$B:$B,0)),"0")</f>
        <v>0</v>
      </c>
      <c r="AM93" s="8" t="str">
        <f>IFERROR(INDEX([1]SuSa_2024!BQ:BQ,MATCH($B93,[1]SuSa_2024!$B:$B,0)),"0")</f>
        <v>0</v>
      </c>
      <c r="AN93" s="8" t="str">
        <f>IFERROR(INDEX([1]SuSa_2024!BR:BR,MATCH($B93,[1]SuSa_2024!$B:$B,0)),"0")</f>
        <v>0</v>
      </c>
      <c r="AO93" s="8" t="str">
        <f>IFERROR(INDEX([1]SuSa_2024!BS:BS,MATCH($B93,[1]SuSa_2024!$B:$B,0)),"0")</f>
        <v>0</v>
      </c>
      <c r="AP93" s="8" t="str">
        <f>IFERROR(INDEX([1]SuSa_2024!BT:BT,MATCH($B93,[1]SuSa_2024!$B:$B,0)),"0")</f>
        <v>0</v>
      </c>
      <c r="AQ93" s="8" t="str">
        <f>IFERROR(INDEX([1]SuSa_2024!BU:BU,MATCH($B93,[1]SuSa_2024!$B:$B,0)),"0")</f>
        <v>0</v>
      </c>
      <c r="AR93" s="8" t="str">
        <f>IFERROR(INDEX([1]SuSa_2024!BV:BV,MATCH($B93,[1]SuSa_2024!$B:$B,0)),"0")</f>
        <v>0</v>
      </c>
      <c r="AS93" s="8" t="str">
        <f>IFERROR(INDEX([1]SuSa_2024!BW:BW,MATCH($B93,[1]SuSa_2024!$B:$B,0)),"0")</f>
        <v>0</v>
      </c>
      <c r="AT93" s="8" t="str">
        <f>IFERROR(INDEX([1]SuSa_2024!BX:BX,MATCH($B93,[1]SuSa_2024!$B:$B,0)),"0")</f>
        <v>0</v>
      </c>
      <c r="AU93" s="8" t="str">
        <f>IFERROR(INDEX([1]SuSa_2024!BY:BY,MATCH($B93,[1]SuSa_2024!$B:$B,0)),"0")</f>
        <v>0</v>
      </c>
      <c r="AV93" s="8" t="str">
        <f>IFERROR(INDEX([1]SuSa_2025!AR:AR,MATCH($B93,[1]SuSa_2025!$B:$B,0)),"0")</f>
        <v>0</v>
      </c>
      <c r="AW93" s="8" t="str">
        <f>IFERROR(INDEX([1]SuSa_2025!AS:AS,MATCH($B93,[1]SuSa_2025!$B:$B,0)),"0")</f>
        <v>0</v>
      </c>
      <c r="AX93" s="8" t="str">
        <f>IFERROR(INDEX([1]SuSa_2025!AT:AT,MATCH($B93,[1]SuSa_2025!$B:$B,0)),"0")</f>
        <v>0</v>
      </c>
      <c r="AY93" s="8" t="str">
        <f>IFERROR(INDEX([1]SuSa_2025!AU:AU,MATCH($B93,[1]SuSa_2025!$B:$B,0)),"0")</f>
        <v>0</v>
      </c>
      <c r="AZ93" s="8" t="str">
        <f>IFERROR(INDEX([1]SuSa_2025!AV:AV,MATCH($B93,[1]SuSa_2025!$B:$B,0)),"0")</f>
        <v>0</v>
      </c>
      <c r="BA93" s="8" t="str">
        <f>IFERROR(INDEX([1]SuSa_2025!AW:AW,MATCH($B93,[1]SuSa_2025!$B:$B,0)),"0")</f>
        <v>0</v>
      </c>
      <c r="BB93" s="8" t="str">
        <f>IFERROR(INDEX([1]SuSa_2025!AX:AX,MATCH($B93,[1]SuSa_2025!$B:$B,0)),"0")</f>
        <v>0</v>
      </c>
    </row>
    <row r="94" spans="1:55" s="17" customFormat="1" ht="15.75" outlineLevel="1" collapsed="1" thickTop="1" x14ac:dyDescent="0.25">
      <c r="A94" s="15" t="s">
        <v>323</v>
      </c>
      <c r="B94" s="16" t="s">
        <v>324</v>
      </c>
      <c r="C94" s="17" t="s">
        <v>325</v>
      </c>
      <c r="E94" s="17" t="s">
        <v>326</v>
      </c>
      <c r="F94" s="18">
        <f t="shared" si="5"/>
        <v>4460.3500000000004</v>
      </c>
      <c r="G94" s="18">
        <f t="shared" si="6"/>
        <v>14186.51</v>
      </c>
      <c r="H94" s="18">
        <f t="shared" si="7"/>
        <v>43724.249999999993</v>
      </c>
      <c r="I94" s="19">
        <f t="shared" si="8"/>
        <v>0</v>
      </c>
      <c r="J94" s="20">
        <f>H94+I94-AP94</f>
        <v>-581.93000000000029</v>
      </c>
      <c r="K94" s="20">
        <f t="shared" si="9"/>
        <v>44306.179999999993</v>
      </c>
      <c r="L94" s="21">
        <v>1188.5999999999999</v>
      </c>
      <c r="M94" s="21">
        <v>3204.72</v>
      </c>
      <c r="N94" s="21">
        <v>3278.72</v>
      </c>
      <c r="O94" s="21">
        <v>3278.72</v>
      </c>
      <c r="P94" s="21">
        <v>3278.72</v>
      </c>
      <c r="Q94" s="21">
        <v>4460.3500000000004</v>
      </c>
      <c r="R94" s="21">
        <v>4460.3500000000004</v>
      </c>
      <c r="S94" s="21">
        <v>4460.3500000000004</v>
      </c>
      <c r="T94" s="21">
        <v>4460.3500000000004</v>
      </c>
      <c r="U94" s="21">
        <v>4460.3500000000004</v>
      </c>
      <c r="V94" s="21">
        <v>4460.3500000000004</v>
      </c>
      <c r="W94" s="21">
        <v>4460.3500000000004</v>
      </c>
      <c r="X94" s="21">
        <v>4790.84</v>
      </c>
      <c r="Y94" s="21">
        <v>6694.4</v>
      </c>
      <c r="Z94" s="21">
        <v>6909.4</v>
      </c>
      <c r="AA94" s="21">
        <v>10346.9</v>
      </c>
      <c r="AB94" s="21">
        <v>10346.9</v>
      </c>
      <c r="AC94" s="21">
        <v>10346.9</v>
      </c>
      <c r="AD94" s="21">
        <v>10346.9</v>
      </c>
      <c r="AE94" s="21">
        <v>10346.9</v>
      </c>
      <c r="AF94" s="21">
        <v>10346.9</v>
      </c>
      <c r="AG94" s="21">
        <v>10346.9</v>
      </c>
      <c r="AH94" s="21">
        <v>10346.9</v>
      </c>
      <c r="AI94" s="21">
        <v>14186.51</v>
      </c>
      <c r="AJ94" s="8">
        <f>IFERROR(INDEX([1]SuSa_2024!BN:BN,MATCH($B94,[1]SuSa_2024!$B:$B,0)),"0")</f>
        <v>38995.82</v>
      </c>
      <c r="AK94" s="8">
        <f>IFERROR(INDEX([1]SuSa_2024!BO:BO,MATCH($B94,[1]SuSa_2024!$B:$B,0)),"0")</f>
        <v>38914.54</v>
      </c>
      <c r="AL94" s="8">
        <f>IFERROR(INDEX([1]SuSa_2024!BP:BP,MATCH($B94,[1]SuSa_2024!$B:$B,0)),"0")</f>
        <v>38426.629999999997</v>
      </c>
      <c r="AM94" s="8">
        <f>IFERROR(INDEX([1]SuSa_2024!BQ:BQ,MATCH($B94,[1]SuSa_2024!$B:$B,0)),"0")</f>
        <v>38601.339999999997</v>
      </c>
      <c r="AN94" s="8">
        <f>IFERROR(INDEX([1]SuSa_2024!BR:BR,MATCH($B94,[1]SuSa_2024!$B:$B,0)),"0")</f>
        <v>38601.339999999997</v>
      </c>
      <c r="AO94" s="8">
        <f>IFERROR(INDEX([1]SuSa_2024!BS:BS,MATCH($B94,[1]SuSa_2024!$B:$B,0)),"0")</f>
        <v>44306.179999999993</v>
      </c>
      <c r="AP94" s="8">
        <f>IFERROR(INDEX([1]SuSa_2024!BT:BT,MATCH($B94,[1]SuSa_2024!$B:$B,0)),"0")</f>
        <v>44306.179999999993</v>
      </c>
      <c r="AQ94" s="8">
        <f>IFERROR(INDEX([1]SuSa_2024!BU:BU,MATCH($B94,[1]SuSa_2024!$B:$B,0)),"0")</f>
        <v>44306.179999999993</v>
      </c>
      <c r="AR94" s="8">
        <f>IFERROR(INDEX([1]SuSa_2024!BV:BV,MATCH($B94,[1]SuSa_2024!$B:$B,0)),"0")</f>
        <v>44306.179999999993</v>
      </c>
      <c r="AS94" s="8">
        <f>IFERROR(INDEX([1]SuSa_2024!BW:BW,MATCH($B94,[1]SuSa_2024!$B:$B,0)),"0")</f>
        <v>44306.179999999993</v>
      </c>
      <c r="AT94" s="8">
        <f>IFERROR(INDEX([1]SuSa_2024!BX:BX,MATCH($B94,[1]SuSa_2024!$B:$B,0)),"0")</f>
        <v>44306.179999999993</v>
      </c>
      <c r="AU94" s="8">
        <f>IFERROR(INDEX([1]SuSa_2024!BY:BY,MATCH($B94,[1]SuSa_2024!$B:$B,0)),"0")</f>
        <v>43724.249999999993</v>
      </c>
      <c r="AV94" s="8">
        <f>IFERROR(INDEX([1]SuSa_2025!AR:AR,MATCH($B94,[1]SuSa_2025!$B:$B,0)),"0")</f>
        <v>0</v>
      </c>
      <c r="AW94" s="8">
        <f>IFERROR(INDEX([1]SuSa_2025!AS:AS,MATCH($B94,[1]SuSa_2025!$B:$B,0)),"0")</f>
        <v>0</v>
      </c>
      <c r="AX94" s="8">
        <f>IFERROR(INDEX([1]SuSa_2025!AT:AT,MATCH($B94,[1]SuSa_2025!$B:$B,0)),"0")</f>
        <v>0</v>
      </c>
      <c r="AY94" s="8">
        <f>IFERROR(INDEX([1]SuSa_2025!AU:AU,MATCH($B94,[1]SuSa_2025!$B:$B,0)),"0")</f>
        <v>0</v>
      </c>
      <c r="AZ94" s="8">
        <f>IFERROR(INDEX([1]SuSa_2025!AV:AV,MATCH($B94,[1]SuSa_2025!$B:$B,0)),"0")</f>
        <v>0</v>
      </c>
      <c r="BA94" s="8">
        <f>IFERROR(INDEX([1]SuSa_2025!AW:AW,MATCH($B94,[1]SuSa_2025!$B:$B,0)),"0")</f>
        <v>0</v>
      </c>
      <c r="BB94" s="8">
        <f>IFERROR(INDEX([1]SuSa_2025!AX:AX,MATCH($B94,[1]SuSa_2025!$B:$B,0)),"0")</f>
        <v>0</v>
      </c>
      <c r="BC94" s="21"/>
    </row>
    <row r="95" spans="1:55" outlineLevel="1" collapsed="1" x14ac:dyDescent="0.25">
      <c r="A95" s="5" t="s">
        <v>327</v>
      </c>
      <c r="B95" s="6" t="s">
        <v>328</v>
      </c>
      <c r="C95" t="s">
        <v>329</v>
      </c>
      <c r="F95" s="7">
        <f t="shared" si="5"/>
        <v>0</v>
      </c>
      <c r="G95" s="7">
        <f t="shared" si="6"/>
        <v>43</v>
      </c>
      <c r="H95" s="7">
        <f t="shared" si="7"/>
        <v>0</v>
      </c>
      <c r="I95" s="7" t="str">
        <f t="shared" si="8"/>
        <v>0</v>
      </c>
      <c r="J95" s="8">
        <f t="shared" ref="J95:J159" si="10">H95+I95-AP95</f>
        <v>0</v>
      </c>
      <c r="K95" s="8">
        <f t="shared" si="9"/>
        <v>0</v>
      </c>
      <c r="AB95" s="8">
        <v>21</v>
      </c>
      <c r="AC95" s="8">
        <v>43</v>
      </c>
      <c r="AD95" s="8">
        <v>43</v>
      </c>
      <c r="AE95" s="8">
        <v>43</v>
      </c>
      <c r="AF95" s="8">
        <v>43</v>
      </c>
      <c r="AG95" s="8">
        <v>43</v>
      </c>
      <c r="AH95" s="8">
        <v>43</v>
      </c>
      <c r="AI95" s="8">
        <v>43</v>
      </c>
      <c r="AJ95" s="8">
        <f>IFERROR(INDEX([1]SuSa_2024!BN:BN,MATCH($B95,[1]SuSa_2024!$B:$B,0)),"0")</f>
        <v>0</v>
      </c>
      <c r="AK95" s="8">
        <f>IFERROR(INDEX([1]SuSa_2024!BO:BO,MATCH($B95,[1]SuSa_2024!$B:$B,0)),"0")</f>
        <v>0</v>
      </c>
      <c r="AL95" s="8">
        <f>IFERROR(INDEX([1]SuSa_2024!BP:BP,MATCH($B95,[1]SuSa_2024!$B:$B,0)),"0")</f>
        <v>0</v>
      </c>
      <c r="AM95" s="8">
        <f>IFERROR(INDEX([1]SuSa_2024!BQ:BQ,MATCH($B95,[1]SuSa_2024!$B:$B,0)),"0")</f>
        <v>0</v>
      </c>
      <c r="AN95" s="8">
        <f>IFERROR(INDEX([1]SuSa_2024!BR:BR,MATCH($B95,[1]SuSa_2024!$B:$B,0)),"0")</f>
        <v>0</v>
      </c>
      <c r="AO95" s="8">
        <f>IFERROR(INDEX([1]SuSa_2024!BS:BS,MATCH($B95,[1]SuSa_2024!$B:$B,0)),"0")</f>
        <v>0</v>
      </c>
      <c r="AP95" s="8">
        <f>IFERROR(INDEX([1]SuSa_2024!BT:BT,MATCH($B95,[1]SuSa_2024!$B:$B,0)),"0")</f>
        <v>0</v>
      </c>
      <c r="AQ95" s="8">
        <f>IFERROR(INDEX([1]SuSa_2024!BU:BU,MATCH($B95,[1]SuSa_2024!$B:$B,0)),"0")</f>
        <v>0</v>
      </c>
      <c r="AR95" s="8">
        <f>IFERROR(INDEX([1]SuSa_2024!BV:BV,MATCH($B95,[1]SuSa_2024!$B:$B,0)),"0")</f>
        <v>0</v>
      </c>
      <c r="AS95" s="8">
        <f>IFERROR(INDEX([1]SuSa_2024!BW:BW,MATCH($B95,[1]SuSa_2024!$B:$B,0)),"0")</f>
        <v>0</v>
      </c>
      <c r="AT95" s="8">
        <f>IFERROR(INDEX([1]SuSa_2024!BX:BX,MATCH($B95,[1]SuSa_2024!$B:$B,0)),"0")</f>
        <v>0</v>
      </c>
      <c r="AU95" s="8">
        <f>IFERROR(INDEX([1]SuSa_2024!BY:BY,MATCH($B95,[1]SuSa_2024!$B:$B,0)),"0")</f>
        <v>0</v>
      </c>
      <c r="AV95" s="8" t="str">
        <f>IFERROR(INDEX([1]SuSa_2025!AR:AR,MATCH($B95,[1]SuSa_2025!$B:$B,0)),"0")</f>
        <v>0</v>
      </c>
      <c r="AW95" s="8" t="str">
        <f>IFERROR(INDEX([1]SuSa_2025!AS:AS,MATCH($B95,[1]SuSa_2025!$B:$B,0)),"0")</f>
        <v>0</v>
      </c>
      <c r="AX95" s="8" t="str">
        <f>IFERROR(INDEX([1]SuSa_2025!AT:AT,MATCH($B95,[1]SuSa_2025!$B:$B,0)),"0")</f>
        <v>0</v>
      </c>
      <c r="AY95" s="8" t="str">
        <f>IFERROR(INDEX([1]SuSa_2025!AU:AU,MATCH($B95,[1]SuSa_2025!$B:$B,0)),"0")</f>
        <v>0</v>
      </c>
      <c r="AZ95" s="8" t="str">
        <f>IFERROR(INDEX([1]SuSa_2025!AV:AV,MATCH($B95,[1]SuSa_2025!$B:$B,0)),"0")</f>
        <v>0</v>
      </c>
      <c r="BA95" s="8" t="str">
        <f>IFERROR(INDEX([1]SuSa_2025!AW:AW,MATCH($B95,[1]SuSa_2025!$B:$B,0)),"0")</f>
        <v>0</v>
      </c>
      <c r="BB95" s="8" t="str">
        <f>IFERROR(INDEX([1]SuSa_2025!AX:AX,MATCH($B95,[1]SuSa_2025!$B:$B,0)),"0")</f>
        <v>0</v>
      </c>
    </row>
    <row r="96" spans="1:55" outlineLevel="1" collapsed="1" x14ac:dyDescent="0.25">
      <c r="A96" s="5" t="s">
        <v>330</v>
      </c>
      <c r="B96" s="6" t="s">
        <v>331</v>
      </c>
      <c r="C96" t="s">
        <v>332</v>
      </c>
      <c r="F96" s="7">
        <f t="shared" si="5"/>
        <v>8714.9500000000007</v>
      </c>
      <c r="G96" s="7">
        <f t="shared" si="6"/>
        <v>190535.5</v>
      </c>
      <c r="H96" s="7">
        <f t="shared" si="7"/>
        <v>15566.41</v>
      </c>
      <c r="I96" s="7">
        <f t="shared" si="8"/>
        <v>0</v>
      </c>
      <c r="J96" s="8">
        <f t="shared" si="10"/>
        <v>0</v>
      </c>
      <c r="K96" s="8">
        <f t="shared" si="9"/>
        <v>15566.41</v>
      </c>
      <c r="R96" s="8">
        <v>5.94</v>
      </c>
      <c r="S96" s="8">
        <v>87.66</v>
      </c>
      <c r="T96" s="8">
        <v>510.11</v>
      </c>
      <c r="U96" s="8">
        <v>1486.64</v>
      </c>
      <c r="V96" s="8">
        <v>3544.14</v>
      </c>
      <c r="W96" s="8">
        <v>8714.9500000000007</v>
      </c>
      <c r="X96" s="8">
        <v>9472</v>
      </c>
      <c r="Y96" s="8">
        <v>19817.89</v>
      </c>
      <c r="Z96" s="8">
        <v>33116.94</v>
      </c>
      <c r="AA96" s="8">
        <v>47454.400000000001</v>
      </c>
      <c r="AB96" s="8">
        <v>63406.67</v>
      </c>
      <c r="AC96" s="8">
        <v>80089.88</v>
      </c>
      <c r="AD96" s="8">
        <v>99402.23</v>
      </c>
      <c r="AE96" s="8">
        <v>120132.16</v>
      </c>
      <c r="AF96" s="8">
        <v>140562.92000000001</v>
      </c>
      <c r="AG96" s="8">
        <v>163977.57999999999</v>
      </c>
      <c r="AH96" s="8">
        <v>185802.66</v>
      </c>
      <c r="AI96" s="8">
        <v>190535.5</v>
      </c>
      <c r="AJ96" s="8">
        <f>IFERROR(INDEX([1]SuSa_2024!BN:BN,MATCH($B96,[1]SuSa_2024!$B:$B,0)),"0")</f>
        <v>34.99</v>
      </c>
      <c r="AK96" s="8">
        <f>IFERROR(INDEX([1]SuSa_2024!BO:BO,MATCH($B96,[1]SuSa_2024!$B:$B,0)),"0")</f>
        <v>1443.95</v>
      </c>
      <c r="AL96" s="8">
        <f>IFERROR(INDEX([1]SuSa_2024!BP:BP,MATCH($B96,[1]SuSa_2024!$B:$B,0)),"0")</f>
        <v>4226.9399999999996</v>
      </c>
      <c r="AM96" s="8">
        <f>IFERROR(INDEX([1]SuSa_2024!BQ:BQ,MATCH($B96,[1]SuSa_2024!$B:$B,0)),"0")</f>
        <v>7596.32</v>
      </c>
      <c r="AN96" s="8">
        <f>IFERROR(INDEX([1]SuSa_2024!BR:BR,MATCH($B96,[1]SuSa_2024!$B:$B,0)),"0")</f>
        <v>14097.95</v>
      </c>
      <c r="AO96" s="8">
        <f>IFERROR(INDEX([1]SuSa_2024!BS:BS,MATCH($B96,[1]SuSa_2024!$B:$B,0)),"0")</f>
        <v>15566.41</v>
      </c>
      <c r="AP96" s="8">
        <f>IFERROR(INDEX([1]SuSa_2024!BT:BT,MATCH($B96,[1]SuSa_2024!$B:$B,0)),"0")</f>
        <v>15566.41</v>
      </c>
      <c r="AQ96" s="8">
        <f>IFERROR(INDEX([1]SuSa_2024!BU:BU,MATCH($B96,[1]SuSa_2024!$B:$B,0)),"0")</f>
        <v>15566.41</v>
      </c>
      <c r="AR96" s="8">
        <f>IFERROR(INDEX([1]SuSa_2024!BV:BV,MATCH($B96,[1]SuSa_2024!$B:$B,0)),"0")</f>
        <v>15566.41</v>
      </c>
      <c r="AS96" s="8">
        <f>IFERROR(INDEX([1]SuSa_2024!BW:BW,MATCH($B96,[1]SuSa_2024!$B:$B,0)),"0")</f>
        <v>15566.41</v>
      </c>
      <c r="AT96" s="8">
        <f>IFERROR(INDEX([1]SuSa_2024!BX:BX,MATCH($B96,[1]SuSa_2024!$B:$B,0)),"0")</f>
        <v>15566.41</v>
      </c>
      <c r="AU96" s="8">
        <f>IFERROR(INDEX([1]SuSa_2024!BY:BY,MATCH($B96,[1]SuSa_2024!$B:$B,0)),"0")</f>
        <v>15566.41</v>
      </c>
      <c r="AV96" s="8">
        <f>IFERROR(INDEX([1]SuSa_2025!AR:AR,MATCH($B96,[1]SuSa_2025!$B:$B,0)),"0")</f>
        <v>0</v>
      </c>
      <c r="AW96" s="8">
        <f>IFERROR(INDEX([1]SuSa_2025!AS:AS,MATCH($B96,[1]SuSa_2025!$B:$B,0)),"0")</f>
        <v>0</v>
      </c>
      <c r="AX96" s="8">
        <f>IFERROR(INDEX([1]SuSa_2025!AT:AT,MATCH($B96,[1]SuSa_2025!$B:$B,0)),"0")</f>
        <v>0</v>
      </c>
      <c r="AY96" s="8">
        <f>IFERROR(INDEX([1]SuSa_2025!AU:AU,MATCH($B96,[1]SuSa_2025!$B:$B,0)),"0")</f>
        <v>0</v>
      </c>
      <c r="AZ96" s="8">
        <f>IFERROR(INDEX([1]SuSa_2025!AV:AV,MATCH($B96,[1]SuSa_2025!$B:$B,0)),"0")</f>
        <v>0</v>
      </c>
      <c r="BA96" s="8">
        <f>IFERROR(INDEX([1]SuSa_2025!AW:AW,MATCH($B96,[1]SuSa_2025!$B:$B,0)),"0")</f>
        <v>0</v>
      </c>
      <c r="BB96" s="8">
        <f>IFERROR(INDEX([1]SuSa_2025!AX:AX,MATCH($B96,[1]SuSa_2025!$B:$B,0)),"0")</f>
        <v>0</v>
      </c>
    </row>
    <row r="97" spans="1:54" outlineLevel="1" collapsed="1" x14ac:dyDescent="0.25">
      <c r="A97" s="5" t="s">
        <v>333</v>
      </c>
      <c r="B97" s="6" t="s">
        <v>334</v>
      </c>
      <c r="C97" t="s">
        <v>335</v>
      </c>
      <c r="F97" s="7">
        <f t="shared" si="5"/>
        <v>0</v>
      </c>
      <c r="G97" s="7">
        <f t="shared" si="6"/>
        <v>0</v>
      </c>
      <c r="H97" s="7">
        <f t="shared" si="7"/>
        <v>2.11</v>
      </c>
      <c r="I97" s="7">
        <f t="shared" si="8"/>
        <v>0</v>
      </c>
      <c r="J97" s="8">
        <f t="shared" si="10"/>
        <v>0</v>
      </c>
      <c r="K97" s="8">
        <f t="shared" si="9"/>
        <v>2.11</v>
      </c>
      <c r="AJ97" s="8">
        <f>IFERROR(INDEX([1]SuSa_2024!BN:BN,MATCH($B97,[1]SuSa_2024!$B:$B,0)),"0")</f>
        <v>0</v>
      </c>
      <c r="AK97" s="8">
        <f>IFERROR(INDEX([1]SuSa_2024!BO:BO,MATCH($B97,[1]SuSa_2024!$B:$B,0)),"0")</f>
        <v>0</v>
      </c>
      <c r="AL97" s="8">
        <f>IFERROR(INDEX([1]SuSa_2024!BP:BP,MATCH($B97,[1]SuSa_2024!$B:$B,0)),"0")</f>
        <v>2.11</v>
      </c>
      <c r="AM97" s="8">
        <f>IFERROR(INDEX([1]SuSa_2024!BQ:BQ,MATCH($B97,[1]SuSa_2024!$B:$B,0)),"0")</f>
        <v>2.11</v>
      </c>
      <c r="AN97" s="8">
        <f>IFERROR(INDEX([1]SuSa_2024!BR:BR,MATCH($B97,[1]SuSa_2024!$B:$B,0)),"0")</f>
        <v>2.11</v>
      </c>
      <c r="AO97" s="8">
        <f>IFERROR(INDEX([1]SuSa_2024!BS:BS,MATCH($B97,[1]SuSa_2024!$B:$B,0)),"0")</f>
        <v>2.11</v>
      </c>
      <c r="AP97" s="8">
        <f>IFERROR(INDEX([1]SuSa_2024!BT:BT,MATCH($B97,[1]SuSa_2024!$B:$B,0)),"0")</f>
        <v>2.11</v>
      </c>
      <c r="AQ97" s="8">
        <f>IFERROR(INDEX([1]SuSa_2024!BU:BU,MATCH($B97,[1]SuSa_2024!$B:$B,0)),"0")</f>
        <v>2.11</v>
      </c>
      <c r="AR97" s="8">
        <f>IFERROR(INDEX([1]SuSa_2024!BV:BV,MATCH($B97,[1]SuSa_2024!$B:$B,0)),"0")</f>
        <v>2.11</v>
      </c>
      <c r="AS97" s="8">
        <f>IFERROR(INDEX([1]SuSa_2024!BW:BW,MATCH($B97,[1]SuSa_2024!$B:$B,0)),"0")</f>
        <v>2.11</v>
      </c>
      <c r="AT97" s="8">
        <f>IFERROR(INDEX([1]SuSa_2024!BX:BX,MATCH($B97,[1]SuSa_2024!$B:$B,0)),"0")</f>
        <v>2.11</v>
      </c>
      <c r="AU97" s="8">
        <f>IFERROR(INDEX([1]SuSa_2024!BY:BY,MATCH($B97,[1]SuSa_2024!$B:$B,0)),"0")</f>
        <v>2.11</v>
      </c>
      <c r="AV97" s="8">
        <f>IFERROR(INDEX([1]SuSa_2025!AR:AR,MATCH($B97,[1]SuSa_2025!$B:$B,0)),"0")</f>
        <v>0</v>
      </c>
      <c r="AW97" s="8">
        <f>IFERROR(INDEX([1]SuSa_2025!AS:AS,MATCH($B97,[1]SuSa_2025!$B:$B,0)),"0")</f>
        <v>0</v>
      </c>
      <c r="AX97" s="8">
        <f>IFERROR(INDEX([1]SuSa_2025!AT:AT,MATCH($B97,[1]SuSa_2025!$B:$B,0)),"0")</f>
        <v>0</v>
      </c>
      <c r="AY97" s="8">
        <f>IFERROR(INDEX([1]SuSa_2025!AU:AU,MATCH($B97,[1]SuSa_2025!$B:$B,0)),"0")</f>
        <v>0</v>
      </c>
      <c r="AZ97" s="8">
        <f>IFERROR(INDEX([1]SuSa_2025!AV:AV,MATCH($B97,[1]SuSa_2025!$B:$B,0)),"0")</f>
        <v>0</v>
      </c>
      <c r="BA97" s="8">
        <f>IFERROR(INDEX([1]SuSa_2025!AW:AW,MATCH($B97,[1]SuSa_2025!$B:$B,0)),"0")</f>
        <v>0</v>
      </c>
      <c r="BB97" s="8">
        <f>IFERROR(INDEX([1]SuSa_2025!AX:AX,MATCH($B97,[1]SuSa_2025!$B:$B,0)),"0")</f>
        <v>0</v>
      </c>
    </row>
    <row r="98" spans="1:54" outlineLevel="1" collapsed="1" x14ac:dyDescent="0.25">
      <c r="A98" s="5" t="s">
        <v>336</v>
      </c>
      <c r="B98" s="6" t="s">
        <v>337</v>
      </c>
      <c r="C98" t="s">
        <v>338</v>
      </c>
      <c r="F98" s="7">
        <f t="shared" si="5"/>
        <v>14500</v>
      </c>
      <c r="G98" s="7">
        <f t="shared" si="6"/>
        <v>0</v>
      </c>
      <c r="H98" s="7" t="str">
        <f t="shared" si="7"/>
        <v>0</v>
      </c>
      <c r="I98" s="7" t="str">
        <f t="shared" si="8"/>
        <v>0</v>
      </c>
      <c r="J98" s="8">
        <f t="shared" si="10"/>
        <v>0</v>
      </c>
      <c r="K98" s="8" t="str">
        <f t="shared" si="9"/>
        <v>0</v>
      </c>
      <c r="L98" s="8">
        <v>350</v>
      </c>
      <c r="M98" s="8">
        <v>700</v>
      </c>
      <c r="N98" s="8">
        <v>1050</v>
      </c>
      <c r="O98" s="8">
        <v>2550</v>
      </c>
      <c r="P98" s="8">
        <v>4050</v>
      </c>
      <c r="Q98" s="8">
        <v>5550</v>
      </c>
      <c r="R98" s="8">
        <v>7050</v>
      </c>
      <c r="S98" s="8">
        <v>8550</v>
      </c>
      <c r="T98" s="8">
        <v>10050</v>
      </c>
      <c r="U98" s="8">
        <v>11550</v>
      </c>
      <c r="V98" s="8">
        <v>13050</v>
      </c>
      <c r="W98" s="8">
        <v>14500</v>
      </c>
      <c r="AJ98" s="8" t="str">
        <f>IFERROR(INDEX([1]SuSa_2024!BN:BN,MATCH($B98,[1]SuSa_2024!$B:$B,0)),"0")</f>
        <v>0</v>
      </c>
      <c r="AK98" s="8" t="str">
        <f>IFERROR(INDEX([1]SuSa_2024!BO:BO,MATCH($B98,[1]SuSa_2024!$B:$B,0)),"0")</f>
        <v>0</v>
      </c>
      <c r="AL98" s="8" t="str">
        <f>IFERROR(INDEX([1]SuSa_2024!BP:BP,MATCH($B98,[1]SuSa_2024!$B:$B,0)),"0")</f>
        <v>0</v>
      </c>
      <c r="AM98" s="8" t="str">
        <f>IFERROR(INDEX([1]SuSa_2024!BQ:BQ,MATCH($B98,[1]SuSa_2024!$B:$B,0)),"0")</f>
        <v>0</v>
      </c>
      <c r="AN98" s="8" t="str">
        <f>IFERROR(INDEX([1]SuSa_2024!BR:BR,MATCH($B98,[1]SuSa_2024!$B:$B,0)),"0")</f>
        <v>0</v>
      </c>
      <c r="AO98" s="8" t="str">
        <f>IFERROR(INDEX([1]SuSa_2024!BS:BS,MATCH($B98,[1]SuSa_2024!$B:$B,0)),"0")</f>
        <v>0</v>
      </c>
      <c r="AP98" s="8" t="str">
        <f>IFERROR(INDEX([1]SuSa_2024!BT:BT,MATCH($B98,[1]SuSa_2024!$B:$B,0)),"0")</f>
        <v>0</v>
      </c>
      <c r="AQ98" s="8" t="str">
        <f>IFERROR(INDEX([1]SuSa_2024!BU:BU,MATCH($B98,[1]SuSa_2024!$B:$B,0)),"0")</f>
        <v>0</v>
      </c>
      <c r="AR98" s="8" t="str">
        <f>IFERROR(INDEX([1]SuSa_2024!BV:BV,MATCH($B98,[1]SuSa_2024!$B:$B,0)),"0")</f>
        <v>0</v>
      </c>
      <c r="AS98" s="8" t="str">
        <f>IFERROR(INDEX([1]SuSa_2024!BW:BW,MATCH($B98,[1]SuSa_2024!$B:$B,0)),"0")</f>
        <v>0</v>
      </c>
      <c r="AT98" s="8" t="str">
        <f>IFERROR(INDEX([1]SuSa_2024!BX:BX,MATCH($B98,[1]SuSa_2024!$B:$B,0)),"0")</f>
        <v>0</v>
      </c>
      <c r="AU98" s="8" t="str">
        <f>IFERROR(INDEX([1]SuSa_2024!BY:BY,MATCH($B98,[1]SuSa_2024!$B:$B,0)),"0")</f>
        <v>0</v>
      </c>
      <c r="AV98" s="8" t="str">
        <f>IFERROR(INDEX([1]SuSa_2025!AR:AR,MATCH($B98,[1]SuSa_2025!$B:$B,0)),"0")</f>
        <v>0</v>
      </c>
      <c r="AW98" s="8" t="str">
        <f>IFERROR(INDEX([1]SuSa_2025!AS:AS,MATCH($B98,[1]SuSa_2025!$B:$B,0)),"0")</f>
        <v>0</v>
      </c>
      <c r="AX98" s="8" t="str">
        <f>IFERROR(INDEX([1]SuSa_2025!AT:AT,MATCH($B98,[1]SuSa_2025!$B:$B,0)),"0")</f>
        <v>0</v>
      </c>
      <c r="AY98" s="8" t="str">
        <f>IFERROR(INDEX([1]SuSa_2025!AU:AU,MATCH($B98,[1]SuSa_2025!$B:$B,0)),"0")</f>
        <v>0</v>
      </c>
      <c r="AZ98" s="8" t="str">
        <f>IFERROR(INDEX([1]SuSa_2025!AV:AV,MATCH($B98,[1]SuSa_2025!$B:$B,0)),"0")</f>
        <v>0</v>
      </c>
      <c r="BA98" s="8" t="str">
        <f>IFERROR(INDEX([1]SuSa_2025!AW:AW,MATCH($B98,[1]SuSa_2025!$B:$B,0)),"0")</f>
        <v>0</v>
      </c>
      <c r="BB98" s="8" t="str">
        <f>IFERROR(INDEX([1]SuSa_2025!AX:AX,MATCH($B98,[1]SuSa_2025!$B:$B,0)),"0")</f>
        <v>0</v>
      </c>
    </row>
    <row r="99" spans="1:54" outlineLevel="1" collapsed="1" x14ac:dyDescent="0.25">
      <c r="A99" s="5" t="s">
        <v>339</v>
      </c>
      <c r="B99" s="6" t="s">
        <v>340</v>
      </c>
      <c r="C99" t="s">
        <v>341</v>
      </c>
      <c r="F99" s="7">
        <f t="shared" si="5"/>
        <v>0</v>
      </c>
      <c r="G99" s="7">
        <f t="shared" si="6"/>
        <v>0</v>
      </c>
      <c r="H99" s="7">
        <f t="shared" si="7"/>
        <v>20.82</v>
      </c>
      <c r="I99" s="7">
        <f t="shared" si="8"/>
        <v>0</v>
      </c>
      <c r="J99" s="8">
        <f t="shared" si="10"/>
        <v>20.82</v>
      </c>
      <c r="K99" s="8">
        <f t="shared" si="9"/>
        <v>0</v>
      </c>
      <c r="AJ99" s="8">
        <f>IFERROR(INDEX([1]SuSa_2024!BN:BN,MATCH($B99,[1]SuSa_2024!$B:$B,0)),"0")</f>
        <v>0</v>
      </c>
      <c r="AK99" s="8">
        <f>IFERROR(INDEX([1]SuSa_2024!BO:BO,MATCH($B99,[1]SuSa_2024!$B:$B,0)),"0")</f>
        <v>0</v>
      </c>
      <c r="AL99" s="8">
        <f>IFERROR(INDEX([1]SuSa_2024!BP:BP,MATCH($B99,[1]SuSa_2024!$B:$B,0)),"0")</f>
        <v>0</v>
      </c>
      <c r="AM99" s="8">
        <f>IFERROR(INDEX([1]SuSa_2024!BQ:BQ,MATCH($B99,[1]SuSa_2024!$B:$B,0)),"0")</f>
        <v>0</v>
      </c>
      <c r="AN99" s="8">
        <f>IFERROR(INDEX([1]SuSa_2024!BR:BR,MATCH($B99,[1]SuSa_2024!$B:$B,0)),"0")</f>
        <v>0</v>
      </c>
      <c r="AO99" s="8">
        <f>IFERROR(INDEX([1]SuSa_2024!BS:BS,MATCH($B99,[1]SuSa_2024!$B:$B,0)),"0")</f>
        <v>0</v>
      </c>
      <c r="AP99" s="8">
        <f>IFERROR(INDEX([1]SuSa_2024!BT:BT,MATCH($B99,[1]SuSa_2024!$B:$B,0)),"0")</f>
        <v>0</v>
      </c>
      <c r="AQ99" s="8">
        <f>IFERROR(INDEX([1]SuSa_2024!BU:BU,MATCH($B99,[1]SuSa_2024!$B:$B,0)),"0")</f>
        <v>0</v>
      </c>
      <c r="AR99" s="8">
        <f>IFERROR(INDEX([1]SuSa_2024!BV:BV,MATCH($B99,[1]SuSa_2024!$B:$B,0)),"0")</f>
        <v>0</v>
      </c>
      <c r="AS99" s="8">
        <f>IFERROR(INDEX([1]SuSa_2024!BW:BW,MATCH($B99,[1]SuSa_2024!$B:$B,0)),"0")</f>
        <v>0</v>
      </c>
      <c r="AT99" s="8">
        <f>IFERROR(INDEX([1]SuSa_2024!BX:BX,MATCH($B99,[1]SuSa_2024!$B:$B,0)),"0")</f>
        <v>0</v>
      </c>
      <c r="AU99" s="8">
        <f>IFERROR(INDEX([1]SuSa_2024!BY:BY,MATCH($B99,[1]SuSa_2024!$B:$B,0)),"0")</f>
        <v>20.82</v>
      </c>
      <c r="AV99" s="8">
        <f>IFERROR(INDEX([1]SuSa_2025!AR:AR,MATCH($B99,[1]SuSa_2025!$B:$B,0)),"0")</f>
        <v>0</v>
      </c>
      <c r="AW99" s="8">
        <f>IFERROR(INDEX([1]SuSa_2025!AS:AS,MATCH($B99,[1]SuSa_2025!$B:$B,0)),"0")</f>
        <v>0</v>
      </c>
      <c r="AX99" s="8">
        <f>IFERROR(INDEX([1]SuSa_2025!AT:AT,MATCH($B99,[1]SuSa_2025!$B:$B,0)),"0")</f>
        <v>0</v>
      </c>
      <c r="AY99" s="8">
        <f>IFERROR(INDEX([1]SuSa_2025!AU:AU,MATCH($B99,[1]SuSa_2025!$B:$B,0)),"0")</f>
        <v>0</v>
      </c>
      <c r="AZ99" s="8">
        <f>IFERROR(INDEX([1]SuSa_2025!AV:AV,MATCH($B99,[1]SuSa_2025!$B:$B,0)),"0")</f>
        <v>0</v>
      </c>
      <c r="BA99" s="8">
        <f>IFERROR(INDEX([1]SuSa_2025!AW:AW,MATCH($B99,[1]SuSa_2025!$B:$B,0)),"0")</f>
        <v>0</v>
      </c>
      <c r="BB99" s="8">
        <f>IFERROR(INDEX([1]SuSa_2025!AX:AX,MATCH($B99,[1]SuSa_2025!$B:$B,0)),"0")</f>
        <v>0</v>
      </c>
    </row>
    <row r="100" spans="1:54" outlineLevel="1" collapsed="1" x14ac:dyDescent="0.25">
      <c r="A100" s="5" t="s">
        <v>342</v>
      </c>
      <c r="B100" s="6" t="s">
        <v>343</v>
      </c>
      <c r="C100" t="s">
        <v>344</v>
      </c>
      <c r="F100" s="7">
        <f t="shared" si="5"/>
        <v>4912.5</v>
      </c>
      <c r="G100" s="7">
        <f t="shared" si="6"/>
        <v>0</v>
      </c>
      <c r="H100" s="7" t="str">
        <f t="shared" si="7"/>
        <v>0</v>
      </c>
      <c r="I100" s="7" t="str">
        <f t="shared" si="8"/>
        <v>0</v>
      </c>
      <c r="J100" s="8">
        <f t="shared" si="10"/>
        <v>0</v>
      </c>
      <c r="K100" s="8" t="str">
        <f t="shared" si="9"/>
        <v>0</v>
      </c>
      <c r="W100" s="8">
        <v>4912.5</v>
      </c>
      <c r="AJ100" s="8" t="str">
        <f>IFERROR(INDEX([1]SuSa_2024!BN:BN,MATCH($B100,[1]SuSa_2024!$B:$B,0)),"0")</f>
        <v>0</v>
      </c>
      <c r="AK100" s="8" t="str">
        <f>IFERROR(INDEX([1]SuSa_2024!BO:BO,MATCH($B100,[1]SuSa_2024!$B:$B,0)),"0")</f>
        <v>0</v>
      </c>
      <c r="AL100" s="8" t="str">
        <f>IFERROR(INDEX([1]SuSa_2024!BP:BP,MATCH($B100,[1]SuSa_2024!$B:$B,0)),"0")</f>
        <v>0</v>
      </c>
      <c r="AM100" s="8" t="str">
        <f>IFERROR(INDEX([1]SuSa_2024!BQ:BQ,MATCH($B100,[1]SuSa_2024!$B:$B,0)),"0")</f>
        <v>0</v>
      </c>
      <c r="AN100" s="8" t="str">
        <f>IFERROR(INDEX([1]SuSa_2024!BR:BR,MATCH($B100,[1]SuSa_2024!$B:$B,0)),"0")</f>
        <v>0</v>
      </c>
      <c r="AO100" s="8" t="str">
        <f>IFERROR(INDEX([1]SuSa_2024!BS:BS,MATCH($B100,[1]SuSa_2024!$B:$B,0)),"0")</f>
        <v>0</v>
      </c>
      <c r="AP100" s="8" t="str">
        <f>IFERROR(INDEX([1]SuSa_2024!BT:BT,MATCH($B100,[1]SuSa_2024!$B:$B,0)),"0")</f>
        <v>0</v>
      </c>
      <c r="AQ100" s="8" t="str">
        <f>IFERROR(INDEX([1]SuSa_2024!BU:BU,MATCH($B100,[1]SuSa_2024!$B:$B,0)),"0")</f>
        <v>0</v>
      </c>
      <c r="AR100" s="8" t="str">
        <f>IFERROR(INDEX([1]SuSa_2024!BV:BV,MATCH($B100,[1]SuSa_2024!$B:$B,0)),"0")</f>
        <v>0</v>
      </c>
      <c r="AS100" s="8" t="str">
        <f>IFERROR(INDEX([1]SuSa_2024!BW:BW,MATCH($B100,[1]SuSa_2024!$B:$B,0)),"0")</f>
        <v>0</v>
      </c>
      <c r="AT100" s="8" t="str">
        <f>IFERROR(INDEX([1]SuSa_2024!BX:BX,MATCH($B100,[1]SuSa_2024!$B:$B,0)),"0")</f>
        <v>0</v>
      </c>
      <c r="AU100" s="8" t="str">
        <f>IFERROR(INDEX([1]SuSa_2024!BY:BY,MATCH($B100,[1]SuSa_2024!$B:$B,0)),"0")</f>
        <v>0</v>
      </c>
      <c r="AV100" s="8" t="str">
        <f>IFERROR(INDEX([1]SuSa_2025!AR:AR,MATCH($B100,[1]SuSa_2025!$B:$B,0)),"0")</f>
        <v>0</v>
      </c>
      <c r="AW100" s="8" t="str">
        <f>IFERROR(INDEX([1]SuSa_2025!AS:AS,MATCH($B100,[1]SuSa_2025!$B:$B,0)),"0")</f>
        <v>0</v>
      </c>
      <c r="AX100" s="8" t="str">
        <f>IFERROR(INDEX([1]SuSa_2025!AT:AT,MATCH($B100,[1]SuSa_2025!$B:$B,0)),"0")</f>
        <v>0</v>
      </c>
      <c r="AY100" s="8" t="str">
        <f>IFERROR(INDEX([1]SuSa_2025!AU:AU,MATCH($B100,[1]SuSa_2025!$B:$B,0)),"0")</f>
        <v>0</v>
      </c>
      <c r="AZ100" s="8" t="str">
        <f>IFERROR(INDEX([1]SuSa_2025!AV:AV,MATCH($B100,[1]SuSa_2025!$B:$B,0)),"0")</f>
        <v>0</v>
      </c>
      <c r="BA100" s="8" t="str">
        <f>IFERROR(INDEX([1]SuSa_2025!AW:AW,MATCH($B100,[1]SuSa_2025!$B:$B,0)),"0")</f>
        <v>0</v>
      </c>
      <c r="BB100" s="8" t="str">
        <f>IFERROR(INDEX([1]SuSa_2025!AX:AX,MATCH($B100,[1]SuSa_2025!$B:$B,0)),"0")</f>
        <v>0</v>
      </c>
    </row>
    <row r="101" spans="1:54" outlineLevel="1" collapsed="1" x14ac:dyDescent="0.25">
      <c r="A101" s="5" t="s">
        <v>345</v>
      </c>
      <c r="B101" s="6" t="s">
        <v>346</v>
      </c>
      <c r="C101" t="s">
        <v>347</v>
      </c>
      <c r="F101" s="22">
        <f t="shared" si="5"/>
        <v>4761</v>
      </c>
      <c r="G101" s="22">
        <f t="shared" si="6"/>
        <v>2001.35</v>
      </c>
      <c r="H101" s="22">
        <f t="shared" si="7"/>
        <v>1935.5</v>
      </c>
      <c r="I101" s="7">
        <f t="shared" si="8"/>
        <v>121.22</v>
      </c>
      <c r="J101" s="8">
        <f t="shared" si="10"/>
        <v>589.95999999999981</v>
      </c>
      <c r="K101" s="8">
        <f t="shared" si="9"/>
        <v>1466.76</v>
      </c>
      <c r="L101" s="8">
        <v>436.87</v>
      </c>
      <c r="M101" s="8">
        <v>1040.21</v>
      </c>
      <c r="N101" s="8">
        <v>1531.31</v>
      </c>
      <c r="O101" s="8">
        <v>2120.75</v>
      </c>
      <c r="P101" s="8">
        <v>2407.4299999999998</v>
      </c>
      <c r="Q101" s="8">
        <v>2809.18</v>
      </c>
      <c r="R101" s="8">
        <v>4231.7</v>
      </c>
      <c r="S101" s="8">
        <v>4590.72</v>
      </c>
      <c r="T101" s="8">
        <v>4619.7700000000004</v>
      </c>
      <c r="U101" s="8">
        <v>4761</v>
      </c>
      <c r="V101" s="8">
        <v>4761</v>
      </c>
      <c r="W101" s="8">
        <v>4761</v>
      </c>
      <c r="X101" s="8">
        <v>50.87</v>
      </c>
      <c r="Y101" s="8">
        <v>278.64</v>
      </c>
      <c r="Z101" s="8">
        <v>432.5</v>
      </c>
      <c r="AA101" s="8">
        <v>675.32</v>
      </c>
      <c r="AB101" s="8">
        <v>789.94</v>
      </c>
      <c r="AC101" s="8">
        <v>1053.78</v>
      </c>
      <c r="AD101" s="8">
        <v>1131.5</v>
      </c>
      <c r="AE101" s="8">
        <v>1183.6600000000001</v>
      </c>
      <c r="AF101" s="8">
        <v>1327.47</v>
      </c>
      <c r="AG101" s="8">
        <v>1446.39</v>
      </c>
      <c r="AH101" s="8">
        <v>1518.41</v>
      </c>
      <c r="AI101" s="8">
        <v>2001.35</v>
      </c>
      <c r="AJ101" s="8">
        <f>IFERROR(INDEX([1]SuSa_2024!BN:BN,MATCH($B101,[1]SuSa_2024!$B:$B,0)),"0")</f>
        <v>2.4300000000000002</v>
      </c>
      <c r="AK101" s="8">
        <f>IFERROR(INDEX([1]SuSa_2024!BO:BO,MATCH($B101,[1]SuSa_2024!$B:$B,0)),"0")</f>
        <v>97.860000000000014</v>
      </c>
      <c r="AL101" s="8">
        <f>IFERROR(INDEX([1]SuSa_2024!BP:BP,MATCH($B101,[1]SuSa_2024!$B:$B,0)),"0")</f>
        <v>225.70000000000002</v>
      </c>
      <c r="AM101" s="8">
        <f>IFERROR(INDEX([1]SuSa_2024!BQ:BQ,MATCH($B101,[1]SuSa_2024!$B:$B,0)),"0")</f>
        <v>346.05</v>
      </c>
      <c r="AN101" s="8">
        <f>IFERROR(INDEX([1]SuSa_2024!BR:BR,MATCH($B101,[1]SuSa_2024!$B:$B,0)),"0")</f>
        <v>569.75</v>
      </c>
      <c r="AO101" s="8">
        <f>IFERROR(INDEX([1]SuSa_2024!BS:BS,MATCH($B101,[1]SuSa_2024!$B:$B,0)),"0")</f>
        <v>1274.08</v>
      </c>
      <c r="AP101" s="8">
        <f>IFERROR(INDEX([1]SuSa_2024!BT:BT,MATCH($B101,[1]SuSa_2024!$B:$B,0)),"0")</f>
        <v>1466.76</v>
      </c>
      <c r="AQ101" s="8">
        <f>IFERROR(INDEX([1]SuSa_2024!BU:BU,MATCH($B101,[1]SuSa_2024!$B:$B,0)),"0")</f>
        <v>1606.25</v>
      </c>
      <c r="AR101" s="8">
        <f>IFERROR(INDEX([1]SuSa_2024!BV:BV,MATCH($B101,[1]SuSa_2024!$B:$B,0)),"0")</f>
        <v>1606.25</v>
      </c>
      <c r="AS101" s="8">
        <f>IFERROR(INDEX([1]SuSa_2024!BW:BW,MATCH($B101,[1]SuSa_2024!$B:$B,0)),"0")</f>
        <v>1610.7</v>
      </c>
      <c r="AT101" s="8">
        <f>IFERROR(INDEX([1]SuSa_2024!BX:BX,MATCH($B101,[1]SuSa_2024!$B:$B,0)),"0")</f>
        <v>1610.7</v>
      </c>
      <c r="AU101" s="8">
        <f>IFERROR(INDEX([1]SuSa_2024!BY:BY,MATCH($B101,[1]SuSa_2024!$B:$B,0)),"0")</f>
        <v>1935.5</v>
      </c>
      <c r="AV101" s="8">
        <f>IFERROR(INDEX([1]SuSa_2025!AR:AR,MATCH($B101,[1]SuSa_2025!$B:$B,0)),"0")</f>
        <v>9.93</v>
      </c>
      <c r="AW101" s="8">
        <f>IFERROR(INDEX([1]SuSa_2025!AS:AS,MATCH($B101,[1]SuSa_2025!$B:$B,0)),"0")</f>
        <v>11.64</v>
      </c>
      <c r="AX101" s="8">
        <f>IFERROR(INDEX([1]SuSa_2025!AT:AT,MATCH($B101,[1]SuSa_2025!$B:$B,0)),"0")</f>
        <v>14.350000000000001</v>
      </c>
      <c r="AY101" s="8">
        <f>IFERROR(INDEX([1]SuSa_2025!AU:AU,MATCH($B101,[1]SuSa_2025!$B:$B,0)),"0")</f>
        <v>16.41</v>
      </c>
      <c r="AZ101" s="8">
        <f>IFERROR(INDEX([1]SuSa_2025!AV:AV,MATCH($B101,[1]SuSa_2025!$B:$B,0)),"0")</f>
        <v>18.34</v>
      </c>
      <c r="BA101" s="8">
        <f>IFERROR(INDEX([1]SuSa_2025!AW:AW,MATCH($B101,[1]SuSa_2025!$B:$B,0)),"0")</f>
        <v>59.069999999999993</v>
      </c>
      <c r="BB101" s="8">
        <f>IFERROR(INDEX([1]SuSa_2025!AX:AX,MATCH($B101,[1]SuSa_2025!$B:$B,0)),"0")</f>
        <v>121.22</v>
      </c>
    </row>
    <row r="102" spans="1:54" outlineLevel="1" collapsed="1" x14ac:dyDescent="0.25">
      <c r="A102" s="5" t="s">
        <v>348</v>
      </c>
      <c r="B102" s="6" t="s">
        <v>349</v>
      </c>
      <c r="C102" t="s">
        <v>350</v>
      </c>
      <c r="F102" s="7">
        <f t="shared" si="5"/>
        <v>0</v>
      </c>
      <c r="G102" s="7">
        <f t="shared" si="6"/>
        <v>0</v>
      </c>
      <c r="H102" s="7">
        <f t="shared" si="7"/>
        <v>28.36</v>
      </c>
      <c r="I102" s="7">
        <f t="shared" si="8"/>
        <v>0</v>
      </c>
      <c r="J102" s="8">
        <f t="shared" si="10"/>
        <v>0</v>
      </c>
      <c r="K102" s="8">
        <f t="shared" si="9"/>
        <v>28.36</v>
      </c>
      <c r="AJ102" s="8">
        <f>IFERROR(INDEX([1]SuSa_2024!BN:BN,MATCH($B102,[1]SuSa_2024!$B:$B,0)),"0")</f>
        <v>28.36</v>
      </c>
      <c r="AK102" s="8">
        <f>IFERROR(INDEX([1]SuSa_2024!BO:BO,MATCH($B102,[1]SuSa_2024!$B:$B,0)),"0")</f>
        <v>28.36</v>
      </c>
      <c r="AL102" s="8">
        <f>IFERROR(INDEX([1]SuSa_2024!BP:BP,MATCH($B102,[1]SuSa_2024!$B:$B,0)),"0")</f>
        <v>28.36</v>
      </c>
      <c r="AM102" s="8">
        <f>IFERROR(INDEX([1]SuSa_2024!BQ:BQ,MATCH($B102,[1]SuSa_2024!$B:$B,0)),"0")</f>
        <v>28.36</v>
      </c>
      <c r="AN102" s="8">
        <f>IFERROR(INDEX([1]SuSa_2024!BR:BR,MATCH($B102,[1]SuSa_2024!$B:$B,0)),"0")</f>
        <v>28.36</v>
      </c>
      <c r="AO102" s="8">
        <f>IFERROR(INDEX([1]SuSa_2024!BS:BS,MATCH($B102,[1]SuSa_2024!$B:$B,0)),"0")</f>
        <v>28.36</v>
      </c>
      <c r="AP102" s="8">
        <f>IFERROR(INDEX([1]SuSa_2024!BT:BT,MATCH($B102,[1]SuSa_2024!$B:$B,0)),"0")</f>
        <v>28.36</v>
      </c>
      <c r="AQ102" s="8">
        <f>IFERROR(INDEX([1]SuSa_2024!BU:BU,MATCH($B102,[1]SuSa_2024!$B:$B,0)),"0")</f>
        <v>28.36</v>
      </c>
      <c r="AR102" s="8">
        <f>IFERROR(INDEX([1]SuSa_2024!BV:BV,MATCH($B102,[1]SuSa_2024!$B:$B,0)),"0")</f>
        <v>28.36</v>
      </c>
      <c r="AS102" s="8">
        <f>IFERROR(INDEX([1]SuSa_2024!BW:BW,MATCH($B102,[1]SuSa_2024!$B:$B,0)),"0")</f>
        <v>28.36</v>
      </c>
      <c r="AT102" s="8">
        <f>IFERROR(INDEX([1]SuSa_2024!BX:BX,MATCH($B102,[1]SuSa_2024!$B:$B,0)),"0")</f>
        <v>28.36</v>
      </c>
      <c r="AU102" s="8">
        <f>IFERROR(INDEX([1]SuSa_2024!BY:BY,MATCH($B102,[1]SuSa_2024!$B:$B,0)),"0")</f>
        <v>28.36</v>
      </c>
      <c r="AV102" s="8">
        <f>IFERROR(INDEX([1]SuSa_2025!AR:AR,MATCH($B102,[1]SuSa_2025!$B:$B,0)),"0")</f>
        <v>0</v>
      </c>
      <c r="AW102" s="8">
        <f>IFERROR(INDEX([1]SuSa_2025!AS:AS,MATCH($B102,[1]SuSa_2025!$B:$B,0)),"0")</f>
        <v>0</v>
      </c>
      <c r="AX102" s="8">
        <f>IFERROR(INDEX([1]SuSa_2025!AT:AT,MATCH($B102,[1]SuSa_2025!$B:$B,0)),"0")</f>
        <v>0</v>
      </c>
      <c r="AY102" s="8">
        <f>IFERROR(INDEX([1]SuSa_2025!AU:AU,MATCH($B102,[1]SuSa_2025!$B:$B,0)),"0")</f>
        <v>0</v>
      </c>
      <c r="AZ102" s="8">
        <f>IFERROR(INDEX([1]SuSa_2025!AV:AV,MATCH($B102,[1]SuSa_2025!$B:$B,0)),"0")</f>
        <v>0</v>
      </c>
      <c r="BA102" s="8">
        <f>IFERROR(INDEX([1]SuSa_2025!AW:AW,MATCH($B102,[1]SuSa_2025!$B:$B,0)),"0")</f>
        <v>0</v>
      </c>
      <c r="BB102" s="8">
        <f>IFERROR(INDEX([1]SuSa_2025!AX:AX,MATCH($B102,[1]SuSa_2025!$B:$B,0)),"0")</f>
        <v>0</v>
      </c>
    </row>
    <row r="103" spans="1:54" outlineLevel="1" collapsed="1" x14ac:dyDescent="0.25">
      <c r="A103" s="5" t="s">
        <v>351</v>
      </c>
      <c r="B103" s="6" t="s">
        <v>352</v>
      </c>
      <c r="C103" t="s">
        <v>353</v>
      </c>
      <c r="E103" t="s">
        <v>354</v>
      </c>
      <c r="F103" s="22">
        <f t="shared" si="5"/>
        <v>124</v>
      </c>
      <c r="G103" s="22">
        <f t="shared" si="6"/>
        <v>515</v>
      </c>
      <c r="H103" s="22">
        <f t="shared" si="7"/>
        <v>4451</v>
      </c>
      <c r="I103" s="7">
        <f t="shared" si="8"/>
        <v>0</v>
      </c>
      <c r="J103" s="8">
        <f t="shared" si="10"/>
        <v>0</v>
      </c>
      <c r="K103" s="8">
        <f t="shared" si="9"/>
        <v>4451</v>
      </c>
      <c r="P103" s="8">
        <v>123</v>
      </c>
      <c r="Q103" s="8">
        <v>124</v>
      </c>
      <c r="R103" s="8">
        <v>124</v>
      </c>
      <c r="S103" s="8">
        <v>124</v>
      </c>
      <c r="T103" s="8">
        <v>124</v>
      </c>
      <c r="U103" s="8">
        <v>124</v>
      </c>
      <c r="V103" s="8">
        <v>124</v>
      </c>
      <c r="W103" s="8">
        <v>124</v>
      </c>
      <c r="X103" s="8">
        <v>77</v>
      </c>
      <c r="Y103" s="8">
        <v>77</v>
      </c>
      <c r="Z103" s="8">
        <v>77</v>
      </c>
      <c r="AA103" s="8">
        <v>77</v>
      </c>
      <c r="AB103" s="8">
        <v>77</v>
      </c>
      <c r="AC103" s="8">
        <v>77</v>
      </c>
      <c r="AD103" s="8">
        <v>515</v>
      </c>
      <c r="AE103" s="8">
        <v>515</v>
      </c>
      <c r="AF103" s="8">
        <v>515</v>
      </c>
      <c r="AG103" s="8">
        <v>515</v>
      </c>
      <c r="AH103" s="8">
        <v>515</v>
      </c>
      <c r="AI103" s="8">
        <v>515</v>
      </c>
      <c r="AJ103" s="8">
        <f>IFERROR(INDEX([1]SuSa_2024!BN:BN,MATCH($B103,[1]SuSa_2024!$B:$B,0)),"0")</f>
        <v>0</v>
      </c>
      <c r="AK103" s="8">
        <f>IFERROR(INDEX([1]SuSa_2024!BO:BO,MATCH($B103,[1]SuSa_2024!$B:$B,0)),"0")</f>
        <v>0</v>
      </c>
      <c r="AL103" s="8">
        <f>IFERROR(INDEX([1]SuSa_2024!BP:BP,MATCH($B103,[1]SuSa_2024!$B:$B,0)),"0")</f>
        <v>0</v>
      </c>
      <c r="AM103" s="8">
        <f>IFERROR(INDEX([1]SuSa_2024!BQ:BQ,MATCH($B103,[1]SuSa_2024!$B:$B,0)),"0")</f>
        <v>210</v>
      </c>
      <c r="AN103" s="8">
        <f>IFERROR(INDEX([1]SuSa_2024!BR:BR,MATCH($B103,[1]SuSa_2024!$B:$B,0)),"0")</f>
        <v>210</v>
      </c>
      <c r="AO103" s="8">
        <f>IFERROR(INDEX([1]SuSa_2024!BS:BS,MATCH($B103,[1]SuSa_2024!$B:$B,0)),"0")</f>
        <v>4451</v>
      </c>
      <c r="AP103" s="8">
        <f>IFERROR(INDEX([1]SuSa_2024!BT:BT,MATCH($B103,[1]SuSa_2024!$B:$B,0)),"0")</f>
        <v>4451</v>
      </c>
      <c r="AQ103" s="8">
        <f>IFERROR(INDEX([1]SuSa_2024!BU:BU,MATCH($B103,[1]SuSa_2024!$B:$B,0)),"0")</f>
        <v>4451</v>
      </c>
      <c r="AR103" s="8">
        <f>IFERROR(INDEX([1]SuSa_2024!BV:BV,MATCH($B103,[1]SuSa_2024!$B:$B,0)),"0")</f>
        <v>4451</v>
      </c>
      <c r="AS103" s="8">
        <f>IFERROR(INDEX([1]SuSa_2024!BW:BW,MATCH($B103,[1]SuSa_2024!$B:$B,0)),"0")</f>
        <v>4451</v>
      </c>
      <c r="AT103" s="8">
        <f>IFERROR(INDEX([1]SuSa_2024!BX:BX,MATCH($B103,[1]SuSa_2024!$B:$B,0)),"0")</f>
        <v>4451</v>
      </c>
      <c r="AU103" s="8">
        <f>IFERROR(INDEX([1]SuSa_2024!BY:BY,MATCH($B103,[1]SuSa_2024!$B:$B,0)),"0")</f>
        <v>4451</v>
      </c>
      <c r="AV103" s="8">
        <f>IFERROR(INDEX([1]SuSa_2025!AR:AR,MATCH($B103,[1]SuSa_2025!$B:$B,0)),"0")</f>
        <v>0</v>
      </c>
      <c r="AW103" s="8">
        <f>IFERROR(INDEX([1]SuSa_2025!AS:AS,MATCH($B103,[1]SuSa_2025!$B:$B,0)),"0")</f>
        <v>0</v>
      </c>
      <c r="AX103" s="8">
        <f>IFERROR(INDEX([1]SuSa_2025!AT:AT,MATCH($B103,[1]SuSa_2025!$B:$B,0)),"0")</f>
        <v>0</v>
      </c>
      <c r="AY103" s="8">
        <f>IFERROR(INDEX([1]SuSa_2025!AU:AU,MATCH($B103,[1]SuSa_2025!$B:$B,0)),"0")</f>
        <v>0</v>
      </c>
      <c r="AZ103" s="8">
        <f>IFERROR(INDEX([1]SuSa_2025!AV:AV,MATCH($B103,[1]SuSa_2025!$B:$B,0)),"0")</f>
        <v>0</v>
      </c>
      <c r="BA103" s="8">
        <f>IFERROR(INDEX([1]SuSa_2025!AW:AW,MATCH($B103,[1]SuSa_2025!$B:$B,0)),"0")</f>
        <v>0</v>
      </c>
      <c r="BB103" s="8">
        <f>IFERROR(INDEX([1]SuSa_2025!AX:AX,MATCH($B103,[1]SuSa_2025!$B:$B,0)),"0")</f>
        <v>0</v>
      </c>
    </row>
    <row r="104" spans="1:54" outlineLevel="1" collapsed="1" x14ac:dyDescent="0.25">
      <c r="A104" s="5" t="s">
        <v>355</v>
      </c>
      <c r="B104" s="6" t="s">
        <v>356</v>
      </c>
      <c r="C104" t="s">
        <v>357</v>
      </c>
      <c r="E104" t="s">
        <v>354</v>
      </c>
      <c r="F104" s="22">
        <f t="shared" si="5"/>
        <v>4824</v>
      </c>
      <c r="G104" s="22">
        <f t="shared" si="6"/>
        <v>0</v>
      </c>
      <c r="H104" s="22">
        <f t="shared" si="7"/>
        <v>0</v>
      </c>
      <c r="I104" s="7">
        <f t="shared" si="8"/>
        <v>0</v>
      </c>
      <c r="J104" s="8">
        <f t="shared" si="10"/>
        <v>0</v>
      </c>
      <c r="K104" s="8">
        <f t="shared" si="9"/>
        <v>0</v>
      </c>
      <c r="W104" s="8">
        <v>4824</v>
      </c>
      <c r="AJ104" s="8">
        <f>IFERROR(INDEX([1]SuSa_2024!BN:BN,MATCH($B104,[1]SuSa_2024!$B:$B,0)),"0")</f>
        <v>0</v>
      </c>
      <c r="AK104" s="8">
        <f>IFERROR(INDEX([1]SuSa_2024!BO:BO,MATCH($B104,[1]SuSa_2024!$B:$B,0)),"0")</f>
        <v>0</v>
      </c>
      <c r="AL104" s="8">
        <f>IFERROR(INDEX([1]SuSa_2024!BP:BP,MATCH($B104,[1]SuSa_2024!$B:$B,0)),"0")</f>
        <v>0</v>
      </c>
      <c r="AM104" s="8">
        <f>IFERROR(INDEX([1]SuSa_2024!BQ:BQ,MATCH($B104,[1]SuSa_2024!$B:$B,0)),"0")</f>
        <v>0</v>
      </c>
      <c r="AN104" s="8">
        <f>IFERROR(INDEX([1]SuSa_2024!BR:BR,MATCH($B104,[1]SuSa_2024!$B:$B,0)),"0")</f>
        <v>0</v>
      </c>
      <c r="AV104" s="8">
        <f>IFERROR(INDEX([1]SuSa_2025!AR:AR,MATCH($B104,[1]SuSa_2025!$B:$B,0)),"0")</f>
        <v>0</v>
      </c>
      <c r="AW104" s="8">
        <f>IFERROR(INDEX([1]SuSa_2025!AS:AS,MATCH($B104,[1]SuSa_2025!$B:$B,0)),"0")</f>
        <v>0</v>
      </c>
      <c r="AX104" s="8">
        <f>IFERROR(INDEX([1]SuSa_2025!AT:AT,MATCH($B104,[1]SuSa_2025!$B:$B,0)),"0")</f>
        <v>0</v>
      </c>
      <c r="AY104" s="8">
        <f>IFERROR(INDEX([1]SuSa_2025!AU:AU,MATCH($B104,[1]SuSa_2025!$B:$B,0)),"0")</f>
        <v>0</v>
      </c>
      <c r="AZ104" s="8">
        <f>IFERROR(INDEX([1]SuSa_2025!AV:AV,MATCH($B104,[1]SuSa_2025!$B:$B,0)),"0")</f>
        <v>0</v>
      </c>
      <c r="BA104" s="8">
        <f>IFERROR(INDEX([1]SuSa_2025!AW:AW,MATCH($B104,[1]SuSa_2025!$B:$B,0)),"0")</f>
        <v>0</v>
      </c>
      <c r="BB104" s="8">
        <f>IFERROR(INDEX([1]SuSa_2025!AX:AX,MATCH($B104,[1]SuSa_2025!$B:$B,0)),"0")</f>
        <v>0</v>
      </c>
    </row>
    <row r="105" spans="1:54" outlineLevel="1" x14ac:dyDescent="0.25">
      <c r="A105" s="5" t="s">
        <v>355</v>
      </c>
      <c r="B105" s="6" t="s">
        <v>356</v>
      </c>
      <c r="C105" t="s">
        <v>357</v>
      </c>
      <c r="E105" t="s">
        <v>354</v>
      </c>
      <c r="F105" s="23"/>
      <c r="G105" s="23">
        <f t="shared" si="6"/>
        <v>54785</v>
      </c>
      <c r="H105" s="23">
        <f t="shared" si="7"/>
        <v>496</v>
      </c>
      <c r="I105" s="7">
        <f t="shared" si="8"/>
        <v>0</v>
      </c>
      <c r="J105" s="8">
        <f t="shared" si="10"/>
        <v>0</v>
      </c>
      <c r="K105" s="8">
        <f t="shared" si="9"/>
        <v>496</v>
      </c>
      <c r="AA105" s="8">
        <v>873</v>
      </c>
      <c r="AB105" s="8">
        <v>873</v>
      </c>
      <c r="AC105" s="8">
        <v>873</v>
      </c>
      <c r="AD105" s="8">
        <v>873</v>
      </c>
      <c r="AE105" s="8">
        <v>873</v>
      </c>
      <c r="AF105" s="8">
        <v>873</v>
      </c>
      <c r="AG105" s="8">
        <v>873</v>
      </c>
      <c r="AH105" s="8">
        <v>873</v>
      </c>
      <c r="AI105" s="8">
        <v>54785</v>
      </c>
      <c r="AJ105" s="8">
        <f>IFERROR(INDEX([1]SuSa_2024!BN:BN,MATCH($B105,[1]SuSa_2024!$B:$B,0)),"0")</f>
        <v>0</v>
      </c>
      <c r="AK105" s="8">
        <f>IFERROR(INDEX([1]SuSa_2024!BO:BO,MATCH($B105,[1]SuSa_2024!$B:$B,0)),"0")</f>
        <v>0</v>
      </c>
      <c r="AL105" s="8">
        <f>IFERROR(INDEX([1]SuSa_2024!BP:BP,MATCH($B105,[1]SuSa_2024!$B:$B,0)),"0")</f>
        <v>0</v>
      </c>
      <c r="AM105" s="8">
        <f>IFERROR(INDEX([1]SuSa_2024!BQ:BQ,MATCH($B105,[1]SuSa_2024!$B:$B,0)),"0")</f>
        <v>0</v>
      </c>
      <c r="AN105" s="8">
        <f>IFERROR(INDEX([1]SuSa_2024!BR:BR,MATCH($B105,[1]SuSa_2024!$B:$B,0)),"0")</f>
        <v>0</v>
      </c>
      <c r="AO105" s="8">
        <f>IFERROR(INDEX([1]SuSa_2024!BS:BS,MATCH($B105,[1]SuSa_2024!$B:$B,0)),"0")</f>
        <v>496</v>
      </c>
      <c r="AP105" s="8">
        <f>IFERROR(INDEX([1]SuSa_2024!BT:BT,MATCH($B105,[1]SuSa_2024!$B:$B,0)),"0")</f>
        <v>496</v>
      </c>
      <c r="AQ105" s="8">
        <f>IFERROR(INDEX([1]SuSa_2024!BU:BU,MATCH($B105,[1]SuSa_2024!$B:$B,0)),"0")</f>
        <v>496</v>
      </c>
      <c r="AR105" s="8">
        <f>IFERROR(INDEX([1]SuSa_2024!BV:BV,MATCH($B105,[1]SuSa_2024!$B:$B,0)),"0")</f>
        <v>496</v>
      </c>
      <c r="AS105" s="8">
        <f>IFERROR(INDEX([1]SuSa_2024!BW:BW,MATCH($B105,[1]SuSa_2024!$B:$B,0)),"0")</f>
        <v>496</v>
      </c>
      <c r="AT105" s="8">
        <f>IFERROR(INDEX([1]SuSa_2024!BX:BX,MATCH($B105,[1]SuSa_2024!$B:$B,0)),"0")</f>
        <v>496</v>
      </c>
      <c r="AU105" s="8">
        <f>IFERROR(INDEX([1]SuSa_2024!BY:BY,MATCH($B105,[1]SuSa_2024!$B:$B,0)),"0")</f>
        <v>496</v>
      </c>
      <c r="AV105" s="8">
        <f>IFERROR(INDEX([1]SuSa_2025!AR:AR,MATCH($B105,[1]SuSa_2025!$B:$B,0)),"0")</f>
        <v>0</v>
      </c>
      <c r="AW105" s="8">
        <f>IFERROR(INDEX([1]SuSa_2025!AS:AS,MATCH($B105,[1]SuSa_2025!$B:$B,0)),"0")</f>
        <v>0</v>
      </c>
      <c r="AX105" s="8">
        <f>IFERROR(INDEX([1]SuSa_2025!AT:AT,MATCH($B105,[1]SuSa_2025!$B:$B,0)),"0")</f>
        <v>0</v>
      </c>
      <c r="AY105" s="8">
        <f>IFERROR(INDEX([1]SuSa_2025!AU:AU,MATCH($B105,[1]SuSa_2025!$B:$B,0)),"0")</f>
        <v>0</v>
      </c>
      <c r="AZ105" s="8">
        <f>IFERROR(INDEX([1]SuSa_2025!AV:AV,MATCH($B105,[1]SuSa_2025!$B:$B,0)),"0")</f>
        <v>0</v>
      </c>
      <c r="BA105" s="8">
        <f>IFERROR(INDEX([1]SuSa_2025!AW:AW,MATCH($B105,[1]SuSa_2025!$B:$B,0)),"0")</f>
        <v>0</v>
      </c>
      <c r="BB105" s="8">
        <f>IFERROR(INDEX([1]SuSa_2025!AX:AX,MATCH($B105,[1]SuSa_2025!$B:$B,0)),"0")</f>
        <v>0</v>
      </c>
    </row>
    <row r="106" spans="1:54" outlineLevel="1" collapsed="1" x14ac:dyDescent="0.25">
      <c r="A106" s="5" t="s">
        <v>358</v>
      </c>
      <c r="B106" s="6" t="s">
        <v>359</v>
      </c>
      <c r="C106" t="s">
        <v>360</v>
      </c>
      <c r="F106" s="22">
        <f t="shared" si="5"/>
        <v>400</v>
      </c>
      <c r="G106" s="22">
        <f t="shared" si="6"/>
        <v>0</v>
      </c>
      <c r="H106" s="22" t="str">
        <f t="shared" si="7"/>
        <v>0</v>
      </c>
      <c r="I106" s="7" t="str">
        <f t="shared" si="8"/>
        <v>0</v>
      </c>
      <c r="J106" s="8">
        <f t="shared" si="10"/>
        <v>0</v>
      </c>
      <c r="K106" s="8" t="str">
        <f t="shared" si="9"/>
        <v>0</v>
      </c>
      <c r="W106" s="8">
        <v>400</v>
      </c>
      <c r="AJ106" s="8" t="str">
        <f>IFERROR(INDEX([1]SuSa_2024!BN:BN,MATCH($B106,[1]SuSa_2024!$B:$B,0)),"0")</f>
        <v>0</v>
      </c>
      <c r="AK106" s="8" t="str">
        <f>IFERROR(INDEX([1]SuSa_2024!BO:BO,MATCH($B106,[1]SuSa_2024!$B:$B,0)),"0")</f>
        <v>0</v>
      </c>
      <c r="AL106" s="8" t="str">
        <f>IFERROR(INDEX([1]SuSa_2024!BP:BP,MATCH($B106,[1]SuSa_2024!$B:$B,0)),"0")</f>
        <v>0</v>
      </c>
      <c r="AM106" s="8" t="str">
        <f>IFERROR(INDEX([1]SuSa_2024!BQ:BQ,MATCH($B106,[1]SuSa_2024!$B:$B,0)),"0")</f>
        <v>0</v>
      </c>
      <c r="AN106" s="8" t="str">
        <f>IFERROR(INDEX([1]SuSa_2024!BR:BR,MATCH($B106,[1]SuSa_2024!$B:$B,0)),"0")</f>
        <v>0</v>
      </c>
      <c r="AO106" s="8" t="str">
        <f>IFERROR(INDEX([1]SuSa_2024!BS:BS,MATCH($B106,[1]SuSa_2024!$B:$B,0)),"0")</f>
        <v>0</v>
      </c>
      <c r="AP106" s="8" t="str">
        <f>IFERROR(INDEX([1]SuSa_2024!BT:BT,MATCH($B106,[1]SuSa_2024!$B:$B,0)),"0")</f>
        <v>0</v>
      </c>
      <c r="AQ106" s="8" t="str">
        <f>IFERROR(INDEX([1]SuSa_2024!BU:BU,MATCH($B106,[1]SuSa_2024!$B:$B,0)),"0")</f>
        <v>0</v>
      </c>
      <c r="AR106" s="8" t="str">
        <f>IFERROR(INDEX([1]SuSa_2024!BV:BV,MATCH($B106,[1]SuSa_2024!$B:$B,0)),"0")</f>
        <v>0</v>
      </c>
      <c r="AS106" s="8" t="str">
        <f>IFERROR(INDEX([1]SuSa_2024!BW:BW,MATCH($B106,[1]SuSa_2024!$B:$B,0)),"0")</f>
        <v>0</v>
      </c>
      <c r="AT106" s="8" t="str">
        <f>IFERROR(INDEX([1]SuSa_2024!BX:BX,MATCH($B106,[1]SuSa_2024!$B:$B,0)),"0")</f>
        <v>0</v>
      </c>
      <c r="AU106" s="8" t="str">
        <f>IFERROR(INDEX([1]SuSa_2024!BY:BY,MATCH($B106,[1]SuSa_2024!$B:$B,0)),"0")</f>
        <v>0</v>
      </c>
      <c r="AV106" s="8" t="str">
        <f>IFERROR(INDEX([1]SuSa_2025!AR:AR,MATCH($B106,[1]SuSa_2025!$B:$B,0)),"0")</f>
        <v>0</v>
      </c>
      <c r="AW106" s="8" t="str">
        <f>IFERROR(INDEX([1]SuSa_2025!AS:AS,MATCH($B106,[1]SuSa_2025!$B:$B,0)),"0")</f>
        <v>0</v>
      </c>
      <c r="AX106" s="8" t="str">
        <f>IFERROR(INDEX([1]SuSa_2025!AT:AT,MATCH($B106,[1]SuSa_2025!$B:$B,0)),"0")</f>
        <v>0</v>
      </c>
      <c r="AY106" s="8" t="str">
        <f>IFERROR(INDEX([1]SuSa_2025!AU:AU,MATCH($B106,[1]SuSa_2025!$B:$B,0)),"0")</f>
        <v>0</v>
      </c>
      <c r="AZ106" s="8" t="str">
        <f>IFERROR(INDEX([1]SuSa_2025!AV:AV,MATCH($B106,[1]SuSa_2025!$B:$B,0)),"0")</f>
        <v>0</v>
      </c>
      <c r="BA106" s="8" t="str">
        <f>IFERROR(INDEX([1]SuSa_2025!AW:AW,MATCH($B106,[1]SuSa_2025!$B:$B,0)),"0")</f>
        <v>0</v>
      </c>
      <c r="BB106" s="8" t="str">
        <f>IFERROR(INDEX([1]SuSa_2025!AX:AX,MATCH($B106,[1]SuSa_2025!$B:$B,0)),"0")</f>
        <v>0</v>
      </c>
    </row>
    <row r="107" spans="1:54" outlineLevel="1" collapsed="1" x14ac:dyDescent="0.25">
      <c r="A107" s="5" t="s">
        <v>361</v>
      </c>
      <c r="B107" s="6" t="s">
        <v>362</v>
      </c>
      <c r="C107" t="s">
        <v>363</v>
      </c>
      <c r="E107" t="s">
        <v>326</v>
      </c>
      <c r="F107" s="7">
        <f t="shared" si="5"/>
        <v>-22127.55</v>
      </c>
      <c r="G107" s="7">
        <f t="shared" si="6"/>
        <v>-13931.73</v>
      </c>
      <c r="H107" s="7">
        <f t="shared" si="7"/>
        <v>-872.41000000000008</v>
      </c>
      <c r="I107" s="7">
        <f t="shared" si="8"/>
        <v>0</v>
      </c>
      <c r="J107" s="8">
        <f t="shared" si="10"/>
        <v>-1.5099999999999909</v>
      </c>
      <c r="K107" s="8">
        <f t="shared" si="9"/>
        <v>-870.90000000000009</v>
      </c>
      <c r="L107" s="8">
        <v>-10322.68</v>
      </c>
      <c r="M107" s="8">
        <v>-21064.65</v>
      </c>
      <c r="N107" s="8">
        <v>-22127.55</v>
      </c>
      <c r="O107" s="8">
        <v>-22127.55</v>
      </c>
      <c r="P107" s="8">
        <v>-22127.55</v>
      </c>
      <c r="Q107" s="8">
        <v>-22127.55</v>
      </c>
      <c r="R107" s="8">
        <v>-22127.55</v>
      </c>
      <c r="S107" s="8">
        <v>-22127.55</v>
      </c>
      <c r="T107" s="8">
        <v>-22127.55</v>
      </c>
      <c r="U107" s="8">
        <v>-22127.55</v>
      </c>
      <c r="V107" s="8">
        <v>-22127.55</v>
      </c>
      <c r="W107" s="8">
        <v>-22127.55</v>
      </c>
      <c r="X107" s="8">
        <v>-6984.43</v>
      </c>
      <c r="Y107" s="8">
        <v>-13489.93</v>
      </c>
      <c r="Z107" s="8">
        <v>-13489.93</v>
      </c>
      <c r="AA107" s="8">
        <v>-13489.93</v>
      </c>
      <c r="AB107" s="8">
        <v>-13489.93</v>
      </c>
      <c r="AC107" s="8">
        <v>-13489.93</v>
      </c>
      <c r="AD107" s="8">
        <v>-13489.93</v>
      </c>
      <c r="AE107" s="8">
        <v>-13489.93</v>
      </c>
      <c r="AF107" s="8">
        <v>-13489.93</v>
      </c>
      <c r="AG107" s="8">
        <v>-13489.93</v>
      </c>
      <c r="AH107" s="8">
        <v>-13489.93</v>
      </c>
      <c r="AI107" s="8">
        <v>-13931.73</v>
      </c>
      <c r="AJ107" s="8">
        <f>IFERROR(INDEX([1]SuSa_2024!BN:BN,MATCH($B107,[1]SuSa_2024!$B:$B,0)),"0")</f>
        <v>168.98</v>
      </c>
      <c r="AK107" s="8">
        <f>IFERROR(INDEX([1]SuSa_2024!BO:BO,MATCH($B107,[1]SuSa_2024!$B:$B,0)),"0")</f>
        <v>2010.34</v>
      </c>
      <c r="AL107" s="8">
        <f>IFERROR(INDEX([1]SuSa_2024!BP:BP,MATCH($B107,[1]SuSa_2024!$B:$B,0)),"0")</f>
        <v>1146.98</v>
      </c>
      <c r="AM107" s="8">
        <f>IFERROR(INDEX([1]SuSa_2024!BQ:BQ,MATCH($B107,[1]SuSa_2024!$B:$B,0)),"0")</f>
        <v>1146.98</v>
      </c>
      <c r="AN107" s="8">
        <f>IFERROR(INDEX([1]SuSa_2024!BR:BR,MATCH($B107,[1]SuSa_2024!$B:$B,0)),"0")</f>
        <v>1146.98</v>
      </c>
      <c r="AO107" s="8">
        <f>IFERROR(INDEX([1]SuSa_2024!BS:BS,MATCH($B107,[1]SuSa_2024!$B:$B,0)),"0")</f>
        <v>-870.90000000000009</v>
      </c>
      <c r="AP107" s="8">
        <f>IFERROR(INDEX([1]SuSa_2024!BT:BT,MATCH($B107,[1]SuSa_2024!$B:$B,0)),"0")</f>
        <v>-870.90000000000009</v>
      </c>
      <c r="AQ107" s="8">
        <f>IFERROR(INDEX([1]SuSa_2024!BU:BU,MATCH($B107,[1]SuSa_2024!$B:$B,0)),"0")</f>
        <v>-870.90000000000009</v>
      </c>
      <c r="AR107" s="8">
        <f>IFERROR(INDEX([1]SuSa_2024!BV:BV,MATCH($B107,[1]SuSa_2024!$B:$B,0)),"0")</f>
        <v>-870.90000000000009</v>
      </c>
      <c r="AS107" s="8">
        <f>IFERROR(INDEX([1]SuSa_2024!BW:BW,MATCH($B107,[1]SuSa_2024!$B:$B,0)),"0")</f>
        <v>-870.90000000000009</v>
      </c>
      <c r="AT107" s="8">
        <f>IFERROR(INDEX([1]SuSa_2024!BX:BX,MATCH($B107,[1]SuSa_2024!$B:$B,0)),"0")</f>
        <v>-870.90000000000009</v>
      </c>
      <c r="AU107" s="8">
        <f>IFERROR(INDEX([1]SuSa_2024!BY:BY,MATCH($B107,[1]SuSa_2024!$B:$B,0)),"0")</f>
        <v>-872.41000000000008</v>
      </c>
      <c r="AV107" s="8">
        <f>IFERROR(INDEX([1]SuSa_2025!AR:AR,MATCH($B107,[1]SuSa_2025!$B:$B,0)),"0")</f>
        <v>0</v>
      </c>
      <c r="AW107" s="8">
        <f>IFERROR(INDEX([1]SuSa_2025!AS:AS,MATCH($B107,[1]SuSa_2025!$B:$B,0)),"0")</f>
        <v>0</v>
      </c>
      <c r="AX107" s="8">
        <f>IFERROR(INDEX([1]SuSa_2025!AT:AT,MATCH($B107,[1]SuSa_2025!$B:$B,0)),"0")</f>
        <v>0</v>
      </c>
      <c r="AY107" s="8">
        <f>IFERROR(INDEX([1]SuSa_2025!AU:AU,MATCH($B107,[1]SuSa_2025!$B:$B,0)),"0")</f>
        <v>0</v>
      </c>
      <c r="AZ107" s="8">
        <f>IFERROR(INDEX([1]SuSa_2025!AV:AV,MATCH($B107,[1]SuSa_2025!$B:$B,0)),"0")</f>
        <v>0</v>
      </c>
      <c r="BA107" s="8">
        <f>IFERROR(INDEX([1]SuSa_2025!AW:AW,MATCH($B107,[1]SuSa_2025!$B:$B,0)),"0")</f>
        <v>0</v>
      </c>
      <c r="BB107" s="8">
        <f>IFERROR(INDEX([1]SuSa_2025!AX:AX,MATCH($B107,[1]SuSa_2025!$B:$B,0)),"0")</f>
        <v>0</v>
      </c>
    </row>
    <row r="108" spans="1:54" outlineLevel="1" collapsed="1" x14ac:dyDescent="0.25">
      <c r="A108" s="5" t="s">
        <v>364</v>
      </c>
      <c r="B108" s="6" t="s">
        <v>365</v>
      </c>
      <c r="C108" t="s">
        <v>366</v>
      </c>
      <c r="F108" s="7">
        <f t="shared" si="5"/>
        <v>-621.15</v>
      </c>
      <c r="G108" s="7">
        <f t="shared" si="6"/>
        <v>0</v>
      </c>
      <c r="H108" s="7" t="str">
        <f t="shared" si="7"/>
        <v>0</v>
      </c>
      <c r="I108" s="7" t="str">
        <f t="shared" si="8"/>
        <v>0</v>
      </c>
      <c r="J108" s="8">
        <f t="shared" si="10"/>
        <v>0</v>
      </c>
      <c r="K108" s="8" t="str">
        <f t="shared" si="9"/>
        <v>0</v>
      </c>
      <c r="R108" s="8">
        <v>-0.15</v>
      </c>
      <c r="S108" s="8">
        <v>-0.15</v>
      </c>
      <c r="T108" s="8">
        <v>-0.15</v>
      </c>
      <c r="U108" s="8">
        <v>-0.15</v>
      </c>
      <c r="V108" s="8">
        <v>-0.15</v>
      </c>
      <c r="W108" s="8">
        <v>-621.15</v>
      </c>
      <c r="AJ108" s="8" t="str">
        <f>IFERROR(INDEX([1]SuSa_2024!BN:BN,MATCH($B108,[1]SuSa_2024!$B:$B,0)),"0")</f>
        <v>0</v>
      </c>
      <c r="AK108" s="8" t="str">
        <f>IFERROR(INDEX([1]SuSa_2024!BO:BO,MATCH($B108,[1]SuSa_2024!$B:$B,0)),"0")</f>
        <v>0</v>
      </c>
      <c r="AL108" s="8" t="str">
        <f>IFERROR(INDEX([1]SuSa_2024!BP:BP,MATCH($B108,[1]SuSa_2024!$B:$B,0)),"0")</f>
        <v>0</v>
      </c>
      <c r="AM108" s="8" t="str">
        <f>IFERROR(INDEX([1]SuSa_2024!BQ:BQ,MATCH($B108,[1]SuSa_2024!$B:$B,0)),"0")</f>
        <v>0</v>
      </c>
      <c r="AN108" s="8" t="str">
        <f>IFERROR(INDEX([1]SuSa_2024!BR:BR,MATCH($B108,[1]SuSa_2024!$B:$B,0)),"0")</f>
        <v>0</v>
      </c>
      <c r="AO108" s="8" t="str">
        <f>IFERROR(INDEX([1]SuSa_2024!BS:BS,MATCH($B108,[1]SuSa_2024!$B:$B,0)),"0")</f>
        <v>0</v>
      </c>
      <c r="AP108" s="8" t="str">
        <f>IFERROR(INDEX([1]SuSa_2024!BT:BT,MATCH($B108,[1]SuSa_2024!$B:$B,0)),"0")</f>
        <v>0</v>
      </c>
      <c r="AQ108" s="8" t="str">
        <f>IFERROR(INDEX([1]SuSa_2024!BU:BU,MATCH($B108,[1]SuSa_2024!$B:$B,0)),"0")</f>
        <v>0</v>
      </c>
      <c r="AR108" s="8" t="str">
        <f>IFERROR(INDEX([1]SuSa_2024!BV:BV,MATCH($B108,[1]SuSa_2024!$B:$B,0)),"0")</f>
        <v>0</v>
      </c>
      <c r="AS108" s="8" t="str">
        <f>IFERROR(INDEX([1]SuSa_2024!BW:BW,MATCH($B108,[1]SuSa_2024!$B:$B,0)),"0")</f>
        <v>0</v>
      </c>
      <c r="AT108" s="8" t="str">
        <f>IFERROR(INDEX([1]SuSa_2024!BX:BX,MATCH($B108,[1]SuSa_2024!$B:$B,0)),"0")</f>
        <v>0</v>
      </c>
      <c r="AU108" s="8" t="str">
        <f>IFERROR(INDEX([1]SuSa_2024!BY:BY,MATCH($B108,[1]SuSa_2024!$B:$B,0)),"0")</f>
        <v>0</v>
      </c>
      <c r="AV108" s="8" t="str">
        <f>IFERROR(INDEX([1]SuSa_2025!AR:AR,MATCH($B108,[1]SuSa_2025!$B:$B,0)),"0")</f>
        <v>0</v>
      </c>
      <c r="AW108" s="8" t="str">
        <f>IFERROR(INDEX([1]SuSa_2025!AS:AS,MATCH($B108,[1]SuSa_2025!$B:$B,0)),"0")</f>
        <v>0</v>
      </c>
      <c r="AX108" s="8" t="str">
        <f>IFERROR(INDEX([1]SuSa_2025!AT:AT,MATCH($B108,[1]SuSa_2025!$B:$B,0)),"0")</f>
        <v>0</v>
      </c>
      <c r="AY108" s="8" t="str">
        <f>IFERROR(INDEX([1]SuSa_2025!AU:AU,MATCH($B108,[1]SuSa_2025!$B:$B,0)),"0")</f>
        <v>0</v>
      </c>
      <c r="AZ108" s="8" t="str">
        <f>IFERROR(INDEX([1]SuSa_2025!AV:AV,MATCH($B108,[1]SuSa_2025!$B:$B,0)),"0")</f>
        <v>0</v>
      </c>
      <c r="BA108" s="8" t="str">
        <f>IFERROR(INDEX([1]SuSa_2025!AW:AW,MATCH($B108,[1]SuSa_2025!$B:$B,0)),"0")</f>
        <v>0</v>
      </c>
      <c r="BB108" s="8" t="str">
        <f>IFERROR(INDEX([1]SuSa_2025!AX:AX,MATCH($B108,[1]SuSa_2025!$B:$B,0)),"0")</f>
        <v>0</v>
      </c>
    </row>
    <row r="109" spans="1:54" outlineLevel="1" collapsed="1" x14ac:dyDescent="0.25">
      <c r="A109" s="5" t="s">
        <v>367</v>
      </c>
      <c r="B109" s="6" t="s">
        <v>368</v>
      </c>
      <c r="C109" t="s">
        <v>369</v>
      </c>
      <c r="F109" s="7">
        <f t="shared" si="5"/>
        <v>0</v>
      </c>
      <c r="G109" s="7">
        <f t="shared" si="6"/>
        <v>0</v>
      </c>
      <c r="H109" s="7">
        <f t="shared" si="7"/>
        <v>-237.36999999999998</v>
      </c>
      <c r="I109" s="7">
        <f t="shared" si="8"/>
        <v>0</v>
      </c>
      <c r="J109" s="8">
        <f t="shared" si="10"/>
        <v>0</v>
      </c>
      <c r="K109" s="8">
        <f t="shared" si="9"/>
        <v>-237.36999999999998</v>
      </c>
      <c r="AJ109" s="8">
        <f>IFERROR(INDEX([1]SuSa_2024!BN:BN,MATCH($B109,[1]SuSa_2024!$B:$B,0)),"0")</f>
        <v>0</v>
      </c>
      <c r="AK109" s="8">
        <f>IFERROR(INDEX([1]SuSa_2024!BO:BO,MATCH($B109,[1]SuSa_2024!$B:$B,0)),"0")</f>
        <v>0</v>
      </c>
      <c r="AL109" s="8">
        <f>IFERROR(INDEX([1]SuSa_2024!BP:BP,MATCH($B109,[1]SuSa_2024!$B:$B,0)),"0")</f>
        <v>-227.64</v>
      </c>
      <c r="AM109" s="8">
        <f>IFERROR(INDEX([1]SuSa_2024!BQ:BQ,MATCH($B109,[1]SuSa_2024!$B:$B,0)),"0")</f>
        <v>-237.36999999999998</v>
      </c>
      <c r="AN109" s="8">
        <f>IFERROR(INDEX([1]SuSa_2024!BR:BR,MATCH($B109,[1]SuSa_2024!$B:$B,0)),"0")</f>
        <v>-237.36999999999998</v>
      </c>
      <c r="AO109" s="8">
        <f>IFERROR(INDEX([1]SuSa_2024!BS:BS,MATCH($B109,[1]SuSa_2024!$B:$B,0)),"0")</f>
        <v>-237.36999999999998</v>
      </c>
      <c r="AP109" s="8">
        <f>IFERROR(INDEX([1]SuSa_2024!BT:BT,MATCH($B109,[1]SuSa_2024!$B:$B,0)),"0")</f>
        <v>-237.36999999999998</v>
      </c>
      <c r="AQ109" s="8">
        <f>IFERROR(INDEX([1]SuSa_2024!BU:BU,MATCH($B109,[1]SuSa_2024!$B:$B,0)),"0")</f>
        <v>-237.36999999999998</v>
      </c>
      <c r="AR109" s="8">
        <f>IFERROR(INDEX([1]SuSa_2024!BV:BV,MATCH($B109,[1]SuSa_2024!$B:$B,0)),"0")</f>
        <v>-237.36999999999998</v>
      </c>
      <c r="AS109" s="8">
        <f>IFERROR(INDEX([1]SuSa_2024!BW:BW,MATCH($B109,[1]SuSa_2024!$B:$B,0)),"0")</f>
        <v>-237.36999999999998</v>
      </c>
      <c r="AT109" s="8">
        <f>IFERROR(INDEX([1]SuSa_2024!BX:BX,MATCH($B109,[1]SuSa_2024!$B:$B,0)),"0")</f>
        <v>-237.36999999999998</v>
      </c>
      <c r="AU109" s="8">
        <f>IFERROR(INDEX([1]SuSa_2024!BY:BY,MATCH($B109,[1]SuSa_2024!$B:$B,0)),"0")</f>
        <v>-237.36999999999998</v>
      </c>
      <c r="AV109" s="8">
        <f>IFERROR(INDEX([1]SuSa_2025!AR:AR,MATCH($B109,[1]SuSa_2025!$B:$B,0)),"0")</f>
        <v>0</v>
      </c>
      <c r="AW109" s="8">
        <f>IFERROR(INDEX([1]SuSa_2025!AS:AS,MATCH($B109,[1]SuSa_2025!$B:$B,0)),"0")</f>
        <v>0</v>
      </c>
      <c r="AX109" s="8">
        <f>IFERROR(INDEX([1]SuSa_2025!AT:AT,MATCH($B109,[1]SuSa_2025!$B:$B,0)),"0")</f>
        <v>0</v>
      </c>
      <c r="AY109" s="8">
        <f>IFERROR(INDEX([1]SuSa_2025!AU:AU,MATCH($B109,[1]SuSa_2025!$B:$B,0)),"0")</f>
        <v>0</v>
      </c>
      <c r="AZ109" s="8">
        <f>IFERROR(INDEX([1]SuSa_2025!AV:AV,MATCH($B109,[1]SuSa_2025!$B:$B,0)),"0")</f>
        <v>0</v>
      </c>
      <c r="BA109" s="8">
        <f>IFERROR(INDEX([1]SuSa_2025!AW:AW,MATCH($B109,[1]SuSa_2025!$B:$B,0)),"0")</f>
        <v>0</v>
      </c>
      <c r="BB109" s="8">
        <f>IFERROR(INDEX([1]SuSa_2025!AX:AX,MATCH($B109,[1]SuSa_2025!$B:$B,0)),"0")</f>
        <v>0</v>
      </c>
    </row>
    <row r="110" spans="1:54" outlineLevel="1" collapsed="1" x14ac:dyDescent="0.25">
      <c r="A110" s="5" t="s">
        <v>370</v>
      </c>
      <c r="B110" s="6" t="s">
        <v>371</v>
      </c>
      <c r="C110" t="s">
        <v>372</v>
      </c>
      <c r="F110" s="7">
        <f t="shared" si="5"/>
        <v>1192.77</v>
      </c>
      <c r="G110" s="7">
        <f t="shared" si="6"/>
        <v>-3848.94</v>
      </c>
      <c r="H110" s="7">
        <f t="shared" si="7"/>
        <v>-198.23999999999995</v>
      </c>
      <c r="I110" s="7">
        <f t="shared" si="8"/>
        <v>-1449.9499999999998</v>
      </c>
      <c r="J110" s="8">
        <f t="shared" si="10"/>
        <v>-1516.04</v>
      </c>
      <c r="K110" s="8">
        <f t="shared" si="9"/>
        <v>-132.14999999999995</v>
      </c>
      <c r="M110" s="8">
        <v>-0.19</v>
      </c>
      <c r="N110" s="8">
        <v>-0.19</v>
      </c>
      <c r="O110" s="8">
        <v>-0.19</v>
      </c>
      <c r="P110" s="8">
        <v>-0.56000000000000005</v>
      </c>
      <c r="Q110" s="8">
        <v>-25.6</v>
      </c>
      <c r="R110" s="8">
        <v>-25.6</v>
      </c>
      <c r="S110" s="8">
        <v>-25.6</v>
      </c>
      <c r="T110" s="8">
        <v>562.35</v>
      </c>
      <c r="U110" s="8">
        <v>638.22</v>
      </c>
      <c r="V110" s="8">
        <v>1121.48</v>
      </c>
      <c r="W110" s="8">
        <v>1192.77</v>
      </c>
      <c r="X110" s="8">
        <v>-2159.4499999999998</v>
      </c>
      <c r="Y110" s="8">
        <v>-2162.6999999999998</v>
      </c>
      <c r="Z110" s="8">
        <v>-2162.91</v>
      </c>
      <c r="AA110" s="8">
        <v>-3659.71</v>
      </c>
      <c r="AB110" s="8">
        <v>-2646.35</v>
      </c>
      <c r="AC110" s="8">
        <v>-2647.13</v>
      </c>
      <c r="AD110" s="8">
        <v>-2289.9699999999998</v>
      </c>
      <c r="AE110" s="8">
        <v>-2291.6799999999998</v>
      </c>
      <c r="AF110" s="8">
        <v>-3060.54</v>
      </c>
      <c r="AG110" s="8">
        <v>-3291.91</v>
      </c>
      <c r="AH110" s="8">
        <v>-3673.59</v>
      </c>
      <c r="AI110" s="8">
        <v>-3848.94</v>
      </c>
      <c r="AJ110" s="8">
        <f>IFERROR(INDEX([1]SuSa_2024!BN:BN,MATCH($B110,[1]SuSa_2024!$B:$B,0)),"0")</f>
        <v>-724.43</v>
      </c>
      <c r="AK110" s="8">
        <f>IFERROR(INDEX([1]SuSa_2024!BO:BO,MATCH($B110,[1]SuSa_2024!$B:$B,0)),"0")</f>
        <v>-750.87</v>
      </c>
      <c r="AL110" s="8">
        <f>IFERROR(INDEX([1]SuSa_2024!BP:BP,MATCH($B110,[1]SuSa_2024!$B:$B,0)),"0")</f>
        <v>-92.42999999999995</v>
      </c>
      <c r="AM110" s="8">
        <f>IFERROR(INDEX([1]SuSa_2024!BQ:BQ,MATCH($B110,[1]SuSa_2024!$B:$B,0)),"0")</f>
        <v>-97.219999999999956</v>
      </c>
      <c r="AN110" s="8">
        <f>IFERROR(INDEX([1]SuSa_2024!BR:BR,MATCH($B110,[1]SuSa_2024!$B:$B,0)),"0")</f>
        <v>-100.54999999999995</v>
      </c>
      <c r="AO110" s="8">
        <f>IFERROR(INDEX([1]SuSa_2024!BS:BS,MATCH($B110,[1]SuSa_2024!$B:$B,0)),"0")</f>
        <v>-106.53999999999995</v>
      </c>
      <c r="AP110" s="8">
        <f>IFERROR(INDEX([1]SuSa_2024!BT:BT,MATCH($B110,[1]SuSa_2024!$B:$B,0)),"0")</f>
        <v>-132.14999999999995</v>
      </c>
      <c r="AQ110" s="8">
        <f>IFERROR(INDEX([1]SuSa_2024!BU:BU,MATCH($B110,[1]SuSa_2024!$B:$B,0)),"0")</f>
        <v>-132.14999999999995</v>
      </c>
      <c r="AR110" s="8">
        <f>IFERROR(INDEX([1]SuSa_2024!BV:BV,MATCH($B110,[1]SuSa_2024!$B:$B,0)),"0")</f>
        <v>-132.14999999999995</v>
      </c>
      <c r="AS110" s="8">
        <f>IFERROR(INDEX([1]SuSa_2024!BW:BW,MATCH($B110,[1]SuSa_2024!$B:$B,0)),"0")</f>
        <v>-132.14999999999995</v>
      </c>
      <c r="AT110" s="8">
        <f>IFERROR(INDEX([1]SuSa_2024!BX:BX,MATCH($B110,[1]SuSa_2024!$B:$B,0)),"0")</f>
        <v>-132.14999999999995</v>
      </c>
      <c r="AU110" s="8">
        <f>IFERROR(INDEX([1]SuSa_2024!BY:BY,MATCH($B110,[1]SuSa_2024!$B:$B,0)),"0")</f>
        <v>-198.23999999999995</v>
      </c>
      <c r="AV110" s="8">
        <f>IFERROR(INDEX([1]SuSa_2025!AR:AR,MATCH($B110,[1]SuSa_2025!$B:$B,0)),"0")</f>
        <v>0</v>
      </c>
      <c r="AW110" s="8">
        <f>IFERROR(INDEX([1]SuSa_2025!AS:AS,MATCH($B110,[1]SuSa_2025!$B:$B,0)),"0")</f>
        <v>-1.3</v>
      </c>
      <c r="AX110" s="8">
        <f>IFERROR(INDEX([1]SuSa_2025!AT:AT,MATCH($B110,[1]SuSa_2025!$B:$B,0)),"0")</f>
        <v>-1012.66</v>
      </c>
      <c r="AY110" s="8">
        <f>IFERROR(INDEX([1]SuSa_2025!AU:AU,MATCH($B110,[1]SuSa_2025!$B:$B,0)),"0")</f>
        <v>-1013.3199999999999</v>
      </c>
      <c r="AZ110" s="8">
        <f>IFERROR(INDEX([1]SuSa_2025!AV:AV,MATCH($B110,[1]SuSa_2025!$B:$B,0)),"0")</f>
        <v>-1014.14</v>
      </c>
      <c r="BA110" s="8">
        <f>IFERROR(INDEX([1]SuSa_2025!AW:AW,MATCH($B110,[1]SuSa_2025!$B:$B,0)),"0")</f>
        <v>-1032.58</v>
      </c>
      <c r="BB110" s="8">
        <f>IFERROR(INDEX([1]SuSa_2025!AX:AX,MATCH($B110,[1]SuSa_2025!$B:$B,0)),"0")</f>
        <v>-1449.9499999999998</v>
      </c>
    </row>
    <row r="111" spans="1:54" outlineLevel="1" collapsed="1" x14ac:dyDescent="0.25">
      <c r="A111" s="5" t="s">
        <v>373</v>
      </c>
      <c r="B111" s="6" t="s">
        <v>374</v>
      </c>
      <c r="C111" t="s">
        <v>375</v>
      </c>
      <c r="F111" s="7">
        <f t="shared" si="5"/>
        <v>-38.92</v>
      </c>
      <c r="G111" s="7">
        <f t="shared" si="6"/>
        <v>-37.5</v>
      </c>
      <c r="H111" s="7">
        <f t="shared" si="7"/>
        <v>0</v>
      </c>
      <c r="I111" s="7" t="str">
        <f t="shared" si="8"/>
        <v>0</v>
      </c>
      <c r="J111" s="8">
        <f t="shared" si="10"/>
        <v>0</v>
      </c>
      <c r="K111" s="8">
        <f t="shared" si="9"/>
        <v>0</v>
      </c>
      <c r="W111" s="8">
        <v>-38.92</v>
      </c>
      <c r="AI111" s="8">
        <v>-37.5</v>
      </c>
      <c r="AJ111" s="8">
        <f>IFERROR(INDEX([1]SuSa_2024!BN:BN,MATCH($B111,[1]SuSa_2024!$B:$B,0)),"0")</f>
        <v>0</v>
      </c>
      <c r="AK111" s="8">
        <f>IFERROR(INDEX([1]SuSa_2024!BO:BO,MATCH($B111,[1]SuSa_2024!$B:$B,0)),"0")</f>
        <v>0</v>
      </c>
      <c r="AL111" s="8">
        <f>IFERROR(INDEX([1]SuSa_2024!BP:BP,MATCH($B111,[1]SuSa_2024!$B:$B,0)),"0")</f>
        <v>0</v>
      </c>
      <c r="AM111" s="8">
        <f>IFERROR(INDEX([1]SuSa_2024!BQ:BQ,MATCH($B111,[1]SuSa_2024!$B:$B,0)),"0")</f>
        <v>0</v>
      </c>
      <c r="AN111" s="8">
        <f>IFERROR(INDEX([1]SuSa_2024!BR:BR,MATCH($B111,[1]SuSa_2024!$B:$B,0)),"0")</f>
        <v>0</v>
      </c>
      <c r="AO111" s="8">
        <f>IFERROR(INDEX([1]SuSa_2024!BS:BS,MATCH($B111,[1]SuSa_2024!$B:$B,0)),"0")</f>
        <v>0</v>
      </c>
      <c r="AP111" s="8">
        <f>IFERROR(INDEX([1]SuSa_2024!BT:BT,MATCH($B111,[1]SuSa_2024!$B:$B,0)),"0")</f>
        <v>0</v>
      </c>
      <c r="AQ111" s="8">
        <f>IFERROR(INDEX([1]SuSa_2024!BU:BU,MATCH($B111,[1]SuSa_2024!$B:$B,0)),"0")</f>
        <v>0</v>
      </c>
      <c r="AR111" s="8">
        <f>IFERROR(INDEX([1]SuSa_2024!BV:BV,MATCH($B111,[1]SuSa_2024!$B:$B,0)),"0")</f>
        <v>0</v>
      </c>
      <c r="AS111" s="8">
        <f>IFERROR(INDEX([1]SuSa_2024!BW:BW,MATCH($B111,[1]SuSa_2024!$B:$B,0)),"0")</f>
        <v>0</v>
      </c>
      <c r="AT111" s="8">
        <f>IFERROR(INDEX([1]SuSa_2024!BX:BX,MATCH($B111,[1]SuSa_2024!$B:$B,0)),"0")</f>
        <v>0</v>
      </c>
      <c r="AU111" s="8">
        <f>IFERROR(INDEX([1]SuSa_2024!BY:BY,MATCH($B111,[1]SuSa_2024!$B:$B,0)),"0")</f>
        <v>0</v>
      </c>
      <c r="AV111" s="8" t="str">
        <f>IFERROR(INDEX([1]SuSa_2025!AR:AR,MATCH($B111,[1]SuSa_2025!$B:$B,0)),"0")</f>
        <v>0</v>
      </c>
      <c r="AW111" s="8" t="str">
        <f>IFERROR(INDEX([1]SuSa_2025!AS:AS,MATCH($B111,[1]SuSa_2025!$B:$B,0)),"0")</f>
        <v>0</v>
      </c>
      <c r="AX111" s="8" t="str">
        <f>IFERROR(INDEX([1]SuSa_2025!AT:AT,MATCH($B111,[1]SuSa_2025!$B:$B,0)),"0")</f>
        <v>0</v>
      </c>
      <c r="AY111" s="8" t="str">
        <f>IFERROR(INDEX([1]SuSa_2025!AU:AU,MATCH($B111,[1]SuSa_2025!$B:$B,0)),"0")</f>
        <v>0</v>
      </c>
      <c r="AZ111" s="8" t="str">
        <f>IFERROR(INDEX([1]SuSa_2025!AV:AV,MATCH($B111,[1]SuSa_2025!$B:$B,0)),"0")</f>
        <v>0</v>
      </c>
      <c r="BA111" s="8" t="str">
        <f>IFERROR(INDEX([1]SuSa_2025!AW:AW,MATCH($B111,[1]SuSa_2025!$B:$B,0)),"0")</f>
        <v>0</v>
      </c>
      <c r="BB111" s="8" t="str">
        <f>IFERROR(INDEX([1]SuSa_2025!AX:AX,MATCH($B111,[1]SuSa_2025!$B:$B,0)),"0")</f>
        <v>0</v>
      </c>
    </row>
    <row r="112" spans="1:54" outlineLevel="1" collapsed="1" x14ac:dyDescent="0.25">
      <c r="A112" s="5" t="s">
        <v>376</v>
      </c>
      <c r="B112" s="6" t="s">
        <v>377</v>
      </c>
      <c r="C112" t="s">
        <v>378</v>
      </c>
      <c r="E112" t="s">
        <v>379</v>
      </c>
      <c r="F112" s="7">
        <f t="shared" si="5"/>
        <v>-19814.66</v>
      </c>
      <c r="G112" s="7">
        <f t="shared" si="6"/>
        <v>-26268.91</v>
      </c>
      <c r="H112" s="7">
        <f t="shared" si="7"/>
        <v>-5836.77</v>
      </c>
      <c r="I112" s="7">
        <f t="shared" si="8"/>
        <v>-15027.91</v>
      </c>
      <c r="J112" s="8">
        <f t="shared" si="10"/>
        <v>-17996.82</v>
      </c>
      <c r="K112" s="8">
        <f t="shared" si="9"/>
        <v>-2867.86</v>
      </c>
      <c r="L112" s="8">
        <v>-2000</v>
      </c>
      <c r="M112" s="8">
        <v>-4000</v>
      </c>
      <c r="N112" s="8">
        <v>-6500</v>
      </c>
      <c r="O112" s="8">
        <v>-8500</v>
      </c>
      <c r="P112" s="8">
        <v>-10500</v>
      </c>
      <c r="Q112" s="8">
        <v>-21814.66</v>
      </c>
      <c r="R112" s="8">
        <v>-23814.66</v>
      </c>
      <c r="S112" s="8">
        <v>-21814.66</v>
      </c>
      <c r="T112" s="8">
        <v>-23814.66</v>
      </c>
      <c r="U112" s="8">
        <v>-21814.66</v>
      </c>
      <c r="V112" s="8">
        <v>-23814.66</v>
      </c>
      <c r="W112" s="8">
        <v>-19814.66</v>
      </c>
      <c r="X112" s="8">
        <v>-2000</v>
      </c>
      <c r="Y112" s="8">
        <v>-4000</v>
      </c>
      <c r="Z112" s="8">
        <v>-6000</v>
      </c>
      <c r="AA112" s="8">
        <v>-8000</v>
      </c>
      <c r="AB112" s="8">
        <v>-10000</v>
      </c>
      <c r="AC112" s="8">
        <v>-12000</v>
      </c>
      <c r="AD112" s="8">
        <v>-14000</v>
      </c>
      <c r="AE112" s="8">
        <v>-16000</v>
      </c>
      <c r="AF112" s="8">
        <v>-18087.39</v>
      </c>
      <c r="AG112" s="8">
        <v>-22279.84</v>
      </c>
      <c r="AH112" s="8">
        <v>-24268.91</v>
      </c>
      <c r="AI112" s="8">
        <v>-26268.91</v>
      </c>
      <c r="AJ112" s="8">
        <f>IFERROR(INDEX([1]SuSa_2024!BN:BN,MATCH($B112,[1]SuSa_2024!$B:$B,0)),"0")</f>
        <v>-500</v>
      </c>
      <c r="AK112" s="8">
        <f>IFERROR(INDEX([1]SuSa_2024!BO:BO,MATCH($B112,[1]SuSa_2024!$B:$B,0)),"0")</f>
        <v>-1000</v>
      </c>
      <c r="AL112" s="8">
        <f>IFERROR(INDEX([1]SuSa_2024!BP:BP,MATCH($B112,[1]SuSa_2024!$B:$B,0)),"0")</f>
        <v>-1500</v>
      </c>
      <c r="AM112" s="8">
        <f>IFERROR(INDEX([1]SuSa_2024!BQ:BQ,MATCH($B112,[1]SuSa_2024!$B:$B,0)),"0")</f>
        <v>-2000</v>
      </c>
      <c r="AN112" s="8">
        <f>IFERROR(INDEX([1]SuSa_2024!BR:BR,MATCH($B112,[1]SuSa_2024!$B:$B,0)),"0")</f>
        <v>-2500</v>
      </c>
      <c r="AO112" s="8">
        <f>IFERROR(INDEX([1]SuSa_2024!BS:BS,MATCH($B112,[1]SuSa_2024!$B:$B,0)),"0")</f>
        <v>-2867.86</v>
      </c>
      <c r="AP112" s="8">
        <f>IFERROR(INDEX([1]SuSa_2024!BT:BT,MATCH($B112,[1]SuSa_2024!$B:$B,0)),"0")</f>
        <v>-2867.86</v>
      </c>
      <c r="AQ112" s="8">
        <f>IFERROR(INDEX([1]SuSa_2024!BU:BU,MATCH($B112,[1]SuSa_2024!$B:$B,0)),"0")</f>
        <v>-3867.86</v>
      </c>
      <c r="AR112" s="8">
        <f>IFERROR(INDEX([1]SuSa_2024!BV:BV,MATCH($B112,[1]SuSa_2024!$B:$B,0)),"0")</f>
        <v>-4367.8600000000006</v>
      </c>
      <c r="AS112" s="8">
        <f>IFERROR(INDEX([1]SuSa_2024!BW:BW,MATCH($B112,[1]SuSa_2024!$B:$B,0)),"0")</f>
        <v>-4867.8600000000006</v>
      </c>
      <c r="AT112" s="8">
        <f>IFERROR(INDEX([1]SuSa_2024!BX:BX,MATCH($B112,[1]SuSa_2024!$B:$B,0)),"0")</f>
        <v>-5367.8600000000006</v>
      </c>
      <c r="AU112" s="8">
        <f>IFERROR(INDEX([1]SuSa_2024!BY:BY,MATCH($B112,[1]SuSa_2024!$B:$B,0)),"0")</f>
        <v>-5836.77</v>
      </c>
      <c r="AV112" s="8">
        <f>IFERROR(INDEX([1]SuSa_2025!AR:AR,MATCH($B112,[1]SuSa_2025!$B:$B,0)),"0")</f>
        <v>-500</v>
      </c>
      <c r="AW112" s="8">
        <f>IFERROR(INDEX([1]SuSa_2025!AS:AS,MATCH($B112,[1]SuSa_2025!$B:$B,0)),"0")</f>
        <v>-500</v>
      </c>
      <c r="AX112" s="8">
        <f>IFERROR(INDEX([1]SuSa_2025!AT:AT,MATCH($B112,[1]SuSa_2025!$B:$B,0)),"0")</f>
        <v>-500</v>
      </c>
      <c r="AY112" s="8">
        <f>IFERROR(INDEX([1]SuSa_2025!AU:AU,MATCH($B112,[1]SuSa_2025!$B:$B,0)),"0")</f>
        <v>-500</v>
      </c>
      <c r="AZ112" s="8">
        <f>IFERROR(INDEX([1]SuSa_2025!AV:AV,MATCH($B112,[1]SuSa_2025!$B:$B,0)),"0")</f>
        <v>-11077.35</v>
      </c>
      <c r="BA112" s="8">
        <f>IFERROR(INDEX([1]SuSa_2025!AW:AW,MATCH($B112,[1]SuSa_2025!$B:$B,0)),"0")</f>
        <v>-11077.35</v>
      </c>
      <c r="BB112" s="8">
        <f>IFERROR(INDEX([1]SuSa_2025!AX:AX,MATCH($B112,[1]SuSa_2025!$B:$B,0)),"0")</f>
        <v>-15027.91</v>
      </c>
    </row>
    <row r="113" spans="1:54" outlineLevel="1" collapsed="1" x14ac:dyDescent="0.25">
      <c r="A113" s="5" t="s">
        <v>376</v>
      </c>
      <c r="B113" s="6" t="s">
        <v>380</v>
      </c>
      <c r="C113" t="s">
        <v>381</v>
      </c>
      <c r="E113" t="s">
        <v>379</v>
      </c>
      <c r="F113" s="7">
        <f t="shared" si="5"/>
        <v>0</v>
      </c>
      <c r="G113" s="7">
        <f t="shared" si="6"/>
        <v>0</v>
      </c>
      <c r="H113" s="7">
        <f t="shared" si="7"/>
        <v>-17995.240000000002</v>
      </c>
      <c r="I113" s="7">
        <f t="shared" si="8"/>
        <v>0</v>
      </c>
      <c r="J113" s="8">
        <f t="shared" si="10"/>
        <v>0</v>
      </c>
      <c r="K113" s="8">
        <f t="shared" si="9"/>
        <v>-17995.240000000002</v>
      </c>
      <c r="AJ113" s="8">
        <f>IFERROR(INDEX([1]SuSa_2024!BN:BN,MATCH($B113,[1]SuSa_2024!$B:$B,0)),"0")</f>
        <v>0</v>
      </c>
      <c r="AK113" s="8">
        <f>IFERROR(INDEX([1]SuSa_2024!BO:BO,MATCH($B113,[1]SuSa_2024!$B:$B,0)),"0")</f>
        <v>0</v>
      </c>
      <c r="AL113" s="8">
        <f>IFERROR(INDEX([1]SuSa_2024!BP:BP,MATCH($B113,[1]SuSa_2024!$B:$B,0)),"0")</f>
        <v>0</v>
      </c>
      <c r="AM113" s="8">
        <f>IFERROR(INDEX([1]SuSa_2024!BQ:BQ,MATCH($B113,[1]SuSa_2024!$B:$B,0)),"0")</f>
        <v>0</v>
      </c>
      <c r="AN113" s="8">
        <f>IFERROR(INDEX([1]SuSa_2024!BR:BR,MATCH($B113,[1]SuSa_2024!$B:$B,0)),"0")</f>
        <v>-17995.240000000002</v>
      </c>
      <c r="AO113" s="8">
        <f>IFERROR(INDEX([1]SuSa_2024!BS:BS,MATCH($B113,[1]SuSa_2024!$B:$B,0)),"0")</f>
        <v>-17995.240000000002</v>
      </c>
      <c r="AP113" s="8">
        <f>IFERROR(INDEX([1]SuSa_2024!BT:BT,MATCH($B113,[1]SuSa_2024!$B:$B,0)),"0")</f>
        <v>-17995.240000000002</v>
      </c>
      <c r="AQ113" s="8">
        <f>IFERROR(INDEX([1]SuSa_2024!BU:BU,MATCH($B113,[1]SuSa_2024!$B:$B,0)),"0")</f>
        <v>-17995.240000000002</v>
      </c>
      <c r="AR113" s="8">
        <f>IFERROR(INDEX([1]SuSa_2024!BV:BV,MATCH($B113,[1]SuSa_2024!$B:$B,0)),"0")</f>
        <v>-17995.240000000002</v>
      </c>
      <c r="AS113" s="8">
        <f>IFERROR(INDEX([1]SuSa_2024!BW:BW,MATCH($B113,[1]SuSa_2024!$B:$B,0)),"0")</f>
        <v>-17995.240000000002</v>
      </c>
      <c r="AT113" s="8">
        <f>IFERROR(INDEX([1]SuSa_2024!BX:BX,MATCH($B113,[1]SuSa_2024!$B:$B,0)),"0")</f>
        <v>-17995.240000000002</v>
      </c>
      <c r="AU113" s="8">
        <f>IFERROR(INDEX([1]SuSa_2024!BY:BY,MATCH($B113,[1]SuSa_2024!$B:$B,0)),"0")</f>
        <v>-17995.240000000002</v>
      </c>
      <c r="AV113" s="8">
        <f>IFERROR(INDEX([1]SuSa_2025!AR:AR,MATCH($B113,[1]SuSa_2025!$B:$B,0)),"0")</f>
        <v>0</v>
      </c>
      <c r="AW113" s="8">
        <f>IFERROR(INDEX([1]SuSa_2025!AS:AS,MATCH($B113,[1]SuSa_2025!$B:$B,0)),"0")</f>
        <v>0</v>
      </c>
      <c r="AX113" s="8">
        <f>IFERROR(INDEX([1]SuSa_2025!AT:AT,MATCH($B113,[1]SuSa_2025!$B:$B,0)),"0")</f>
        <v>0</v>
      </c>
      <c r="AY113" s="8">
        <f>IFERROR(INDEX([1]SuSa_2025!AU:AU,MATCH($B113,[1]SuSa_2025!$B:$B,0)),"0")</f>
        <v>0</v>
      </c>
      <c r="AZ113" s="8">
        <f>IFERROR(INDEX([1]SuSa_2025!AV:AV,MATCH($B113,[1]SuSa_2025!$B:$B,0)),"0")</f>
        <v>0</v>
      </c>
      <c r="BA113" s="8">
        <f>IFERROR(INDEX([1]SuSa_2025!AW:AW,MATCH($B113,[1]SuSa_2025!$B:$B,0)),"0")</f>
        <v>0</v>
      </c>
      <c r="BB113" s="8">
        <f>IFERROR(INDEX([1]SuSa_2025!AX:AX,MATCH($B113,[1]SuSa_2025!$B:$B,0)),"0")</f>
        <v>0</v>
      </c>
    </row>
    <row r="114" spans="1:54" outlineLevel="1" collapsed="1" x14ac:dyDescent="0.25">
      <c r="A114" s="5" t="s">
        <v>382</v>
      </c>
      <c r="B114" s="6" t="s">
        <v>383</v>
      </c>
      <c r="C114" t="s">
        <v>384</v>
      </c>
      <c r="E114" t="s">
        <v>385</v>
      </c>
      <c r="F114" s="7">
        <f t="shared" si="5"/>
        <v>-63278.83</v>
      </c>
      <c r="G114" s="7">
        <f t="shared" si="6"/>
        <v>-126102.14</v>
      </c>
      <c r="H114" s="7">
        <f t="shared" si="7"/>
        <v>-542430.64</v>
      </c>
      <c r="I114" s="7">
        <f t="shared" si="8"/>
        <v>-581</v>
      </c>
      <c r="J114" s="8">
        <f t="shared" si="10"/>
        <v>-297469.31</v>
      </c>
      <c r="K114" s="8">
        <f t="shared" si="9"/>
        <v>-245542.33000000002</v>
      </c>
      <c r="L114" s="8">
        <v>-164.1</v>
      </c>
      <c r="M114" s="8">
        <v>-575.22</v>
      </c>
      <c r="N114" s="8">
        <v>-7685.84</v>
      </c>
      <c r="O114" s="8">
        <v>-8820.66</v>
      </c>
      <c r="P114" s="8">
        <v>-9158.2000000000007</v>
      </c>
      <c r="Q114" s="8">
        <v>-9520.5300000000007</v>
      </c>
      <c r="R114" s="8">
        <v>-44782.21</v>
      </c>
      <c r="S114" s="8">
        <v>-54813.91</v>
      </c>
      <c r="T114" s="8">
        <v>-45371.72</v>
      </c>
      <c r="U114" s="8">
        <v>-45371.72</v>
      </c>
      <c r="V114" s="8">
        <v>-45950.1</v>
      </c>
      <c r="W114" s="8">
        <v>-63278.83</v>
      </c>
      <c r="X114" s="8">
        <v>-1122.69</v>
      </c>
      <c r="Y114" s="8">
        <v>-8253.42</v>
      </c>
      <c r="Z114" s="8">
        <v>-23223.98</v>
      </c>
      <c r="AA114" s="8">
        <v>-24606.36</v>
      </c>
      <c r="AB114" s="8">
        <v>-26136.94</v>
      </c>
      <c r="AC114" s="8">
        <v>-34516.81</v>
      </c>
      <c r="AD114" s="8">
        <v>-34778.89</v>
      </c>
      <c r="AE114" s="8">
        <v>-38238.519999999997</v>
      </c>
      <c r="AF114" s="8">
        <v>-41448.71</v>
      </c>
      <c r="AG114" s="8">
        <v>-43034.559999999998</v>
      </c>
      <c r="AH114" s="8">
        <v>-51760.92</v>
      </c>
      <c r="AI114" s="8">
        <v>-126102.14</v>
      </c>
      <c r="AJ114" s="8">
        <f>IFERROR(INDEX([1]SuSa_2024!BN:BN,MATCH($B114,[1]SuSa_2024!$B:$B,0)),"0")</f>
        <v>-151.41999999999999</v>
      </c>
      <c r="AK114" s="8">
        <f>IFERROR(INDEX([1]SuSa_2024!BO:BO,MATCH($B114,[1]SuSa_2024!$B:$B,0)),"0")</f>
        <v>-55294.84</v>
      </c>
      <c r="AL114" s="8">
        <f>IFERROR(INDEX([1]SuSa_2024!BP:BP,MATCH($B114,[1]SuSa_2024!$B:$B,0)),"0")</f>
        <v>-60131.479999999996</v>
      </c>
      <c r="AM114" s="8">
        <f>IFERROR(INDEX([1]SuSa_2024!BQ:BQ,MATCH($B114,[1]SuSa_2024!$B:$B,0)),"0")</f>
        <v>-212507.07</v>
      </c>
      <c r="AN114" s="8">
        <f>IFERROR(INDEX([1]SuSa_2024!BR:BR,MATCH($B114,[1]SuSa_2024!$B:$B,0)),"0")</f>
        <v>-213627.07</v>
      </c>
      <c r="AO114" s="8">
        <f>IFERROR(INDEX([1]SuSa_2024!BS:BS,MATCH($B114,[1]SuSa_2024!$B:$B,0)),"0")</f>
        <v>-245542.33000000002</v>
      </c>
      <c r="AP114" s="8">
        <f>IFERROR(INDEX([1]SuSa_2024!BT:BT,MATCH($B114,[1]SuSa_2024!$B:$B,0)),"0")</f>
        <v>-245542.33000000002</v>
      </c>
      <c r="AQ114" s="8">
        <f>IFERROR(INDEX([1]SuSa_2024!BU:BU,MATCH($B114,[1]SuSa_2024!$B:$B,0)),"0")</f>
        <v>-245542.33000000002</v>
      </c>
      <c r="AR114" s="8">
        <f>IFERROR(INDEX([1]SuSa_2024!BV:BV,MATCH($B114,[1]SuSa_2024!$B:$B,0)),"0")</f>
        <v>-245542.33000000002</v>
      </c>
      <c r="AS114" s="8">
        <f>IFERROR(INDEX([1]SuSa_2024!BW:BW,MATCH($B114,[1]SuSa_2024!$B:$B,0)),"0")</f>
        <v>-245542.33000000002</v>
      </c>
      <c r="AT114" s="8">
        <f>IFERROR(INDEX([1]SuSa_2024!BX:BX,MATCH($B114,[1]SuSa_2024!$B:$B,0)),"0")</f>
        <v>-245542.33000000002</v>
      </c>
      <c r="AU114" s="8">
        <f>IFERROR(INDEX([1]SuSa_2024!BY:BY,MATCH($B114,[1]SuSa_2024!$B:$B,0)),"0")</f>
        <v>-542430.64</v>
      </c>
      <c r="AV114" s="8">
        <f>IFERROR(INDEX([1]SuSa_2025!AR:AR,MATCH($B114,[1]SuSa_2025!$B:$B,0)),"0")</f>
        <v>-581</v>
      </c>
      <c r="AW114" s="8">
        <f>IFERROR(INDEX([1]SuSa_2025!AS:AS,MATCH($B114,[1]SuSa_2025!$B:$B,0)),"0")</f>
        <v>-581</v>
      </c>
      <c r="AX114" s="8">
        <f>IFERROR(INDEX([1]SuSa_2025!AT:AT,MATCH($B114,[1]SuSa_2025!$B:$B,0)),"0")</f>
        <v>-581</v>
      </c>
      <c r="AY114" s="8">
        <f>IFERROR(INDEX([1]SuSa_2025!AU:AU,MATCH($B114,[1]SuSa_2025!$B:$B,0)),"0")</f>
        <v>-581</v>
      </c>
      <c r="AZ114" s="8">
        <f>IFERROR(INDEX([1]SuSa_2025!AV:AV,MATCH($B114,[1]SuSa_2025!$B:$B,0)),"0")</f>
        <v>-581</v>
      </c>
      <c r="BA114" s="8">
        <f>IFERROR(INDEX([1]SuSa_2025!AW:AW,MATCH($B114,[1]SuSa_2025!$B:$B,0)),"0")</f>
        <v>-581</v>
      </c>
      <c r="BB114" s="8">
        <f>IFERROR(INDEX([1]SuSa_2025!AX:AX,MATCH($B114,[1]SuSa_2025!$B:$B,0)),"0")</f>
        <v>-581</v>
      </c>
    </row>
    <row r="115" spans="1:54" outlineLevel="1" collapsed="1" x14ac:dyDescent="0.25">
      <c r="A115" s="5" t="s">
        <v>386</v>
      </c>
      <c r="B115" s="6" t="s">
        <v>387</v>
      </c>
      <c r="C115" t="s">
        <v>388</v>
      </c>
      <c r="F115" s="7">
        <f t="shared" si="5"/>
        <v>0</v>
      </c>
      <c r="G115" s="7">
        <f t="shared" si="6"/>
        <v>-550</v>
      </c>
      <c r="H115" s="7">
        <f t="shared" si="7"/>
        <v>0</v>
      </c>
      <c r="I115" s="7" t="str">
        <f t="shared" si="8"/>
        <v>0</v>
      </c>
      <c r="J115" s="8">
        <f t="shared" si="10"/>
        <v>0</v>
      </c>
      <c r="K115" s="8">
        <f t="shared" si="9"/>
        <v>0</v>
      </c>
      <c r="AH115" s="8">
        <v>-550</v>
      </c>
      <c r="AI115" s="8">
        <v>-550</v>
      </c>
      <c r="AJ115" s="8">
        <f>IFERROR(INDEX([1]SuSa_2024!BN:BN,MATCH($B115,[1]SuSa_2024!$B:$B,0)),"0")</f>
        <v>0</v>
      </c>
      <c r="AK115" s="8">
        <f>IFERROR(INDEX([1]SuSa_2024!BO:BO,MATCH($B115,[1]SuSa_2024!$B:$B,0)),"0")</f>
        <v>0</v>
      </c>
      <c r="AL115" s="8">
        <f>IFERROR(INDEX([1]SuSa_2024!BP:BP,MATCH($B115,[1]SuSa_2024!$B:$B,0)),"0")</f>
        <v>0</v>
      </c>
      <c r="AM115" s="8">
        <f>IFERROR(INDEX([1]SuSa_2024!BQ:BQ,MATCH($B115,[1]SuSa_2024!$B:$B,0)),"0")</f>
        <v>0</v>
      </c>
      <c r="AN115" s="8">
        <f>IFERROR(INDEX([1]SuSa_2024!BR:BR,MATCH($B115,[1]SuSa_2024!$B:$B,0)),"0")</f>
        <v>0</v>
      </c>
      <c r="AO115" s="8">
        <f>IFERROR(INDEX([1]SuSa_2024!BS:BS,MATCH($B115,[1]SuSa_2024!$B:$B,0)),"0")</f>
        <v>0</v>
      </c>
      <c r="AP115" s="8">
        <f>IFERROR(INDEX([1]SuSa_2024!BT:BT,MATCH($B115,[1]SuSa_2024!$B:$B,0)),"0")</f>
        <v>0</v>
      </c>
      <c r="AQ115" s="8">
        <f>IFERROR(INDEX([1]SuSa_2024!BU:BU,MATCH($B115,[1]SuSa_2024!$B:$B,0)),"0")</f>
        <v>0</v>
      </c>
      <c r="AR115" s="8">
        <f>IFERROR(INDEX([1]SuSa_2024!BV:BV,MATCH($B115,[1]SuSa_2024!$B:$B,0)),"0")</f>
        <v>0</v>
      </c>
      <c r="AS115" s="8">
        <f>IFERROR(INDEX([1]SuSa_2024!BW:BW,MATCH($B115,[1]SuSa_2024!$B:$B,0)),"0")</f>
        <v>0</v>
      </c>
      <c r="AT115" s="8">
        <f>IFERROR(INDEX([1]SuSa_2024!BX:BX,MATCH($B115,[1]SuSa_2024!$B:$B,0)),"0")</f>
        <v>0</v>
      </c>
      <c r="AU115" s="8">
        <f>IFERROR(INDEX([1]SuSa_2024!BY:BY,MATCH($B115,[1]SuSa_2024!$B:$B,0)),"0")</f>
        <v>0</v>
      </c>
      <c r="AV115" s="8" t="str">
        <f>IFERROR(INDEX([1]SuSa_2025!AR:AR,MATCH($B115,[1]SuSa_2025!$B:$B,0)),"0")</f>
        <v>0</v>
      </c>
      <c r="AW115" s="8" t="str">
        <f>IFERROR(INDEX([1]SuSa_2025!AS:AS,MATCH($B115,[1]SuSa_2025!$B:$B,0)),"0")</f>
        <v>0</v>
      </c>
      <c r="AX115" s="8" t="str">
        <f>IFERROR(INDEX([1]SuSa_2025!AT:AT,MATCH($B115,[1]SuSa_2025!$B:$B,0)),"0")</f>
        <v>0</v>
      </c>
      <c r="AY115" s="8" t="str">
        <f>IFERROR(INDEX([1]SuSa_2025!AU:AU,MATCH($B115,[1]SuSa_2025!$B:$B,0)),"0")</f>
        <v>0</v>
      </c>
      <c r="AZ115" s="8" t="str">
        <f>IFERROR(INDEX([1]SuSa_2025!AV:AV,MATCH($B115,[1]SuSa_2025!$B:$B,0)),"0")</f>
        <v>0</v>
      </c>
      <c r="BA115" s="8" t="str">
        <f>IFERROR(INDEX([1]SuSa_2025!AW:AW,MATCH($B115,[1]SuSa_2025!$B:$B,0)),"0")</f>
        <v>0</v>
      </c>
      <c r="BB115" s="8" t="str">
        <f>IFERROR(INDEX([1]SuSa_2025!AX:AX,MATCH($B115,[1]SuSa_2025!$B:$B,0)),"0")</f>
        <v>0</v>
      </c>
    </row>
    <row r="116" spans="1:54" ht="14.25" customHeight="1" outlineLevel="1" collapsed="1" x14ac:dyDescent="0.25">
      <c r="A116" s="5" t="s">
        <v>389</v>
      </c>
      <c r="B116" s="6" t="s">
        <v>390</v>
      </c>
      <c r="C116" t="s">
        <v>391</v>
      </c>
      <c r="F116" s="7">
        <f t="shared" si="5"/>
        <v>-9084</v>
      </c>
      <c r="G116" s="7">
        <f t="shared" si="6"/>
        <v>-55293.06</v>
      </c>
      <c r="H116" s="7">
        <f t="shared" si="7"/>
        <v>-35424.559999999998</v>
      </c>
      <c r="I116" s="7">
        <f t="shared" si="8"/>
        <v>-33079.599999999999</v>
      </c>
      <c r="J116" s="8">
        <f t="shared" si="10"/>
        <v>-33115.490000000005</v>
      </c>
      <c r="K116" s="8">
        <f t="shared" si="9"/>
        <v>-35388.67</v>
      </c>
      <c r="R116" s="8">
        <v>-2822.55</v>
      </c>
      <c r="S116" s="8">
        <v>-5808.78</v>
      </c>
      <c r="T116" s="8">
        <v>-8698.68</v>
      </c>
      <c r="U116" s="8">
        <v>-9084</v>
      </c>
      <c r="V116" s="8">
        <v>-9084</v>
      </c>
      <c r="W116" s="8">
        <v>-9084</v>
      </c>
      <c r="X116" s="8">
        <v>-185.53</v>
      </c>
      <c r="Y116" s="8">
        <v>-185.53</v>
      </c>
      <c r="Z116" s="8">
        <v>-185.53</v>
      </c>
      <c r="AA116" s="8">
        <v>-185.53</v>
      </c>
      <c r="AB116" s="8">
        <v>-185.53</v>
      </c>
      <c r="AC116" s="8">
        <v>-185.53</v>
      </c>
      <c r="AD116" s="8">
        <v>-2012.81</v>
      </c>
      <c r="AE116" s="8">
        <v>-8109.28</v>
      </c>
      <c r="AF116" s="8">
        <v>-21481.96</v>
      </c>
      <c r="AG116" s="8">
        <v>-33579</v>
      </c>
      <c r="AH116" s="8">
        <v>-44390.78</v>
      </c>
      <c r="AI116" s="8">
        <v>-55293.06</v>
      </c>
      <c r="AJ116" s="8">
        <f>IFERROR(INDEX([1]SuSa_2024!BN:BN,MATCH($B116,[1]SuSa_2024!$B:$B,0)),"0")</f>
        <v>-8110.3</v>
      </c>
      <c r="AK116" s="8">
        <f>IFERROR(INDEX([1]SuSa_2024!BO:BO,MATCH($B116,[1]SuSa_2024!$B:$B,0)),"0")</f>
        <v>-16542.63</v>
      </c>
      <c r="AL116" s="8">
        <f>IFERROR(INDEX([1]SuSa_2024!BP:BP,MATCH($B116,[1]SuSa_2024!$B:$B,0)),"0")</f>
        <v>-25556.5</v>
      </c>
      <c r="AM116" s="8">
        <f>IFERROR(INDEX([1]SuSa_2024!BQ:BQ,MATCH($B116,[1]SuSa_2024!$B:$B,0)),"0")</f>
        <v>-34279.599999999999</v>
      </c>
      <c r="AN116" s="8">
        <f>IFERROR(INDEX([1]SuSa_2024!BR:BR,MATCH($B116,[1]SuSa_2024!$B:$B,0)),"0")</f>
        <v>-35388.67</v>
      </c>
      <c r="AO116" s="8">
        <f>IFERROR(INDEX([1]SuSa_2024!BS:BS,MATCH($B116,[1]SuSa_2024!$B:$B,0)),"0")</f>
        <v>-35388.67</v>
      </c>
      <c r="AP116" s="8">
        <f>IFERROR(INDEX([1]SuSa_2024!BT:BT,MATCH($B116,[1]SuSa_2024!$B:$B,0)),"0")</f>
        <v>-35388.67</v>
      </c>
      <c r="AQ116" s="8">
        <f>IFERROR(INDEX([1]SuSa_2024!BU:BU,MATCH($B116,[1]SuSa_2024!$B:$B,0)),"0")</f>
        <v>-35388.67</v>
      </c>
      <c r="AR116" s="8">
        <f>IFERROR(INDEX([1]SuSa_2024!BV:BV,MATCH($B116,[1]SuSa_2024!$B:$B,0)),"0")</f>
        <v>-35388.67</v>
      </c>
      <c r="AS116" s="8">
        <f>IFERROR(INDEX([1]SuSa_2024!BW:BW,MATCH($B116,[1]SuSa_2024!$B:$B,0)),"0")</f>
        <v>-35388.67</v>
      </c>
      <c r="AT116" s="8">
        <f>IFERROR(INDEX([1]SuSa_2024!BX:BX,MATCH($B116,[1]SuSa_2024!$B:$B,0)),"0")</f>
        <v>-35388.67</v>
      </c>
      <c r="AU116" s="8">
        <f>IFERROR(INDEX([1]SuSa_2024!BY:BY,MATCH($B116,[1]SuSa_2024!$B:$B,0)),"0")</f>
        <v>-35424.559999999998</v>
      </c>
      <c r="AV116" s="8">
        <f>IFERROR(INDEX([1]SuSa_2025!AR:AR,MATCH($B116,[1]SuSa_2025!$B:$B,0)),"0")</f>
        <v>0</v>
      </c>
      <c r="AW116" s="8">
        <f>IFERROR(INDEX([1]SuSa_2025!AS:AS,MATCH($B116,[1]SuSa_2025!$B:$B,0)),"0")</f>
        <v>-203.87</v>
      </c>
      <c r="AX116" s="8">
        <f>IFERROR(INDEX([1]SuSa_2025!AT:AT,MATCH($B116,[1]SuSa_2025!$B:$B,0)),"0")</f>
        <v>-2209.2600000000002</v>
      </c>
      <c r="AY116" s="8">
        <f>IFERROR(INDEX([1]SuSa_2025!AU:AU,MATCH($B116,[1]SuSa_2025!$B:$B,0)),"0")</f>
        <v>-12542.41</v>
      </c>
      <c r="AZ116" s="8">
        <f>IFERROR(INDEX([1]SuSa_2025!AV:AV,MATCH($B116,[1]SuSa_2025!$B:$B,0)),"0")</f>
        <v>-12542.41</v>
      </c>
      <c r="BA116" s="8">
        <f>IFERROR(INDEX([1]SuSa_2025!AW:AW,MATCH($B116,[1]SuSa_2025!$B:$B,0)),"0")</f>
        <v>-19157.02</v>
      </c>
      <c r="BB116" s="8">
        <f>IFERROR(INDEX([1]SuSa_2025!AX:AX,MATCH($B116,[1]SuSa_2025!$B:$B,0)),"0")</f>
        <v>-33079.599999999999</v>
      </c>
    </row>
    <row r="117" spans="1:54" outlineLevel="1" collapsed="1" x14ac:dyDescent="0.25">
      <c r="A117" s="5" t="s">
        <v>392</v>
      </c>
      <c r="B117" s="6" t="s">
        <v>393</v>
      </c>
      <c r="C117" t="s">
        <v>394</v>
      </c>
      <c r="E117" t="s">
        <v>379</v>
      </c>
      <c r="F117" s="7">
        <f t="shared" si="5"/>
        <v>0</v>
      </c>
      <c r="G117" s="7">
        <f t="shared" si="6"/>
        <v>0</v>
      </c>
      <c r="H117" s="7" t="str">
        <f t="shared" si="7"/>
        <v>0</v>
      </c>
      <c r="I117" s="7">
        <f t="shared" si="8"/>
        <v>-94666.650000000009</v>
      </c>
      <c r="J117" s="8">
        <f t="shared" si="10"/>
        <v>-94666.650000000009</v>
      </c>
      <c r="K117" s="8" t="str">
        <f t="shared" si="9"/>
        <v>0</v>
      </c>
      <c r="AJ117" s="8" t="str">
        <f>IFERROR(INDEX([1]SuSa_2024!BN:BN,MATCH($B117,[1]SuSa_2024!$B:$B,0)),"0")</f>
        <v>0</v>
      </c>
      <c r="AK117" s="8" t="str">
        <f>IFERROR(INDEX([1]SuSa_2024!BO:BO,MATCH($B117,[1]SuSa_2024!$B:$B,0)),"0")</f>
        <v>0</v>
      </c>
      <c r="AL117" s="8" t="str">
        <f>IFERROR(INDEX([1]SuSa_2024!BP:BP,MATCH($B117,[1]SuSa_2024!$B:$B,0)),"0")</f>
        <v>0</v>
      </c>
      <c r="AM117" s="8" t="str">
        <f>IFERROR(INDEX([1]SuSa_2024!BQ:BQ,MATCH($B117,[1]SuSa_2024!$B:$B,0)),"0")</f>
        <v>0</v>
      </c>
      <c r="AN117" s="8" t="str">
        <f>IFERROR(INDEX([1]SuSa_2024!BR:BR,MATCH($B117,[1]SuSa_2024!$B:$B,0)),"0")</f>
        <v>0</v>
      </c>
      <c r="AO117" s="8" t="str">
        <f>IFERROR(INDEX([1]SuSa_2024!BS:BS,MATCH($B117,[1]SuSa_2024!$B:$B,0)),"0")</f>
        <v>0</v>
      </c>
      <c r="AP117" s="8" t="str">
        <f>IFERROR(INDEX([1]SuSa_2024!BT:BT,MATCH($B117,[1]SuSa_2024!$B:$B,0)),"0")</f>
        <v>0</v>
      </c>
      <c r="AQ117" s="8" t="str">
        <f>IFERROR(INDEX([1]SuSa_2024!BU:BU,MATCH($B117,[1]SuSa_2024!$B:$B,0)),"0")</f>
        <v>0</v>
      </c>
      <c r="AR117" s="8" t="str">
        <f>IFERROR(INDEX([1]SuSa_2024!BV:BV,MATCH($B117,[1]SuSa_2024!$B:$B,0)),"0")</f>
        <v>0</v>
      </c>
      <c r="AS117" s="8" t="str">
        <f>IFERROR(INDEX([1]SuSa_2024!BW:BW,MATCH($B117,[1]SuSa_2024!$B:$B,0)),"0")</f>
        <v>0</v>
      </c>
      <c r="AT117" s="8" t="str">
        <f>IFERROR(INDEX([1]SuSa_2024!BX:BX,MATCH($B117,[1]SuSa_2024!$B:$B,0)),"0")</f>
        <v>0</v>
      </c>
      <c r="AU117" s="8" t="str">
        <f>IFERROR(INDEX([1]SuSa_2024!BY:BY,MATCH($B117,[1]SuSa_2024!$B:$B,0)),"0")</f>
        <v>0</v>
      </c>
      <c r="AV117" s="8">
        <f>IFERROR(INDEX([1]SuSa_2025!AR:AR,MATCH($B117,[1]SuSa_2025!$B:$B,0)),"0")</f>
        <v>-7282.05</v>
      </c>
      <c r="AW117" s="8">
        <f>IFERROR(INDEX([1]SuSa_2025!AS:AS,MATCH($B117,[1]SuSa_2025!$B:$B,0)),"0")</f>
        <v>-21846.15</v>
      </c>
      <c r="AX117" s="8">
        <f>IFERROR(INDEX([1]SuSa_2025!AT:AT,MATCH($B117,[1]SuSa_2025!$B:$B,0)),"0")</f>
        <v>-36410.25</v>
      </c>
      <c r="AY117" s="8">
        <f>IFERROR(INDEX([1]SuSa_2025!AU:AU,MATCH($B117,[1]SuSa_2025!$B:$B,0)),"0")</f>
        <v>-50974.35</v>
      </c>
      <c r="AZ117" s="8">
        <f>IFERROR(INDEX([1]SuSa_2025!AV:AV,MATCH($B117,[1]SuSa_2025!$B:$B,0)),"0")</f>
        <v>-65538.45</v>
      </c>
      <c r="BA117" s="8">
        <f>IFERROR(INDEX([1]SuSa_2025!AW:AW,MATCH($B117,[1]SuSa_2025!$B:$B,0)),"0")</f>
        <v>-80102.55</v>
      </c>
      <c r="BB117" s="8">
        <f>IFERROR(INDEX([1]SuSa_2025!AX:AX,MATCH($B117,[1]SuSa_2025!$B:$B,0)),"0")</f>
        <v>-94666.650000000009</v>
      </c>
    </row>
    <row r="118" spans="1:54" outlineLevel="1" collapsed="1" x14ac:dyDescent="0.25">
      <c r="A118" s="5" t="s">
        <v>395</v>
      </c>
      <c r="B118" s="6" t="s">
        <v>396</v>
      </c>
      <c r="C118" t="s">
        <v>397</v>
      </c>
      <c r="F118" s="7">
        <f t="shared" si="5"/>
        <v>13614411.6</v>
      </c>
      <c r="G118" s="7">
        <f t="shared" si="6"/>
        <v>0</v>
      </c>
      <c r="H118" s="7" t="str">
        <f t="shared" si="7"/>
        <v>0</v>
      </c>
      <c r="I118" s="7" t="str">
        <f t="shared" si="8"/>
        <v>0</v>
      </c>
      <c r="J118" s="8">
        <f t="shared" si="10"/>
        <v>0</v>
      </c>
      <c r="K118" s="8" t="str">
        <f t="shared" si="9"/>
        <v>0</v>
      </c>
      <c r="L118" s="8">
        <v>13614411.6</v>
      </c>
      <c r="M118" s="8">
        <v>13614411.6</v>
      </c>
      <c r="N118" s="8">
        <v>13614411.6</v>
      </c>
      <c r="O118" s="8">
        <v>13614411.6</v>
      </c>
      <c r="P118" s="8">
        <v>13614411.6</v>
      </c>
      <c r="Q118" s="8">
        <v>13614411.6</v>
      </c>
      <c r="R118" s="8">
        <v>13614411.6</v>
      </c>
      <c r="S118" s="8">
        <v>13614411.6</v>
      </c>
      <c r="T118" s="8">
        <v>13614411.6</v>
      </c>
      <c r="U118" s="8">
        <v>13614411.6</v>
      </c>
      <c r="V118" s="8">
        <v>13614411.6</v>
      </c>
      <c r="W118" s="8">
        <v>13614411.6</v>
      </c>
      <c r="AJ118" s="8" t="str">
        <f>IFERROR(INDEX([1]SuSa_2024!BN:BN,MATCH($B118,[1]SuSa_2024!$B:$B,0)),"0")</f>
        <v>0</v>
      </c>
      <c r="AK118" s="8" t="str">
        <f>IFERROR(INDEX([1]SuSa_2024!BO:BO,MATCH($B118,[1]SuSa_2024!$B:$B,0)),"0")</f>
        <v>0</v>
      </c>
      <c r="AL118" s="8" t="str">
        <f>IFERROR(INDEX([1]SuSa_2024!BP:BP,MATCH($B118,[1]SuSa_2024!$B:$B,0)),"0")</f>
        <v>0</v>
      </c>
      <c r="AM118" s="8" t="str">
        <f>IFERROR(INDEX([1]SuSa_2024!BQ:BQ,MATCH($B118,[1]SuSa_2024!$B:$B,0)),"0")</f>
        <v>0</v>
      </c>
      <c r="AN118" s="8" t="str">
        <f>IFERROR(INDEX([1]SuSa_2024!BR:BR,MATCH($B118,[1]SuSa_2024!$B:$B,0)),"0")</f>
        <v>0</v>
      </c>
      <c r="AO118" s="8" t="str">
        <f>IFERROR(INDEX([1]SuSa_2024!BS:BS,MATCH($B118,[1]SuSa_2024!$B:$B,0)),"0")</f>
        <v>0</v>
      </c>
      <c r="AP118" s="8" t="str">
        <f>IFERROR(INDEX([1]SuSa_2024!BT:BT,MATCH($B118,[1]SuSa_2024!$B:$B,0)),"0")</f>
        <v>0</v>
      </c>
      <c r="AQ118" s="8" t="str">
        <f>IFERROR(INDEX([1]SuSa_2024!BU:BU,MATCH($B118,[1]SuSa_2024!$B:$B,0)),"0")</f>
        <v>0</v>
      </c>
      <c r="AR118" s="8" t="str">
        <f>IFERROR(INDEX([1]SuSa_2024!BV:BV,MATCH($B118,[1]SuSa_2024!$B:$B,0)),"0")</f>
        <v>0</v>
      </c>
      <c r="AS118" s="8" t="str">
        <f>IFERROR(INDEX([1]SuSa_2024!BW:BW,MATCH($B118,[1]SuSa_2024!$B:$B,0)),"0")</f>
        <v>0</v>
      </c>
      <c r="AT118" s="8" t="str">
        <f>IFERROR(INDEX([1]SuSa_2024!BX:BX,MATCH($B118,[1]SuSa_2024!$B:$B,0)),"0")</f>
        <v>0</v>
      </c>
      <c r="AU118" s="8" t="str">
        <f>IFERROR(INDEX([1]SuSa_2024!BY:BY,MATCH($B118,[1]SuSa_2024!$B:$B,0)),"0")</f>
        <v>0</v>
      </c>
      <c r="AV118" s="8" t="str">
        <f>IFERROR(INDEX([1]SuSa_2025!AR:AR,MATCH($B118,[1]SuSa_2025!$B:$B,0)),"0")</f>
        <v>0</v>
      </c>
      <c r="AW118" s="8" t="str">
        <f>IFERROR(INDEX([1]SuSa_2025!AS:AS,MATCH($B118,[1]SuSa_2025!$B:$B,0)),"0")</f>
        <v>0</v>
      </c>
      <c r="AX118" s="8" t="str">
        <f>IFERROR(INDEX([1]SuSa_2025!AT:AT,MATCH($B118,[1]SuSa_2025!$B:$B,0)),"0")</f>
        <v>0</v>
      </c>
      <c r="AY118" s="8" t="str">
        <f>IFERROR(INDEX([1]SuSa_2025!AU:AU,MATCH($B118,[1]SuSa_2025!$B:$B,0)),"0")</f>
        <v>0</v>
      </c>
      <c r="AZ118" s="8" t="str">
        <f>IFERROR(INDEX([1]SuSa_2025!AV:AV,MATCH($B118,[1]SuSa_2025!$B:$B,0)),"0")</f>
        <v>0</v>
      </c>
      <c r="BA118" s="8" t="str">
        <f>IFERROR(INDEX([1]SuSa_2025!AW:AW,MATCH($B118,[1]SuSa_2025!$B:$B,0)),"0")</f>
        <v>0</v>
      </c>
      <c r="BB118" s="8" t="str">
        <f>IFERROR(INDEX([1]SuSa_2025!AX:AX,MATCH($B118,[1]SuSa_2025!$B:$B,0)),"0")</f>
        <v>0</v>
      </c>
    </row>
    <row r="119" spans="1:54" outlineLevel="1" collapsed="1" x14ac:dyDescent="0.25">
      <c r="A119" s="5" t="s">
        <v>398</v>
      </c>
      <c r="B119" s="6" t="s">
        <v>399</v>
      </c>
      <c r="C119" t="s">
        <v>400</v>
      </c>
      <c r="F119" s="7">
        <f t="shared" si="5"/>
        <v>23918.35</v>
      </c>
      <c r="G119" s="7">
        <f t="shared" si="6"/>
        <v>32607.09</v>
      </c>
      <c r="H119" s="7">
        <f t="shared" si="7"/>
        <v>19671.62</v>
      </c>
      <c r="I119" s="7">
        <f t="shared" si="8"/>
        <v>13465.289999999999</v>
      </c>
      <c r="J119" s="8">
        <f t="shared" si="10"/>
        <v>14806.299999999996</v>
      </c>
      <c r="K119" s="8">
        <f t="shared" si="9"/>
        <v>18330.61</v>
      </c>
      <c r="L119" s="8">
        <v>2522.25</v>
      </c>
      <c r="M119" s="8">
        <v>4166.6400000000003</v>
      </c>
      <c r="N119" s="8">
        <v>5838</v>
      </c>
      <c r="O119" s="8">
        <v>7051.78</v>
      </c>
      <c r="P119" s="8">
        <v>8423.34</v>
      </c>
      <c r="Q119" s="8">
        <v>8984.52</v>
      </c>
      <c r="R119" s="8">
        <v>10111.14</v>
      </c>
      <c r="S119" s="8">
        <v>14362.3</v>
      </c>
      <c r="T119" s="8">
        <v>16871.759999999998</v>
      </c>
      <c r="U119" s="8">
        <v>19314.04</v>
      </c>
      <c r="V119" s="8">
        <v>21526.89</v>
      </c>
      <c r="W119" s="8">
        <v>23918.35</v>
      </c>
      <c r="X119" s="8">
        <v>7460.78</v>
      </c>
      <c r="Y119" s="8">
        <v>9868.2999999999993</v>
      </c>
      <c r="Z119" s="8">
        <v>13461.38</v>
      </c>
      <c r="AA119" s="8">
        <v>15640.29</v>
      </c>
      <c r="AB119" s="8">
        <v>17479.13</v>
      </c>
      <c r="AC119" s="8">
        <v>19624.849999999999</v>
      </c>
      <c r="AD119" s="8">
        <v>20418.27</v>
      </c>
      <c r="AE119" s="8">
        <v>23630.27</v>
      </c>
      <c r="AF119" s="8">
        <v>26618.55</v>
      </c>
      <c r="AG119" s="8">
        <v>29510.21</v>
      </c>
      <c r="AH119" s="8">
        <v>31936.03</v>
      </c>
      <c r="AI119" s="8">
        <v>32607.09</v>
      </c>
      <c r="AJ119" s="8">
        <f>IFERROR(INDEX([1]SuSa_2024!BN:BN,MATCH($B119,[1]SuSa_2024!$B:$B,0)),"0")</f>
        <v>1983.44</v>
      </c>
      <c r="AK119" s="8">
        <f>IFERROR(INDEX([1]SuSa_2024!BO:BO,MATCH($B119,[1]SuSa_2024!$B:$B,0)),"0")</f>
        <v>5222.9400000000005</v>
      </c>
      <c r="AL119" s="8">
        <f>IFERROR(INDEX([1]SuSa_2024!BP:BP,MATCH($B119,[1]SuSa_2024!$B:$B,0)),"0")</f>
        <v>7723.5700000000006</v>
      </c>
      <c r="AM119" s="8">
        <f>IFERROR(INDEX([1]SuSa_2024!BQ:BQ,MATCH($B119,[1]SuSa_2024!$B:$B,0)),"0")</f>
        <v>12547.400000000001</v>
      </c>
      <c r="AN119" s="8">
        <f>IFERROR(INDEX([1]SuSa_2024!BR:BR,MATCH($B119,[1]SuSa_2024!$B:$B,0)),"0")</f>
        <v>15050.500000000002</v>
      </c>
      <c r="AO119" s="8">
        <f>IFERROR(INDEX([1]SuSa_2024!BS:BS,MATCH($B119,[1]SuSa_2024!$B:$B,0)),"0")</f>
        <v>16466.7</v>
      </c>
      <c r="AP119" s="8">
        <f>IFERROR(INDEX([1]SuSa_2024!BT:BT,MATCH($B119,[1]SuSa_2024!$B:$B,0)),"0")</f>
        <v>18330.61</v>
      </c>
      <c r="AQ119" s="8">
        <f>IFERROR(INDEX([1]SuSa_2024!BU:BU,MATCH($B119,[1]SuSa_2024!$B:$B,0)),"0")</f>
        <v>18464</v>
      </c>
      <c r="AR119" s="8">
        <f>IFERROR(INDEX([1]SuSa_2024!BV:BV,MATCH($B119,[1]SuSa_2024!$B:$B,0)),"0")</f>
        <v>18508.400000000001</v>
      </c>
      <c r="AS119" s="8">
        <f>IFERROR(INDEX([1]SuSa_2024!BW:BW,MATCH($B119,[1]SuSa_2024!$B:$B,0)),"0")</f>
        <v>18516.63</v>
      </c>
      <c r="AT119" s="8">
        <f>IFERROR(INDEX([1]SuSa_2024!BX:BX,MATCH($B119,[1]SuSa_2024!$B:$B,0)),"0")</f>
        <v>18599.82</v>
      </c>
      <c r="AU119" s="8">
        <f>IFERROR(INDEX([1]SuSa_2024!BY:BY,MATCH($B119,[1]SuSa_2024!$B:$B,0)),"0")</f>
        <v>19671.62</v>
      </c>
      <c r="AV119" s="8">
        <f>IFERROR(INDEX([1]SuSa_2025!AR:AR,MATCH($B119,[1]SuSa_2025!$B:$B,0)),"0")</f>
        <v>1716.54</v>
      </c>
      <c r="AW119" s="8">
        <f>IFERROR(INDEX([1]SuSa_2025!AS:AS,MATCH($B119,[1]SuSa_2025!$B:$B,0)),"0")</f>
        <v>3763.39</v>
      </c>
      <c r="AX119" s="8">
        <f>IFERROR(INDEX([1]SuSa_2025!AT:AT,MATCH($B119,[1]SuSa_2025!$B:$B,0)),"0")</f>
        <v>5518.96</v>
      </c>
      <c r="AY119" s="8">
        <f>IFERROR(INDEX([1]SuSa_2025!AU:AU,MATCH($B119,[1]SuSa_2025!$B:$B,0)),"0")</f>
        <v>7679.3099999999995</v>
      </c>
      <c r="AZ119" s="8">
        <f>IFERROR(INDEX([1]SuSa_2025!AV:AV,MATCH($B119,[1]SuSa_2025!$B:$B,0)),"0")</f>
        <v>9548.7099999999991</v>
      </c>
      <c r="BA119" s="8">
        <f>IFERROR(INDEX([1]SuSa_2025!AW:AW,MATCH($B119,[1]SuSa_2025!$B:$B,0)),"0")</f>
        <v>11476.359999999999</v>
      </c>
      <c r="BB119" s="8">
        <f>IFERROR(INDEX([1]SuSa_2025!AX:AX,MATCH($B119,[1]SuSa_2025!$B:$B,0)),"0")</f>
        <v>13465.289999999999</v>
      </c>
    </row>
    <row r="120" spans="1:54" outlineLevel="1" collapsed="1" x14ac:dyDescent="0.25">
      <c r="A120" s="5" t="s">
        <v>398</v>
      </c>
      <c r="B120" s="6" t="s">
        <v>401</v>
      </c>
      <c r="C120" t="s">
        <v>402</v>
      </c>
      <c r="F120" s="7">
        <f t="shared" si="5"/>
        <v>0</v>
      </c>
      <c r="G120" s="7">
        <f t="shared" si="6"/>
        <v>72909.55</v>
      </c>
      <c r="H120" s="7">
        <f t="shared" si="7"/>
        <v>13406.47</v>
      </c>
      <c r="I120" s="7">
        <f t="shared" si="8"/>
        <v>0</v>
      </c>
      <c r="J120" s="8">
        <f t="shared" si="10"/>
        <v>9782.9</v>
      </c>
      <c r="K120" s="8">
        <f t="shared" si="9"/>
        <v>3623.5699999999997</v>
      </c>
      <c r="Z120" s="8">
        <v>65206.74</v>
      </c>
      <c r="AA120" s="8">
        <v>65601.740000000005</v>
      </c>
      <c r="AB120" s="8">
        <v>65601.740000000005</v>
      </c>
      <c r="AC120" s="8">
        <v>66026.740000000005</v>
      </c>
      <c r="AD120" s="8">
        <v>73185.3</v>
      </c>
      <c r="AE120" s="8">
        <v>73185.3</v>
      </c>
      <c r="AF120" s="8">
        <v>73185.3</v>
      </c>
      <c r="AG120" s="8">
        <v>73185.3</v>
      </c>
      <c r="AH120" s="8">
        <v>73246.8</v>
      </c>
      <c r="AI120" s="8">
        <v>72909.55</v>
      </c>
      <c r="AJ120" s="8">
        <f>IFERROR(INDEX([1]SuSa_2024!BN:BN,MATCH($B120,[1]SuSa_2024!$B:$B,0)),"0")</f>
        <v>2961.86</v>
      </c>
      <c r="AK120" s="8">
        <f>IFERROR(INDEX([1]SuSa_2024!BO:BO,MATCH($B120,[1]SuSa_2024!$B:$B,0)),"0")</f>
        <v>3056.77</v>
      </c>
      <c r="AL120" s="8">
        <f>IFERROR(INDEX([1]SuSa_2024!BP:BP,MATCH($B120,[1]SuSa_2024!$B:$B,0)),"0")</f>
        <v>3623.5699999999997</v>
      </c>
      <c r="AM120" s="8">
        <f>IFERROR(INDEX([1]SuSa_2024!BQ:BQ,MATCH($B120,[1]SuSa_2024!$B:$B,0)),"0")</f>
        <v>3623.5699999999997</v>
      </c>
      <c r="AN120" s="8">
        <f>IFERROR(INDEX([1]SuSa_2024!BR:BR,MATCH($B120,[1]SuSa_2024!$B:$B,0)),"0")</f>
        <v>3623.5699999999997</v>
      </c>
      <c r="AO120" s="8">
        <f>IFERROR(INDEX([1]SuSa_2024!BS:BS,MATCH($B120,[1]SuSa_2024!$B:$B,0)),"0")</f>
        <v>3623.5699999999997</v>
      </c>
      <c r="AP120" s="8">
        <f>IFERROR(INDEX([1]SuSa_2024!BT:BT,MATCH($B120,[1]SuSa_2024!$B:$B,0)),"0")</f>
        <v>3623.5699999999997</v>
      </c>
      <c r="AQ120" s="8">
        <f>IFERROR(INDEX([1]SuSa_2024!BU:BU,MATCH($B120,[1]SuSa_2024!$B:$B,0)),"0")</f>
        <v>3623.5699999999997</v>
      </c>
      <c r="AR120" s="8">
        <f>IFERROR(INDEX([1]SuSa_2024!BV:BV,MATCH($B120,[1]SuSa_2024!$B:$B,0)),"0")</f>
        <v>3623.5699999999997</v>
      </c>
      <c r="AS120" s="8">
        <f>IFERROR(INDEX([1]SuSa_2024!BW:BW,MATCH($B120,[1]SuSa_2024!$B:$B,0)),"0")</f>
        <v>3623.5699999999997</v>
      </c>
      <c r="AT120" s="8">
        <f>IFERROR(INDEX([1]SuSa_2024!BX:BX,MATCH($B120,[1]SuSa_2024!$B:$B,0)),"0")</f>
        <v>3623.5699999999997</v>
      </c>
      <c r="AU120" s="8">
        <f>IFERROR(INDEX([1]SuSa_2024!BY:BY,MATCH($B120,[1]SuSa_2024!$B:$B,0)),"0")</f>
        <v>13406.47</v>
      </c>
      <c r="AV120" s="8">
        <f>IFERROR(INDEX([1]SuSa_2025!AR:AR,MATCH($B120,[1]SuSa_2025!$B:$B,0)),"0")</f>
        <v>0</v>
      </c>
      <c r="AW120" s="8">
        <f>IFERROR(INDEX([1]SuSa_2025!AS:AS,MATCH($B120,[1]SuSa_2025!$B:$B,0)),"0")</f>
        <v>0</v>
      </c>
      <c r="AX120" s="8">
        <f>IFERROR(INDEX([1]SuSa_2025!AT:AT,MATCH($B120,[1]SuSa_2025!$B:$B,0)),"0")</f>
        <v>0</v>
      </c>
      <c r="AY120" s="8">
        <f>IFERROR(INDEX([1]SuSa_2025!AU:AU,MATCH($B120,[1]SuSa_2025!$B:$B,0)),"0")</f>
        <v>0</v>
      </c>
      <c r="AZ120" s="8">
        <f>IFERROR(INDEX([1]SuSa_2025!AV:AV,MATCH($B120,[1]SuSa_2025!$B:$B,0)),"0")</f>
        <v>0</v>
      </c>
      <c r="BA120" s="8">
        <f>IFERROR(INDEX([1]SuSa_2025!AW:AW,MATCH($B120,[1]SuSa_2025!$B:$B,0)),"0")</f>
        <v>0</v>
      </c>
      <c r="BB120" s="8">
        <f>IFERROR(INDEX([1]SuSa_2025!AX:AX,MATCH($B120,[1]SuSa_2025!$B:$B,0)),"0")</f>
        <v>0</v>
      </c>
    </row>
    <row r="121" spans="1:54" outlineLevel="1" collapsed="1" x14ac:dyDescent="0.25">
      <c r="A121" s="5" t="s">
        <v>403</v>
      </c>
      <c r="B121" s="6" t="s">
        <v>404</v>
      </c>
      <c r="C121" t="s">
        <v>405</v>
      </c>
      <c r="F121" s="7">
        <f t="shared" si="5"/>
        <v>10935.24</v>
      </c>
      <c r="G121" s="7">
        <f t="shared" si="6"/>
        <v>14867.29</v>
      </c>
      <c r="H121" s="7">
        <f t="shared" si="7"/>
        <v>3232.6800000000003</v>
      </c>
      <c r="I121" s="7">
        <f t="shared" si="8"/>
        <v>2375.73</v>
      </c>
      <c r="J121" s="8">
        <f t="shared" si="10"/>
        <v>2345.2399999999998</v>
      </c>
      <c r="K121" s="8">
        <f t="shared" si="9"/>
        <v>3263.17</v>
      </c>
      <c r="L121" s="8">
        <v>215.91</v>
      </c>
      <c r="M121" s="8">
        <v>691.82</v>
      </c>
      <c r="N121" s="8">
        <v>1068.19</v>
      </c>
      <c r="O121" s="8">
        <v>1278.68</v>
      </c>
      <c r="P121" s="8">
        <v>2637.44</v>
      </c>
      <c r="Q121" s="8">
        <v>3484.21</v>
      </c>
      <c r="R121" s="8">
        <v>4491.84</v>
      </c>
      <c r="S121" s="8">
        <v>5598.34</v>
      </c>
      <c r="T121" s="8">
        <v>6467.24</v>
      </c>
      <c r="U121" s="8">
        <v>8428.3700000000008</v>
      </c>
      <c r="V121" s="8">
        <v>10601.73</v>
      </c>
      <c r="W121" s="8">
        <v>10935.24</v>
      </c>
      <c r="X121" s="8">
        <v>1089.45</v>
      </c>
      <c r="Y121" s="8">
        <v>2067.15</v>
      </c>
      <c r="Z121" s="8">
        <v>3322.18</v>
      </c>
      <c r="AA121" s="8">
        <v>3355.7</v>
      </c>
      <c r="AB121" s="8">
        <v>3927.72</v>
      </c>
      <c r="AC121" s="8">
        <v>5037.46</v>
      </c>
      <c r="AD121" s="8">
        <v>5628.93</v>
      </c>
      <c r="AE121" s="8">
        <v>9621.49</v>
      </c>
      <c r="AF121" s="8">
        <v>10346.19</v>
      </c>
      <c r="AG121" s="8">
        <v>12826.7</v>
      </c>
      <c r="AH121" s="8">
        <v>13017.45</v>
      </c>
      <c r="AI121" s="8">
        <v>14867.29</v>
      </c>
      <c r="AJ121" s="8">
        <f>IFERROR(INDEX([1]SuSa_2024!BN:BN,MATCH($B121,[1]SuSa_2024!$B:$B,0)),"0")</f>
        <v>408.56</v>
      </c>
      <c r="AK121" s="8">
        <f>IFERROR(INDEX([1]SuSa_2024!BO:BO,MATCH($B121,[1]SuSa_2024!$B:$B,0)),"0")</f>
        <v>1158.6500000000001</v>
      </c>
      <c r="AL121" s="8">
        <f>IFERROR(INDEX([1]SuSa_2024!BP:BP,MATCH($B121,[1]SuSa_2024!$B:$B,0)),"0")</f>
        <v>2089.42</v>
      </c>
      <c r="AM121" s="8">
        <f>IFERROR(INDEX([1]SuSa_2024!BQ:BQ,MATCH($B121,[1]SuSa_2024!$B:$B,0)),"0")</f>
        <v>2568.1999999999998</v>
      </c>
      <c r="AN121" s="8">
        <f>IFERROR(INDEX([1]SuSa_2024!BR:BR,MATCH($B121,[1]SuSa_2024!$B:$B,0)),"0")</f>
        <v>2859.67</v>
      </c>
      <c r="AO121" s="8">
        <f>IFERROR(INDEX([1]SuSa_2024!BS:BS,MATCH($B121,[1]SuSa_2024!$B:$B,0)),"0")</f>
        <v>2963.28</v>
      </c>
      <c r="AP121" s="8">
        <f>IFERROR(INDEX([1]SuSa_2024!BT:BT,MATCH($B121,[1]SuSa_2024!$B:$B,0)),"0")</f>
        <v>3263.17</v>
      </c>
      <c r="AQ121" s="8">
        <f>IFERROR(INDEX([1]SuSa_2024!BU:BU,MATCH($B121,[1]SuSa_2024!$B:$B,0)),"0")</f>
        <v>3263.17</v>
      </c>
      <c r="AR121" s="8">
        <f>IFERROR(INDEX([1]SuSa_2024!BV:BV,MATCH($B121,[1]SuSa_2024!$B:$B,0)),"0")</f>
        <v>3263.17</v>
      </c>
      <c r="AS121" s="8">
        <f>IFERROR(INDEX([1]SuSa_2024!BW:BW,MATCH($B121,[1]SuSa_2024!$B:$B,0)),"0")</f>
        <v>3263.17</v>
      </c>
      <c r="AT121" s="8">
        <f>IFERROR(INDEX([1]SuSa_2024!BX:BX,MATCH($B121,[1]SuSa_2024!$B:$B,0)),"0")</f>
        <v>3290.15</v>
      </c>
      <c r="AU121" s="8">
        <f>IFERROR(INDEX([1]SuSa_2024!BY:BY,MATCH($B121,[1]SuSa_2024!$B:$B,0)),"0")</f>
        <v>3232.6800000000003</v>
      </c>
      <c r="AV121" s="8">
        <f>IFERROR(INDEX([1]SuSa_2025!AR:AR,MATCH($B121,[1]SuSa_2025!$B:$B,0)),"0")</f>
        <v>0</v>
      </c>
      <c r="AW121" s="8">
        <f>IFERROR(INDEX([1]SuSa_2025!AS:AS,MATCH($B121,[1]SuSa_2025!$B:$B,0)),"0")</f>
        <v>90.91</v>
      </c>
      <c r="AX121" s="8">
        <f>IFERROR(INDEX([1]SuSa_2025!AT:AT,MATCH($B121,[1]SuSa_2025!$B:$B,0)),"0")</f>
        <v>405.41999999999996</v>
      </c>
      <c r="AY121" s="8">
        <f>IFERROR(INDEX([1]SuSa_2025!AU:AU,MATCH($B121,[1]SuSa_2025!$B:$B,0)),"0")</f>
        <v>742.91</v>
      </c>
      <c r="AZ121" s="8">
        <f>IFERROR(INDEX([1]SuSa_2025!AV:AV,MATCH($B121,[1]SuSa_2025!$B:$B,0)),"0")</f>
        <v>961.66</v>
      </c>
      <c r="BA121" s="8">
        <f>IFERROR(INDEX([1]SuSa_2025!AW:AW,MATCH($B121,[1]SuSa_2025!$B:$B,0)),"0")</f>
        <v>2163.39</v>
      </c>
      <c r="BB121" s="8">
        <f>IFERROR(INDEX([1]SuSa_2025!AX:AX,MATCH($B121,[1]SuSa_2025!$B:$B,0)),"0")</f>
        <v>2375.73</v>
      </c>
    </row>
    <row r="122" spans="1:54" outlineLevel="1" collapsed="1" x14ac:dyDescent="0.25">
      <c r="A122" s="5" t="s">
        <v>406</v>
      </c>
      <c r="B122" s="6" t="s">
        <v>407</v>
      </c>
      <c r="C122" t="s">
        <v>408</v>
      </c>
      <c r="F122" s="7">
        <f t="shared" si="5"/>
        <v>19371.580000000002</v>
      </c>
      <c r="G122" s="7">
        <f t="shared" si="6"/>
        <v>16808.5</v>
      </c>
      <c r="H122" s="7">
        <f t="shared" si="7"/>
        <v>9541.15</v>
      </c>
      <c r="I122" s="7">
        <f t="shared" si="8"/>
        <v>0</v>
      </c>
      <c r="J122" s="8">
        <f t="shared" si="10"/>
        <v>1350</v>
      </c>
      <c r="K122" s="8">
        <f t="shared" si="9"/>
        <v>8191.15</v>
      </c>
      <c r="L122" s="8">
        <v>1350</v>
      </c>
      <c r="M122" s="8">
        <v>2700</v>
      </c>
      <c r="N122" s="8">
        <v>4050</v>
      </c>
      <c r="O122" s="8">
        <v>5400</v>
      </c>
      <c r="P122" s="8">
        <v>6750</v>
      </c>
      <c r="Q122" s="8">
        <v>8100</v>
      </c>
      <c r="R122" s="8">
        <v>9729</v>
      </c>
      <c r="S122" s="8">
        <v>11108</v>
      </c>
      <c r="T122" s="8">
        <v>15061.19</v>
      </c>
      <c r="U122" s="8">
        <v>16421.580000000002</v>
      </c>
      <c r="V122" s="8">
        <v>17771.580000000002</v>
      </c>
      <c r="W122" s="8">
        <v>19371.580000000002</v>
      </c>
      <c r="X122" s="8">
        <v>1350</v>
      </c>
      <c r="Y122" s="8">
        <v>2700</v>
      </c>
      <c r="Z122" s="8">
        <v>4199.92</v>
      </c>
      <c r="AA122" s="8">
        <v>5549.92</v>
      </c>
      <c r="AB122" s="8">
        <v>6899.92</v>
      </c>
      <c r="AC122" s="8">
        <v>8249.92</v>
      </c>
      <c r="AD122" s="8">
        <v>9599.92</v>
      </c>
      <c r="AE122" s="8">
        <v>10949.92</v>
      </c>
      <c r="AF122" s="8">
        <v>11259.58</v>
      </c>
      <c r="AG122" s="8">
        <v>12673.35</v>
      </c>
      <c r="AH122" s="8">
        <v>14130.74</v>
      </c>
      <c r="AI122" s="8">
        <v>16808.5</v>
      </c>
      <c r="AJ122" s="8">
        <f>IFERROR(INDEX([1]SuSa_2024!BN:BN,MATCH($B122,[1]SuSa_2024!$B:$B,0)),"0")</f>
        <v>1350</v>
      </c>
      <c r="AK122" s="8">
        <f>IFERROR(INDEX([1]SuSa_2024!BO:BO,MATCH($B122,[1]SuSa_2024!$B:$B,0)),"0")</f>
        <v>1418.91</v>
      </c>
      <c r="AL122" s="8">
        <f>IFERROR(INDEX([1]SuSa_2024!BP:BP,MATCH($B122,[1]SuSa_2024!$B:$B,0)),"0")</f>
        <v>2791.15</v>
      </c>
      <c r="AM122" s="8">
        <f>IFERROR(INDEX([1]SuSa_2024!BQ:BQ,MATCH($B122,[1]SuSa_2024!$B:$B,0)),"0")</f>
        <v>4141.1499999999996</v>
      </c>
      <c r="AN122" s="8">
        <f>IFERROR(INDEX([1]SuSa_2024!BR:BR,MATCH($B122,[1]SuSa_2024!$B:$B,0)),"0")</f>
        <v>5491.15</v>
      </c>
      <c r="AO122" s="8">
        <f>IFERROR(INDEX([1]SuSa_2024!BS:BS,MATCH($B122,[1]SuSa_2024!$B:$B,0)),"0")</f>
        <v>6841.15</v>
      </c>
      <c r="AP122" s="8">
        <f>IFERROR(INDEX([1]SuSa_2024!BT:BT,MATCH($B122,[1]SuSa_2024!$B:$B,0)),"0")</f>
        <v>8191.15</v>
      </c>
      <c r="AQ122" s="8">
        <f>IFERROR(INDEX([1]SuSa_2024!BU:BU,MATCH($B122,[1]SuSa_2024!$B:$B,0)),"0")</f>
        <v>9851.15</v>
      </c>
      <c r="AR122" s="8">
        <f>IFERROR(INDEX([1]SuSa_2024!BV:BV,MATCH($B122,[1]SuSa_2024!$B:$B,0)),"0")</f>
        <v>9851.15</v>
      </c>
      <c r="AS122" s="8">
        <f>IFERROR(INDEX([1]SuSa_2024!BW:BW,MATCH($B122,[1]SuSa_2024!$B:$B,0)),"0")</f>
        <v>9851.15</v>
      </c>
      <c r="AT122" s="8">
        <f>IFERROR(INDEX([1]SuSa_2024!BX:BX,MATCH($B122,[1]SuSa_2024!$B:$B,0)),"0")</f>
        <v>9851.15</v>
      </c>
      <c r="AU122" s="8">
        <f>IFERROR(INDEX([1]SuSa_2024!BY:BY,MATCH($B122,[1]SuSa_2024!$B:$B,0)),"0")</f>
        <v>9541.15</v>
      </c>
      <c r="AV122" s="8">
        <f>IFERROR(INDEX([1]SuSa_2025!AR:AR,MATCH($B122,[1]SuSa_2025!$B:$B,0)),"0")</f>
        <v>0</v>
      </c>
      <c r="AW122" s="8">
        <f>IFERROR(INDEX([1]SuSa_2025!AS:AS,MATCH($B122,[1]SuSa_2025!$B:$B,0)),"0")</f>
        <v>0</v>
      </c>
      <c r="AX122" s="8">
        <f>IFERROR(INDEX([1]SuSa_2025!AT:AT,MATCH($B122,[1]SuSa_2025!$B:$B,0)),"0")</f>
        <v>0</v>
      </c>
      <c r="AY122" s="8">
        <f>IFERROR(INDEX([1]SuSa_2025!AU:AU,MATCH($B122,[1]SuSa_2025!$B:$B,0)),"0")</f>
        <v>0</v>
      </c>
      <c r="AZ122" s="8">
        <f>IFERROR(INDEX([1]SuSa_2025!AV:AV,MATCH($B122,[1]SuSa_2025!$B:$B,0)),"0")</f>
        <v>0</v>
      </c>
      <c r="BA122" s="8">
        <f>IFERROR(INDEX([1]SuSa_2025!AW:AW,MATCH($B122,[1]SuSa_2025!$B:$B,0)),"0")</f>
        <v>0</v>
      </c>
      <c r="BB122" s="8">
        <f>IFERROR(INDEX([1]SuSa_2025!AX:AX,MATCH($B122,[1]SuSa_2025!$B:$B,0)),"0")</f>
        <v>0</v>
      </c>
    </row>
    <row r="123" spans="1:54" outlineLevel="1" collapsed="1" x14ac:dyDescent="0.25">
      <c r="A123" s="5" t="s">
        <v>409</v>
      </c>
      <c r="B123" s="6" t="s">
        <v>410</v>
      </c>
      <c r="C123" t="s">
        <v>411</v>
      </c>
      <c r="F123" s="7">
        <f t="shared" si="5"/>
        <v>3844.03</v>
      </c>
      <c r="G123" s="7">
        <f t="shared" si="6"/>
        <v>13524.4</v>
      </c>
      <c r="H123" s="7">
        <f t="shared" si="7"/>
        <v>-4466.7099999999991</v>
      </c>
      <c r="I123" s="7">
        <f t="shared" si="8"/>
        <v>0</v>
      </c>
      <c r="J123" s="8">
        <f t="shared" si="10"/>
        <v>303.8100000000004</v>
      </c>
      <c r="K123" s="8">
        <f t="shared" si="9"/>
        <v>-4770.5199999999995</v>
      </c>
      <c r="L123" s="8">
        <v>367.95</v>
      </c>
      <c r="M123" s="8">
        <v>367.95</v>
      </c>
      <c r="N123" s="8">
        <v>367.95</v>
      </c>
      <c r="O123" s="8">
        <v>367.95</v>
      </c>
      <c r="P123" s="8">
        <v>367.95</v>
      </c>
      <c r="Q123" s="8">
        <v>367.95</v>
      </c>
      <c r="R123" s="8">
        <v>935.98</v>
      </c>
      <c r="S123" s="8">
        <v>2507.2600000000002</v>
      </c>
      <c r="T123" s="8">
        <v>2507.2600000000002</v>
      </c>
      <c r="U123" s="8">
        <v>2554.7399999999998</v>
      </c>
      <c r="V123" s="8">
        <v>2554.7399999999998</v>
      </c>
      <c r="W123" s="8">
        <v>3844.03</v>
      </c>
      <c r="X123" s="8">
        <v>159.47999999999999</v>
      </c>
      <c r="Y123" s="8">
        <v>661.27</v>
      </c>
      <c r="Z123" s="8">
        <v>3610.16</v>
      </c>
      <c r="AA123" s="8">
        <v>3708.05</v>
      </c>
      <c r="AB123" s="8">
        <v>3708.05</v>
      </c>
      <c r="AC123" s="8">
        <v>3980.08</v>
      </c>
      <c r="AD123" s="8">
        <v>3980.08</v>
      </c>
      <c r="AE123" s="8">
        <v>3980.08</v>
      </c>
      <c r="AF123" s="8">
        <v>4006.62</v>
      </c>
      <c r="AG123" s="8">
        <v>4034.43</v>
      </c>
      <c r="AH123" s="8">
        <v>4034.43</v>
      </c>
      <c r="AI123" s="8">
        <v>13524.4</v>
      </c>
      <c r="AJ123" s="8">
        <f>IFERROR(INDEX([1]SuSa_2024!BN:BN,MATCH($B123,[1]SuSa_2024!$B:$B,0)),"0")</f>
        <v>894.21</v>
      </c>
      <c r="AK123" s="8">
        <f>IFERROR(INDEX([1]SuSa_2024!BO:BO,MATCH($B123,[1]SuSa_2024!$B:$B,0)),"0")</f>
        <v>894.21</v>
      </c>
      <c r="AL123" s="8">
        <f>IFERROR(INDEX([1]SuSa_2024!BP:BP,MATCH($B123,[1]SuSa_2024!$B:$B,0)),"0")</f>
        <v>-5030.6099999999997</v>
      </c>
      <c r="AM123" s="8">
        <f>IFERROR(INDEX([1]SuSa_2024!BQ:BQ,MATCH($B123,[1]SuSa_2024!$B:$B,0)),"0")</f>
        <v>-5030.6099999999997</v>
      </c>
      <c r="AN123" s="8">
        <f>IFERROR(INDEX([1]SuSa_2024!BR:BR,MATCH($B123,[1]SuSa_2024!$B:$B,0)),"0")</f>
        <v>-4985.91</v>
      </c>
      <c r="AO123" s="8">
        <f>IFERROR(INDEX([1]SuSa_2024!BS:BS,MATCH($B123,[1]SuSa_2024!$B:$B,0)),"0")</f>
        <v>-4985.91</v>
      </c>
      <c r="AP123" s="8">
        <f>IFERROR(INDEX([1]SuSa_2024!BT:BT,MATCH($B123,[1]SuSa_2024!$B:$B,0)),"0")</f>
        <v>-4770.5199999999995</v>
      </c>
      <c r="AQ123" s="8">
        <f>IFERROR(INDEX([1]SuSa_2024!BU:BU,MATCH($B123,[1]SuSa_2024!$B:$B,0)),"0")</f>
        <v>-4635.5499999999993</v>
      </c>
      <c r="AR123" s="8">
        <f>IFERROR(INDEX([1]SuSa_2024!BV:BV,MATCH($B123,[1]SuSa_2024!$B:$B,0)),"0")</f>
        <v>-4635.5499999999993</v>
      </c>
      <c r="AS123" s="8">
        <f>IFERROR(INDEX([1]SuSa_2024!BW:BW,MATCH($B123,[1]SuSa_2024!$B:$B,0)),"0")</f>
        <v>-4635.5499999999993</v>
      </c>
      <c r="AT123" s="8">
        <f>IFERROR(INDEX([1]SuSa_2024!BX:BX,MATCH($B123,[1]SuSa_2024!$B:$B,0)),"0")</f>
        <v>-4635.5499999999993</v>
      </c>
      <c r="AU123" s="8">
        <f>IFERROR(INDEX([1]SuSa_2024!BY:BY,MATCH($B123,[1]SuSa_2024!$B:$B,0)),"0")</f>
        <v>-4466.7099999999991</v>
      </c>
      <c r="AV123" s="8">
        <f>IFERROR(INDEX([1]SuSa_2025!AR:AR,MATCH($B123,[1]SuSa_2025!$B:$B,0)),"0")</f>
        <v>0</v>
      </c>
      <c r="AW123" s="8">
        <f>IFERROR(INDEX([1]SuSa_2025!AS:AS,MATCH($B123,[1]SuSa_2025!$B:$B,0)),"0")</f>
        <v>0</v>
      </c>
      <c r="AX123" s="8">
        <f>IFERROR(INDEX([1]SuSa_2025!AT:AT,MATCH($B123,[1]SuSa_2025!$B:$B,0)),"0")</f>
        <v>0</v>
      </c>
      <c r="AY123" s="8">
        <f>IFERROR(INDEX([1]SuSa_2025!AU:AU,MATCH($B123,[1]SuSa_2025!$B:$B,0)),"0")</f>
        <v>0</v>
      </c>
      <c r="AZ123" s="8">
        <f>IFERROR(INDEX([1]SuSa_2025!AV:AV,MATCH($B123,[1]SuSa_2025!$B:$B,0)),"0")</f>
        <v>0</v>
      </c>
      <c r="BA123" s="8">
        <f>IFERROR(INDEX([1]SuSa_2025!AW:AW,MATCH($B123,[1]SuSa_2025!$B:$B,0)),"0")</f>
        <v>0</v>
      </c>
      <c r="BB123" s="8">
        <f>IFERROR(INDEX([1]SuSa_2025!AX:AX,MATCH($B123,[1]SuSa_2025!$B:$B,0)),"0")</f>
        <v>0</v>
      </c>
    </row>
    <row r="124" spans="1:54" outlineLevel="1" collapsed="1" x14ac:dyDescent="0.25">
      <c r="A124" s="5" t="s">
        <v>412</v>
      </c>
      <c r="B124" s="6" t="s">
        <v>413</v>
      </c>
      <c r="C124" t="s">
        <v>414</v>
      </c>
      <c r="F124" s="7">
        <f t="shared" si="5"/>
        <v>2481.6999999999998</v>
      </c>
      <c r="G124" s="7">
        <f t="shared" si="6"/>
        <v>4731.04</v>
      </c>
      <c r="H124" s="7">
        <f t="shared" si="7"/>
        <v>798.33</v>
      </c>
      <c r="I124" s="7">
        <f t="shared" si="8"/>
        <v>1960.93</v>
      </c>
      <c r="J124" s="8">
        <f t="shared" si="10"/>
        <v>2045.88</v>
      </c>
      <c r="K124" s="8">
        <f t="shared" si="9"/>
        <v>713.38</v>
      </c>
      <c r="N124" s="8">
        <v>100.6</v>
      </c>
      <c r="O124" s="8">
        <v>100.6</v>
      </c>
      <c r="P124" s="8">
        <v>349.48</v>
      </c>
      <c r="Q124" s="8">
        <v>349.48</v>
      </c>
      <c r="R124" s="8">
        <v>349.48</v>
      </c>
      <c r="S124" s="8">
        <v>545.84</v>
      </c>
      <c r="T124" s="8">
        <v>1000.52</v>
      </c>
      <c r="U124" s="8">
        <v>1318.84</v>
      </c>
      <c r="V124" s="8">
        <v>1710.44</v>
      </c>
      <c r="W124" s="8">
        <v>2481.6999999999998</v>
      </c>
      <c r="X124" s="8">
        <v>332.65</v>
      </c>
      <c r="Y124" s="8">
        <v>332.65</v>
      </c>
      <c r="Z124" s="8">
        <v>664.9</v>
      </c>
      <c r="AA124" s="8">
        <v>664.9</v>
      </c>
      <c r="AB124" s="8">
        <v>664.9</v>
      </c>
      <c r="AC124" s="8">
        <v>1027.7</v>
      </c>
      <c r="AD124" s="8">
        <v>1027.7</v>
      </c>
      <c r="AE124" s="8">
        <v>1100.5</v>
      </c>
      <c r="AF124" s="8">
        <v>1100.5</v>
      </c>
      <c r="AG124" s="8">
        <v>1100.5</v>
      </c>
      <c r="AH124" s="8">
        <v>1230.5</v>
      </c>
      <c r="AI124" s="8">
        <v>4731.04</v>
      </c>
      <c r="AJ124" s="8">
        <f>IFERROR(INDEX([1]SuSa_2024!BN:BN,MATCH($B124,[1]SuSa_2024!$B:$B,0)),"0")</f>
        <v>65</v>
      </c>
      <c r="AK124" s="8">
        <f>IFERROR(INDEX([1]SuSa_2024!BO:BO,MATCH($B124,[1]SuSa_2024!$B:$B,0)),"0")</f>
        <v>65</v>
      </c>
      <c r="AL124" s="8">
        <f>IFERROR(INDEX([1]SuSa_2024!BP:BP,MATCH($B124,[1]SuSa_2024!$B:$B,0)),"0")</f>
        <v>449.39</v>
      </c>
      <c r="AM124" s="8">
        <f>IFERROR(INDEX([1]SuSa_2024!BQ:BQ,MATCH($B124,[1]SuSa_2024!$B:$B,0)),"0")</f>
        <v>629.39</v>
      </c>
      <c r="AN124" s="8">
        <f>IFERROR(INDEX([1]SuSa_2024!BR:BR,MATCH($B124,[1]SuSa_2024!$B:$B,0)),"0")</f>
        <v>713.38</v>
      </c>
      <c r="AO124" s="8">
        <f>IFERROR(INDEX([1]SuSa_2024!BS:BS,MATCH($B124,[1]SuSa_2024!$B:$B,0)),"0")</f>
        <v>713.38</v>
      </c>
      <c r="AP124" s="8">
        <f>IFERROR(INDEX([1]SuSa_2024!BT:BT,MATCH($B124,[1]SuSa_2024!$B:$B,0)),"0")</f>
        <v>713.38</v>
      </c>
      <c r="AQ124" s="8">
        <f>IFERROR(INDEX([1]SuSa_2024!BU:BU,MATCH($B124,[1]SuSa_2024!$B:$B,0)),"0")</f>
        <v>713.38</v>
      </c>
      <c r="AR124" s="8">
        <f>IFERROR(INDEX([1]SuSa_2024!BV:BV,MATCH($B124,[1]SuSa_2024!$B:$B,0)),"0")</f>
        <v>713.38</v>
      </c>
      <c r="AS124" s="8">
        <f>IFERROR(INDEX([1]SuSa_2024!BW:BW,MATCH($B124,[1]SuSa_2024!$B:$B,0)),"0")</f>
        <v>713.38</v>
      </c>
      <c r="AT124" s="8">
        <f>IFERROR(INDEX([1]SuSa_2024!BX:BX,MATCH($B124,[1]SuSa_2024!$B:$B,0)),"0")</f>
        <v>713.38</v>
      </c>
      <c r="AU124" s="8">
        <f>IFERROR(INDEX([1]SuSa_2024!BY:BY,MATCH($B124,[1]SuSa_2024!$B:$B,0)),"0")</f>
        <v>798.33</v>
      </c>
      <c r="AV124" s="8">
        <f>IFERROR(INDEX([1]SuSa_2025!AR:AR,MATCH($B124,[1]SuSa_2025!$B:$B,0)),"0")</f>
        <v>0</v>
      </c>
      <c r="AW124" s="8">
        <f>IFERROR(INDEX([1]SuSa_2025!AS:AS,MATCH($B124,[1]SuSa_2025!$B:$B,0)),"0")</f>
        <v>0</v>
      </c>
      <c r="AX124" s="8">
        <f>IFERROR(INDEX([1]SuSa_2025!AT:AT,MATCH($B124,[1]SuSa_2025!$B:$B,0)),"0")</f>
        <v>1750</v>
      </c>
      <c r="AY124" s="8">
        <f>IFERROR(INDEX([1]SuSa_2025!AU:AU,MATCH($B124,[1]SuSa_2025!$B:$B,0)),"0")</f>
        <v>1750</v>
      </c>
      <c r="AZ124" s="8">
        <f>IFERROR(INDEX([1]SuSa_2025!AV:AV,MATCH($B124,[1]SuSa_2025!$B:$B,0)),"0")</f>
        <v>1812.03</v>
      </c>
      <c r="BA124" s="8">
        <f>IFERROR(INDEX([1]SuSa_2025!AW:AW,MATCH($B124,[1]SuSa_2025!$B:$B,0)),"0")</f>
        <v>1812.03</v>
      </c>
      <c r="BB124" s="8">
        <f>IFERROR(INDEX([1]SuSa_2025!AX:AX,MATCH($B124,[1]SuSa_2025!$B:$B,0)),"0")</f>
        <v>1960.93</v>
      </c>
    </row>
    <row r="125" spans="1:54" outlineLevel="1" x14ac:dyDescent="0.25">
      <c r="A125" s="5" t="s">
        <v>415</v>
      </c>
      <c r="B125" s="6" t="s">
        <v>416</v>
      </c>
      <c r="F125" s="7">
        <f t="shared" si="5"/>
        <v>0</v>
      </c>
      <c r="G125" s="7">
        <f t="shared" si="6"/>
        <v>0</v>
      </c>
      <c r="H125" s="7">
        <f t="shared" si="7"/>
        <v>0</v>
      </c>
      <c r="I125" s="7" t="str">
        <f t="shared" si="8"/>
        <v>0</v>
      </c>
      <c r="J125" s="8">
        <f t="shared" si="10"/>
        <v>0</v>
      </c>
      <c r="K125" s="8">
        <f t="shared" si="9"/>
        <v>0</v>
      </c>
      <c r="AJ125" s="8">
        <f>IFERROR(INDEX([1]SuSa_2024!BN:BN,MATCH($B125,[1]SuSa_2024!$B:$B,0)),"0")</f>
        <v>0</v>
      </c>
      <c r="AK125" s="8">
        <f>IFERROR(INDEX([1]SuSa_2024!BO:BO,MATCH($B125,[1]SuSa_2024!$B:$B,0)),"0")</f>
        <v>0</v>
      </c>
      <c r="AL125" s="8">
        <f>IFERROR(INDEX([1]SuSa_2024!BP:BP,MATCH($B125,[1]SuSa_2024!$B:$B,0)),"0")</f>
        <v>0</v>
      </c>
      <c r="AM125" s="8">
        <f>IFERROR(INDEX([1]SuSa_2024!BQ:BQ,MATCH($B125,[1]SuSa_2024!$B:$B,0)),"0")</f>
        <v>0</v>
      </c>
      <c r="AN125" s="8">
        <f>IFERROR(INDEX([1]SuSa_2024!BR:BR,MATCH($B125,[1]SuSa_2024!$B:$B,0)),"0")</f>
        <v>0</v>
      </c>
      <c r="AO125" s="8">
        <f>IFERROR(INDEX([1]SuSa_2024!BS:BS,MATCH($B125,[1]SuSa_2024!$B:$B,0)),"0")</f>
        <v>0</v>
      </c>
      <c r="AP125" s="8">
        <f>IFERROR(INDEX([1]SuSa_2024!BT:BT,MATCH($B125,[1]SuSa_2024!$B:$B,0)),"0")</f>
        <v>0</v>
      </c>
      <c r="AQ125" s="8">
        <f>IFERROR(INDEX([1]SuSa_2024!BU:BU,MATCH($B125,[1]SuSa_2024!$B:$B,0)),"0")</f>
        <v>0</v>
      </c>
      <c r="AR125" s="8">
        <f>IFERROR(INDEX([1]SuSa_2024!BV:BV,MATCH($B125,[1]SuSa_2024!$B:$B,0)),"0")</f>
        <v>0</v>
      </c>
      <c r="AS125" s="8">
        <f>IFERROR(INDEX([1]SuSa_2024!BW:BW,MATCH($B125,[1]SuSa_2024!$B:$B,0)),"0")</f>
        <v>0</v>
      </c>
      <c r="AT125" s="8">
        <f>IFERROR(INDEX([1]SuSa_2024!BX:BX,MATCH($B125,[1]SuSa_2024!$B:$B,0)),"0")</f>
        <v>0</v>
      </c>
      <c r="AU125" s="8">
        <f>IFERROR(INDEX([1]SuSa_2024!BY:BY,MATCH($B125,[1]SuSa_2024!$B:$B,0)),"0")</f>
        <v>0</v>
      </c>
      <c r="AV125" s="8" t="str">
        <f>IFERROR(INDEX([1]SuSa_2025!AR:AR,MATCH($B125,[1]SuSa_2025!$B:$B,0)),"0")</f>
        <v>0</v>
      </c>
      <c r="AW125" s="8" t="str">
        <f>IFERROR(INDEX([1]SuSa_2025!AS:AS,MATCH($B125,[1]SuSa_2025!$B:$B,0)),"0")</f>
        <v>0</v>
      </c>
      <c r="AX125" s="8" t="str">
        <f>IFERROR(INDEX([1]SuSa_2025!AT:AT,MATCH($B125,[1]SuSa_2025!$B:$B,0)),"0")</f>
        <v>0</v>
      </c>
      <c r="AY125" s="8" t="str">
        <f>IFERROR(INDEX([1]SuSa_2025!AU:AU,MATCH($B125,[1]SuSa_2025!$B:$B,0)),"0")</f>
        <v>0</v>
      </c>
      <c r="AZ125" s="8" t="str">
        <f>IFERROR(INDEX([1]SuSa_2025!AV:AV,MATCH($B125,[1]SuSa_2025!$B:$B,0)),"0")</f>
        <v>0</v>
      </c>
      <c r="BA125" s="8" t="str">
        <f>IFERROR(INDEX([1]SuSa_2025!AW:AW,MATCH($B125,[1]SuSa_2025!$B:$B,0)),"0")</f>
        <v>0</v>
      </c>
      <c r="BB125" s="8" t="str">
        <f>IFERROR(INDEX([1]SuSa_2025!AX:AX,MATCH($B125,[1]SuSa_2025!$B:$B,0)),"0")</f>
        <v>0</v>
      </c>
    </row>
    <row r="126" spans="1:54" outlineLevel="1" collapsed="1" x14ac:dyDescent="0.25">
      <c r="A126" s="5" t="s">
        <v>415</v>
      </c>
      <c r="B126" s="6" t="s">
        <v>417</v>
      </c>
      <c r="C126" t="s">
        <v>418</v>
      </c>
      <c r="F126" s="7">
        <f t="shared" si="5"/>
        <v>1551.7</v>
      </c>
      <c r="G126" s="7">
        <f t="shared" si="6"/>
        <v>12508.08</v>
      </c>
      <c r="H126" s="7" t="str">
        <f t="shared" si="7"/>
        <v>0</v>
      </c>
      <c r="I126" s="7" t="str">
        <f t="shared" si="8"/>
        <v>0</v>
      </c>
      <c r="J126" s="8">
        <f t="shared" si="10"/>
        <v>0</v>
      </c>
      <c r="K126" s="8" t="str">
        <f t="shared" si="9"/>
        <v>0</v>
      </c>
      <c r="M126" s="8">
        <v>1300</v>
      </c>
      <c r="N126" s="8">
        <v>1300</v>
      </c>
      <c r="O126" s="8">
        <v>1300</v>
      </c>
      <c r="P126" s="8">
        <v>1300</v>
      </c>
      <c r="Q126" s="8">
        <v>1300</v>
      </c>
      <c r="R126" s="8">
        <v>1300</v>
      </c>
      <c r="S126" s="8">
        <v>1300</v>
      </c>
      <c r="T126" s="8">
        <v>1400.68</v>
      </c>
      <c r="U126" s="8">
        <v>1451.02</v>
      </c>
      <c r="V126" s="8">
        <v>1501.36</v>
      </c>
      <c r="W126" s="8">
        <v>1551.7</v>
      </c>
      <c r="X126" s="8">
        <v>50.34</v>
      </c>
      <c r="Y126" s="8">
        <v>1163.68</v>
      </c>
      <c r="Z126" s="8">
        <v>1795.02</v>
      </c>
      <c r="AA126" s="8">
        <v>1845.36</v>
      </c>
      <c r="AB126" s="8">
        <v>1895.7</v>
      </c>
      <c r="AC126" s="8">
        <v>1946.04</v>
      </c>
      <c r="AD126" s="8">
        <v>1996.33</v>
      </c>
      <c r="AE126" s="8">
        <v>4606.08</v>
      </c>
      <c r="AF126" s="8">
        <v>4606.08</v>
      </c>
      <c r="AG126" s="8">
        <v>4606.08</v>
      </c>
      <c r="AH126" s="8">
        <v>6016.08</v>
      </c>
      <c r="AI126" s="8">
        <v>12508.08</v>
      </c>
      <c r="AJ126" s="8" t="str">
        <f>IFERROR(INDEX([1]SuSa_2024!BN:BN,MATCH($B126,[1]SuSa_2024!$B:$B,0)),"0")</f>
        <v>0</v>
      </c>
      <c r="AK126" s="8" t="str">
        <f>IFERROR(INDEX([1]SuSa_2024!BO:BO,MATCH($B126,[1]SuSa_2024!$B:$B,0)),"0")</f>
        <v>0</v>
      </c>
      <c r="AL126" s="8" t="str">
        <f>IFERROR(INDEX([1]SuSa_2024!BP:BP,MATCH($B126,[1]SuSa_2024!$B:$B,0)),"0")</f>
        <v>0</v>
      </c>
      <c r="AM126" s="8" t="str">
        <f>IFERROR(INDEX([1]SuSa_2024!BQ:BQ,MATCH($B126,[1]SuSa_2024!$B:$B,0)),"0")</f>
        <v>0</v>
      </c>
      <c r="AN126" s="8" t="str">
        <f>IFERROR(INDEX([1]SuSa_2024!BR:BR,MATCH($B126,[1]SuSa_2024!$B:$B,0)),"0")</f>
        <v>0</v>
      </c>
      <c r="AO126" s="8" t="str">
        <f>IFERROR(INDEX([1]SuSa_2024!BS:BS,MATCH($B126,[1]SuSa_2024!$B:$B,0)),"0")</f>
        <v>0</v>
      </c>
      <c r="AP126" s="8" t="str">
        <f>IFERROR(INDEX([1]SuSa_2024!BT:BT,MATCH($B126,[1]SuSa_2024!$B:$B,0)),"0")</f>
        <v>0</v>
      </c>
      <c r="AQ126" s="8" t="str">
        <f>IFERROR(INDEX([1]SuSa_2024!BU:BU,MATCH($B126,[1]SuSa_2024!$B:$B,0)),"0")</f>
        <v>0</v>
      </c>
      <c r="AR126" s="8" t="str">
        <f>IFERROR(INDEX([1]SuSa_2024!BV:BV,MATCH($B126,[1]SuSa_2024!$B:$B,0)),"0")</f>
        <v>0</v>
      </c>
      <c r="AS126" s="8" t="str">
        <f>IFERROR(INDEX([1]SuSa_2024!BW:BW,MATCH($B126,[1]SuSa_2024!$B:$B,0)),"0")</f>
        <v>0</v>
      </c>
      <c r="AT126" s="8" t="str">
        <f>IFERROR(INDEX([1]SuSa_2024!BX:BX,MATCH($B126,[1]SuSa_2024!$B:$B,0)),"0")</f>
        <v>0</v>
      </c>
      <c r="AU126" s="8" t="str">
        <f>IFERROR(INDEX([1]SuSa_2024!BY:BY,MATCH($B126,[1]SuSa_2024!$B:$B,0)),"0")</f>
        <v>0</v>
      </c>
      <c r="AV126" s="8" t="str">
        <f>IFERROR(INDEX([1]SuSa_2025!AR:AR,MATCH($B126,[1]SuSa_2025!$B:$B,0)),"0")</f>
        <v>0</v>
      </c>
      <c r="AW126" s="8" t="str">
        <f>IFERROR(INDEX([1]SuSa_2025!AS:AS,MATCH($B126,[1]SuSa_2025!$B:$B,0)),"0")</f>
        <v>0</v>
      </c>
      <c r="AX126" s="8" t="str">
        <f>IFERROR(INDEX([1]SuSa_2025!AT:AT,MATCH($B126,[1]SuSa_2025!$B:$B,0)),"0")</f>
        <v>0</v>
      </c>
      <c r="AY126" s="8" t="str">
        <f>IFERROR(INDEX([1]SuSa_2025!AU:AU,MATCH($B126,[1]SuSa_2025!$B:$B,0)),"0")</f>
        <v>0</v>
      </c>
      <c r="AZ126" s="8" t="str">
        <f>IFERROR(INDEX([1]SuSa_2025!AV:AV,MATCH($B126,[1]SuSa_2025!$B:$B,0)),"0")</f>
        <v>0</v>
      </c>
      <c r="BA126" s="8" t="str">
        <f>IFERROR(INDEX([1]SuSa_2025!AW:AW,MATCH($B126,[1]SuSa_2025!$B:$B,0)),"0")</f>
        <v>0</v>
      </c>
      <c r="BB126" s="8" t="str">
        <f>IFERROR(INDEX([1]SuSa_2025!AX:AX,MATCH($B126,[1]SuSa_2025!$B:$B,0)),"0")</f>
        <v>0</v>
      </c>
    </row>
    <row r="127" spans="1:54" outlineLevel="1" collapsed="1" x14ac:dyDescent="0.25">
      <c r="A127" s="5" t="s">
        <v>419</v>
      </c>
      <c r="B127" s="6" t="s">
        <v>420</v>
      </c>
      <c r="C127" t="s">
        <v>421</v>
      </c>
      <c r="F127" s="7">
        <f t="shared" si="5"/>
        <v>0</v>
      </c>
      <c r="G127" s="7">
        <f t="shared" si="6"/>
        <v>0</v>
      </c>
      <c r="H127" s="7">
        <f t="shared" si="7"/>
        <v>819.84000000000015</v>
      </c>
      <c r="I127" s="7">
        <f t="shared" si="8"/>
        <v>0</v>
      </c>
      <c r="J127" s="8">
        <f t="shared" si="10"/>
        <v>0</v>
      </c>
      <c r="K127" s="8">
        <f t="shared" si="9"/>
        <v>819.84000000000015</v>
      </c>
      <c r="AJ127" s="8">
        <f>IFERROR(INDEX([1]SuSa_2024!BN:BN,MATCH($B127,[1]SuSa_2024!$B:$B,0)),"0")</f>
        <v>0</v>
      </c>
      <c r="AK127" s="8">
        <f>IFERROR(INDEX([1]SuSa_2024!BO:BO,MATCH($B127,[1]SuSa_2024!$B:$B,0)),"0")</f>
        <v>0</v>
      </c>
      <c r="AL127" s="8">
        <f>IFERROR(INDEX([1]SuSa_2024!BP:BP,MATCH($B127,[1]SuSa_2024!$B:$B,0)),"0")</f>
        <v>0</v>
      </c>
      <c r="AM127" s="8">
        <f>IFERROR(INDEX([1]SuSa_2024!BQ:BQ,MATCH($B127,[1]SuSa_2024!$B:$B,0)),"0")</f>
        <v>0</v>
      </c>
      <c r="AN127" s="8">
        <f>IFERROR(INDEX([1]SuSa_2024!BR:BR,MATCH($B127,[1]SuSa_2024!$B:$B,0)),"0")</f>
        <v>775.32</v>
      </c>
      <c r="AO127" s="8">
        <f>IFERROR(INDEX([1]SuSa_2024!BS:BS,MATCH($B127,[1]SuSa_2024!$B:$B,0)),"0")</f>
        <v>774.5100000000001</v>
      </c>
      <c r="AP127" s="8">
        <f>IFERROR(INDEX([1]SuSa_2024!BT:BT,MATCH($B127,[1]SuSa_2024!$B:$B,0)),"0")</f>
        <v>819.84000000000015</v>
      </c>
      <c r="AQ127" s="8">
        <f>IFERROR(INDEX([1]SuSa_2024!BU:BU,MATCH($B127,[1]SuSa_2024!$B:$B,0)),"0")</f>
        <v>819.84000000000015</v>
      </c>
      <c r="AR127" s="8">
        <f>IFERROR(INDEX([1]SuSa_2024!BV:BV,MATCH($B127,[1]SuSa_2024!$B:$B,0)),"0")</f>
        <v>819.84000000000015</v>
      </c>
      <c r="AS127" s="8">
        <f>IFERROR(INDEX([1]SuSa_2024!BW:BW,MATCH($B127,[1]SuSa_2024!$B:$B,0)),"0")</f>
        <v>819.84000000000015</v>
      </c>
      <c r="AT127" s="8">
        <f>IFERROR(INDEX([1]SuSa_2024!BX:BX,MATCH($B127,[1]SuSa_2024!$B:$B,0)),"0")</f>
        <v>819.84000000000015</v>
      </c>
      <c r="AU127" s="8">
        <f>IFERROR(INDEX([1]SuSa_2024!BY:BY,MATCH($B127,[1]SuSa_2024!$B:$B,0)),"0")</f>
        <v>819.84000000000015</v>
      </c>
      <c r="AV127" s="8">
        <f>IFERROR(INDEX([1]SuSa_2025!AR:AR,MATCH($B127,[1]SuSa_2025!$B:$B,0)),"0")</f>
        <v>0</v>
      </c>
      <c r="AW127" s="8">
        <f>IFERROR(INDEX([1]SuSa_2025!AS:AS,MATCH($B127,[1]SuSa_2025!$B:$B,0)),"0")</f>
        <v>0</v>
      </c>
      <c r="AX127" s="8">
        <f>IFERROR(INDEX([1]SuSa_2025!AT:AT,MATCH($B127,[1]SuSa_2025!$B:$B,0)),"0")</f>
        <v>0</v>
      </c>
      <c r="AY127" s="8">
        <f>IFERROR(INDEX([1]SuSa_2025!AU:AU,MATCH($B127,[1]SuSa_2025!$B:$B,0)),"0")</f>
        <v>0</v>
      </c>
      <c r="AZ127" s="8">
        <f>IFERROR(INDEX([1]SuSa_2025!AV:AV,MATCH($B127,[1]SuSa_2025!$B:$B,0)),"0")</f>
        <v>0</v>
      </c>
      <c r="BA127" s="8">
        <f>IFERROR(INDEX([1]SuSa_2025!AW:AW,MATCH($B127,[1]SuSa_2025!$B:$B,0)),"0")</f>
        <v>0</v>
      </c>
      <c r="BB127" s="8">
        <f>IFERROR(INDEX([1]SuSa_2025!AX:AX,MATCH($B127,[1]SuSa_2025!$B:$B,0)),"0")</f>
        <v>0</v>
      </c>
    </row>
    <row r="128" spans="1:54" outlineLevel="1" collapsed="1" x14ac:dyDescent="0.25">
      <c r="A128" s="5" t="s">
        <v>422</v>
      </c>
      <c r="B128" s="6" t="s">
        <v>423</v>
      </c>
      <c r="C128" t="s">
        <v>424</v>
      </c>
      <c r="F128" s="7">
        <f t="shared" si="5"/>
        <v>299734.62</v>
      </c>
      <c r="G128" s="7">
        <f t="shared" si="6"/>
        <v>495600.96</v>
      </c>
      <c r="H128" s="7">
        <f t="shared" si="7"/>
        <v>358979.32999999996</v>
      </c>
      <c r="I128" s="7">
        <f t="shared" si="8"/>
        <v>70061.53</v>
      </c>
      <c r="J128" s="8">
        <f t="shared" si="10"/>
        <v>250057.74</v>
      </c>
      <c r="K128" s="8">
        <f t="shared" si="9"/>
        <v>178983.12</v>
      </c>
      <c r="L128" s="8">
        <v>19860.53</v>
      </c>
      <c r="M128" s="8">
        <v>43026.73</v>
      </c>
      <c r="N128" s="8">
        <v>69400.570000000007</v>
      </c>
      <c r="O128" s="8">
        <v>91462.33</v>
      </c>
      <c r="P128" s="8">
        <v>115690</v>
      </c>
      <c r="Q128" s="8">
        <v>135142.60999999999</v>
      </c>
      <c r="R128" s="8">
        <v>159223.29</v>
      </c>
      <c r="S128" s="8">
        <v>178408.62</v>
      </c>
      <c r="T128" s="8">
        <v>211110.33</v>
      </c>
      <c r="U128" s="8">
        <v>239896.64</v>
      </c>
      <c r="V128" s="8">
        <v>272991.3</v>
      </c>
      <c r="W128" s="8">
        <v>299734.62</v>
      </c>
      <c r="X128" s="8">
        <v>39008.79</v>
      </c>
      <c r="Y128" s="8">
        <v>109666.61</v>
      </c>
      <c r="Z128" s="8">
        <v>153591.95000000001</v>
      </c>
      <c r="AA128" s="8">
        <v>177186.75</v>
      </c>
      <c r="AB128" s="8">
        <v>214243.01</v>
      </c>
      <c r="AC128" s="8">
        <v>254969.48</v>
      </c>
      <c r="AD128" s="8">
        <v>283627.62</v>
      </c>
      <c r="AE128" s="8">
        <v>319323.90000000002</v>
      </c>
      <c r="AF128" s="8">
        <v>366659.15</v>
      </c>
      <c r="AG128" s="8">
        <v>398931.27</v>
      </c>
      <c r="AH128" s="8">
        <v>450000.66</v>
      </c>
      <c r="AI128" s="8">
        <v>495600.96</v>
      </c>
      <c r="AJ128" s="8">
        <f>IFERROR(INDEX([1]SuSa_2024!BN:BN,MATCH($B128,[1]SuSa_2024!$B:$B,0)),"0")</f>
        <v>22935.78</v>
      </c>
      <c r="AK128" s="8">
        <f>IFERROR(INDEX([1]SuSa_2024!BO:BO,MATCH($B128,[1]SuSa_2024!$B:$B,0)),"0")</f>
        <v>58448.24</v>
      </c>
      <c r="AL128" s="8">
        <f>IFERROR(INDEX([1]SuSa_2024!BP:BP,MATCH($B128,[1]SuSa_2024!$B:$B,0)),"0")</f>
        <v>73224.929999999993</v>
      </c>
      <c r="AM128" s="8">
        <f>IFERROR(INDEX([1]SuSa_2024!BQ:BQ,MATCH($B128,[1]SuSa_2024!$B:$B,0)),"0")</f>
        <v>100715.85999999999</v>
      </c>
      <c r="AN128" s="8">
        <f>IFERROR(INDEX([1]SuSa_2024!BR:BR,MATCH($B128,[1]SuSa_2024!$B:$B,0)),"0")</f>
        <v>137448.29999999999</v>
      </c>
      <c r="AO128" s="8">
        <f>IFERROR(INDEX([1]SuSa_2024!BS:BS,MATCH($B128,[1]SuSa_2024!$B:$B,0)),"0")</f>
        <v>167536.24</v>
      </c>
      <c r="AP128" s="8">
        <f>IFERROR(INDEX([1]SuSa_2024!BT:BT,MATCH($B128,[1]SuSa_2024!$B:$B,0)),"0")</f>
        <v>178983.12</v>
      </c>
      <c r="AQ128" s="8">
        <f>IFERROR(INDEX([1]SuSa_2024!BU:BU,MATCH($B128,[1]SuSa_2024!$B:$B,0)),"0")</f>
        <v>197800.87</v>
      </c>
      <c r="AR128" s="8">
        <f>IFERROR(INDEX([1]SuSa_2024!BV:BV,MATCH($B128,[1]SuSa_2024!$B:$B,0)),"0")</f>
        <v>206065.78</v>
      </c>
      <c r="AS128" s="8">
        <f>IFERROR(INDEX([1]SuSa_2024!BW:BW,MATCH($B128,[1]SuSa_2024!$B:$B,0)),"0")</f>
        <v>215060.58</v>
      </c>
      <c r="AT128" s="8">
        <f>IFERROR(INDEX([1]SuSa_2024!BX:BX,MATCH($B128,[1]SuSa_2024!$B:$B,0)),"0")</f>
        <v>226474.66999999998</v>
      </c>
      <c r="AU128" s="8">
        <f>IFERROR(INDEX([1]SuSa_2024!BY:BY,MATCH($B128,[1]SuSa_2024!$B:$B,0)),"0")</f>
        <v>358979.32999999996</v>
      </c>
      <c r="AV128" s="8">
        <f>IFERROR(INDEX([1]SuSa_2025!AR:AR,MATCH($B128,[1]SuSa_2025!$B:$B,0)),"0")</f>
        <v>7994.23</v>
      </c>
      <c r="AW128" s="8">
        <f>IFERROR(INDEX([1]SuSa_2025!AS:AS,MATCH($B128,[1]SuSa_2025!$B:$B,0)),"0")</f>
        <v>17949.98</v>
      </c>
      <c r="AX128" s="8">
        <f>IFERROR(INDEX([1]SuSa_2025!AT:AT,MATCH($B128,[1]SuSa_2025!$B:$B,0)),"0")</f>
        <v>28348.18</v>
      </c>
      <c r="AY128" s="8">
        <f>IFERROR(INDEX([1]SuSa_2025!AU:AU,MATCH($B128,[1]SuSa_2025!$B:$B,0)),"0")</f>
        <v>45174.81</v>
      </c>
      <c r="AZ128" s="8">
        <f>IFERROR(INDEX([1]SuSa_2025!AV:AV,MATCH($B128,[1]SuSa_2025!$B:$B,0)),"0")</f>
        <v>52937.52</v>
      </c>
      <c r="BA128" s="8">
        <f>IFERROR(INDEX([1]SuSa_2025!AW:AW,MATCH($B128,[1]SuSa_2025!$B:$B,0)),"0")</f>
        <v>62669.85</v>
      </c>
      <c r="BB128" s="8">
        <f>IFERROR(INDEX([1]SuSa_2025!AX:AX,MATCH($B128,[1]SuSa_2025!$B:$B,0)),"0")</f>
        <v>70061.53</v>
      </c>
    </row>
    <row r="129" spans="1:54" outlineLevel="1" collapsed="1" x14ac:dyDescent="0.25">
      <c r="A129" s="5" t="s">
        <v>422</v>
      </c>
      <c r="B129" s="6" t="s">
        <v>425</v>
      </c>
      <c r="C129" t="s">
        <v>426</v>
      </c>
      <c r="F129" s="7">
        <f t="shared" si="5"/>
        <v>6589.04</v>
      </c>
      <c r="G129" s="7">
        <f t="shared" si="6"/>
        <v>30517.15</v>
      </c>
      <c r="H129" s="7">
        <f t="shared" si="7"/>
        <v>7671.3</v>
      </c>
      <c r="I129" s="7">
        <f t="shared" si="8"/>
        <v>2291.4300000000003</v>
      </c>
      <c r="J129" s="8">
        <f t="shared" si="10"/>
        <v>8118.7099999999991</v>
      </c>
      <c r="K129" s="8">
        <f t="shared" si="9"/>
        <v>1844.02</v>
      </c>
      <c r="N129" s="8">
        <v>150</v>
      </c>
      <c r="O129" s="8">
        <v>187.5</v>
      </c>
      <c r="P129" s="8">
        <v>187.5</v>
      </c>
      <c r="Q129" s="8">
        <v>187.5</v>
      </c>
      <c r="R129" s="8">
        <v>187.5</v>
      </c>
      <c r="S129" s="8">
        <v>187.5</v>
      </c>
      <c r="T129" s="8">
        <v>429.04</v>
      </c>
      <c r="U129" s="8">
        <v>429.04</v>
      </c>
      <c r="V129" s="8">
        <v>429.04</v>
      </c>
      <c r="W129" s="8">
        <v>6589.04</v>
      </c>
      <c r="Y129" s="8">
        <v>14628</v>
      </c>
      <c r="Z129" s="8">
        <v>22598.41</v>
      </c>
      <c r="AA129" s="8">
        <v>22598.41</v>
      </c>
      <c r="AB129" s="8">
        <v>27598.41</v>
      </c>
      <c r="AC129" s="8">
        <v>27598.41</v>
      </c>
      <c r="AD129" s="8">
        <v>27598.41</v>
      </c>
      <c r="AE129" s="8">
        <v>27736.23</v>
      </c>
      <c r="AF129" s="8">
        <v>27876.98</v>
      </c>
      <c r="AG129" s="8">
        <v>28875.38</v>
      </c>
      <c r="AH129" s="8">
        <v>29367.15</v>
      </c>
      <c r="AI129" s="8">
        <v>30517.15</v>
      </c>
      <c r="AJ129" s="8">
        <f>IFERROR(INDEX([1]SuSa_2024!BN:BN,MATCH($B129,[1]SuSa_2024!$B:$B,0)),"0")</f>
        <v>340.01</v>
      </c>
      <c r="AK129" s="8">
        <f>IFERROR(INDEX([1]SuSa_2024!BO:BO,MATCH($B129,[1]SuSa_2024!$B:$B,0)),"0")</f>
        <v>340.01</v>
      </c>
      <c r="AL129" s="8">
        <f>IFERROR(INDEX([1]SuSa_2024!BP:BP,MATCH($B129,[1]SuSa_2024!$B:$B,0)),"0")</f>
        <v>1639.49</v>
      </c>
      <c r="AM129" s="8">
        <f>IFERROR(INDEX([1]SuSa_2024!BQ:BQ,MATCH($B129,[1]SuSa_2024!$B:$B,0)),"0")</f>
        <v>1825.49</v>
      </c>
      <c r="AN129" s="8">
        <f>IFERROR(INDEX([1]SuSa_2024!BR:BR,MATCH($B129,[1]SuSa_2024!$B:$B,0)),"0")</f>
        <v>1825.49</v>
      </c>
      <c r="AO129" s="8">
        <f>IFERROR(INDEX([1]SuSa_2024!BS:BS,MATCH($B129,[1]SuSa_2024!$B:$B,0)),"0")</f>
        <v>1825.49</v>
      </c>
      <c r="AP129" s="8">
        <f>IFERROR(INDEX([1]SuSa_2024!BT:BT,MATCH($B129,[1]SuSa_2024!$B:$B,0)),"0")</f>
        <v>1844.02</v>
      </c>
      <c r="AQ129" s="8">
        <f>IFERROR(INDEX([1]SuSa_2024!BU:BU,MATCH($B129,[1]SuSa_2024!$B:$B,0)),"0")</f>
        <v>1844.02</v>
      </c>
      <c r="AR129" s="8">
        <f>IFERROR(INDEX([1]SuSa_2024!BV:BV,MATCH($B129,[1]SuSa_2024!$B:$B,0)),"0")</f>
        <v>2947.98</v>
      </c>
      <c r="AS129" s="8">
        <f>IFERROR(INDEX([1]SuSa_2024!BW:BW,MATCH($B129,[1]SuSa_2024!$B:$B,0)),"0")</f>
        <v>4051.94</v>
      </c>
      <c r="AT129" s="8">
        <f>IFERROR(INDEX([1]SuSa_2024!BX:BX,MATCH($B129,[1]SuSa_2024!$B:$B,0)),"0")</f>
        <v>4051.94</v>
      </c>
      <c r="AU129" s="8">
        <f>IFERROR(INDEX([1]SuSa_2024!BY:BY,MATCH($B129,[1]SuSa_2024!$B:$B,0)),"0")</f>
        <v>7671.3</v>
      </c>
      <c r="AV129" s="8">
        <f>IFERROR(INDEX([1]SuSa_2025!AR:AR,MATCH($B129,[1]SuSa_2025!$B:$B,0)),"0")</f>
        <v>0</v>
      </c>
      <c r="AW129" s="8">
        <f>IFERROR(INDEX([1]SuSa_2025!AS:AS,MATCH($B129,[1]SuSa_2025!$B:$B,0)),"0")</f>
        <v>541.64</v>
      </c>
      <c r="AX129" s="8">
        <f>IFERROR(INDEX([1]SuSa_2025!AT:AT,MATCH($B129,[1]SuSa_2025!$B:$B,0)),"0")</f>
        <v>1619.67</v>
      </c>
      <c r="AY129" s="8">
        <f>IFERROR(INDEX([1]SuSa_2025!AU:AU,MATCH($B129,[1]SuSa_2025!$B:$B,0)),"0")</f>
        <v>2291.4300000000003</v>
      </c>
      <c r="AZ129" s="8">
        <f>IFERROR(INDEX([1]SuSa_2025!AV:AV,MATCH($B129,[1]SuSa_2025!$B:$B,0)),"0")</f>
        <v>2291.4300000000003</v>
      </c>
      <c r="BA129" s="8">
        <f>IFERROR(INDEX([1]SuSa_2025!AW:AW,MATCH($B129,[1]SuSa_2025!$B:$B,0)),"0")</f>
        <v>2291.4300000000003</v>
      </c>
      <c r="BB129" s="8">
        <f>IFERROR(INDEX([1]SuSa_2025!AX:AX,MATCH($B129,[1]SuSa_2025!$B:$B,0)),"0")</f>
        <v>2291.4300000000003</v>
      </c>
    </row>
    <row r="130" spans="1:54" outlineLevel="1" collapsed="1" x14ac:dyDescent="0.25">
      <c r="A130" s="5" t="s">
        <v>427</v>
      </c>
      <c r="B130" s="6" t="s">
        <v>428</v>
      </c>
      <c r="C130" t="s">
        <v>429</v>
      </c>
      <c r="F130" s="7">
        <f t="shared" si="5"/>
        <v>131853.49</v>
      </c>
      <c r="G130" s="7">
        <f t="shared" si="6"/>
        <v>720783.53</v>
      </c>
      <c r="H130" s="7">
        <f t="shared" si="7"/>
        <v>53924.53</v>
      </c>
      <c r="I130" s="7">
        <f t="shared" si="8"/>
        <v>7597.1299999999992</v>
      </c>
      <c r="J130" s="8">
        <f t="shared" si="10"/>
        <v>15322.599999999991</v>
      </c>
      <c r="K130" s="8">
        <f t="shared" si="9"/>
        <v>46199.060000000005</v>
      </c>
      <c r="L130" s="8">
        <v>2563.77</v>
      </c>
      <c r="M130" s="8">
        <v>7282.81</v>
      </c>
      <c r="N130" s="8">
        <v>14618.93</v>
      </c>
      <c r="O130" s="8">
        <v>18206.38</v>
      </c>
      <c r="P130" s="8">
        <v>19387.66</v>
      </c>
      <c r="Q130" s="8">
        <v>20421.71</v>
      </c>
      <c r="R130" s="8">
        <v>26367.35</v>
      </c>
      <c r="S130" s="8">
        <v>34134.14</v>
      </c>
      <c r="T130" s="8">
        <v>43389.46</v>
      </c>
      <c r="U130" s="8">
        <v>46985.59</v>
      </c>
      <c r="V130" s="8">
        <v>88541.73</v>
      </c>
      <c r="W130" s="8">
        <v>131853.49</v>
      </c>
      <c r="X130" s="8">
        <v>47187.89</v>
      </c>
      <c r="Y130" s="8">
        <v>134738.51999999999</v>
      </c>
      <c r="Z130" s="8">
        <v>205379.78</v>
      </c>
      <c r="AA130" s="8">
        <v>282871.90999999997</v>
      </c>
      <c r="AB130" s="8">
        <v>367166.78</v>
      </c>
      <c r="AC130" s="8">
        <v>444802.63</v>
      </c>
      <c r="AD130" s="8">
        <v>476424.05</v>
      </c>
      <c r="AE130" s="8">
        <v>520011.14</v>
      </c>
      <c r="AF130" s="8">
        <v>569185.66</v>
      </c>
      <c r="AG130" s="8">
        <v>643919.49</v>
      </c>
      <c r="AH130" s="8">
        <v>671208.1</v>
      </c>
      <c r="AI130" s="8">
        <v>720783.53</v>
      </c>
      <c r="AJ130" s="8">
        <f>IFERROR(INDEX([1]SuSa_2024!BN:BN,MATCH($B130,[1]SuSa_2024!$B:$B,0)),"0")</f>
        <v>5093.3999999999996</v>
      </c>
      <c r="AK130" s="8">
        <f>IFERROR(INDEX([1]SuSa_2024!BO:BO,MATCH($B130,[1]SuSa_2024!$B:$B,0)),"0")</f>
        <v>5093.3999999999996</v>
      </c>
      <c r="AL130" s="8">
        <f>IFERROR(INDEX([1]SuSa_2024!BP:BP,MATCH($B130,[1]SuSa_2024!$B:$B,0)),"0")</f>
        <v>12930.67</v>
      </c>
      <c r="AM130" s="8">
        <f>IFERROR(INDEX([1]SuSa_2024!BQ:BQ,MATCH($B130,[1]SuSa_2024!$B:$B,0)),"0")</f>
        <v>31198.480000000003</v>
      </c>
      <c r="AN130" s="8">
        <f>IFERROR(INDEX([1]SuSa_2024!BR:BR,MATCH($B130,[1]SuSa_2024!$B:$B,0)),"0")</f>
        <v>39159.590000000004</v>
      </c>
      <c r="AO130" s="8">
        <f>IFERROR(INDEX([1]SuSa_2024!BS:BS,MATCH($B130,[1]SuSa_2024!$B:$B,0)),"0")</f>
        <v>39159.590000000004</v>
      </c>
      <c r="AP130" s="8">
        <f>IFERROR(INDEX([1]SuSa_2024!BT:BT,MATCH($B130,[1]SuSa_2024!$B:$B,0)),"0")</f>
        <v>46199.060000000005</v>
      </c>
      <c r="AQ130" s="8">
        <f>IFERROR(INDEX([1]SuSa_2024!BU:BU,MATCH($B130,[1]SuSa_2024!$B:$B,0)),"0")</f>
        <v>49527.560000000005</v>
      </c>
      <c r="AR130" s="8">
        <f>IFERROR(INDEX([1]SuSa_2024!BV:BV,MATCH($B130,[1]SuSa_2024!$B:$B,0)),"0")</f>
        <v>49527.560000000005</v>
      </c>
      <c r="AS130" s="8">
        <f>IFERROR(INDEX([1]SuSa_2024!BW:BW,MATCH($B130,[1]SuSa_2024!$B:$B,0)),"0")</f>
        <v>49720.94</v>
      </c>
      <c r="AT130" s="8">
        <f>IFERROR(INDEX([1]SuSa_2024!BX:BX,MATCH($B130,[1]SuSa_2024!$B:$B,0)),"0")</f>
        <v>49720.94</v>
      </c>
      <c r="AU130" s="8">
        <f>IFERROR(INDEX([1]SuSa_2024!BY:BY,MATCH($B130,[1]SuSa_2024!$B:$B,0)),"0")</f>
        <v>53924.53</v>
      </c>
      <c r="AV130" s="8">
        <f>IFERROR(INDEX([1]SuSa_2025!AR:AR,MATCH($B130,[1]SuSa_2025!$B:$B,0)),"0")</f>
        <v>0</v>
      </c>
      <c r="AW130" s="8">
        <f>IFERROR(INDEX([1]SuSa_2025!AS:AS,MATCH($B130,[1]SuSa_2025!$B:$B,0)),"0")</f>
        <v>196.47</v>
      </c>
      <c r="AX130" s="8">
        <f>IFERROR(INDEX([1]SuSa_2025!AT:AT,MATCH($B130,[1]SuSa_2025!$B:$B,0)),"0")</f>
        <v>196.47</v>
      </c>
      <c r="AY130" s="8">
        <f>IFERROR(INDEX([1]SuSa_2025!AU:AU,MATCH($B130,[1]SuSa_2025!$B:$B,0)),"0")</f>
        <v>196.47</v>
      </c>
      <c r="AZ130" s="8">
        <f>IFERROR(INDEX([1]SuSa_2025!AV:AV,MATCH($B130,[1]SuSa_2025!$B:$B,0)),"0")</f>
        <v>2285.91</v>
      </c>
      <c r="BA130" s="8">
        <f>IFERROR(INDEX([1]SuSa_2025!AW:AW,MATCH($B130,[1]SuSa_2025!$B:$B,0)),"0")</f>
        <v>5509.73</v>
      </c>
      <c r="BB130" s="8">
        <f>IFERROR(INDEX([1]SuSa_2025!AX:AX,MATCH($B130,[1]SuSa_2025!$B:$B,0)),"0")</f>
        <v>7597.1299999999992</v>
      </c>
    </row>
    <row r="131" spans="1:54" outlineLevel="1" collapsed="1" x14ac:dyDescent="0.25">
      <c r="A131" s="5" t="s">
        <v>430</v>
      </c>
      <c r="B131" s="6" t="s">
        <v>431</v>
      </c>
      <c r="C131" t="s">
        <v>432</v>
      </c>
      <c r="F131" s="7">
        <f t="shared" si="5"/>
        <v>0</v>
      </c>
      <c r="G131" s="7">
        <f t="shared" si="6"/>
        <v>2929.91</v>
      </c>
      <c r="H131" s="7">
        <f t="shared" si="7"/>
        <v>0</v>
      </c>
      <c r="I131" s="7" t="str">
        <f t="shared" si="8"/>
        <v>0</v>
      </c>
      <c r="J131" s="8">
        <f t="shared" si="10"/>
        <v>0</v>
      </c>
      <c r="K131" s="8">
        <f t="shared" si="9"/>
        <v>0</v>
      </c>
      <c r="Y131" s="8">
        <v>2897.2</v>
      </c>
      <c r="Z131" s="8">
        <v>2897.2</v>
      </c>
      <c r="AA131" s="8">
        <v>2897.2</v>
      </c>
      <c r="AB131" s="8">
        <v>2929.91</v>
      </c>
      <c r="AC131" s="8">
        <v>2929.91</v>
      </c>
      <c r="AD131" s="8">
        <v>2929.91</v>
      </c>
      <c r="AE131" s="8">
        <v>2929.91</v>
      </c>
      <c r="AF131" s="8">
        <v>2929.91</v>
      </c>
      <c r="AG131" s="8">
        <v>5509.91</v>
      </c>
      <c r="AH131" s="8">
        <v>5509.91</v>
      </c>
      <c r="AI131" s="8">
        <v>2929.91</v>
      </c>
      <c r="AJ131" s="8">
        <f>IFERROR(INDEX([1]SuSa_2024!BN:BN,MATCH($B131,[1]SuSa_2024!$B:$B,0)),"0")</f>
        <v>0</v>
      </c>
      <c r="AK131" s="8">
        <f>IFERROR(INDEX([1]SuSa_2024!BO:BO,MATCH($B131,[1]SuSa_2024!$B:$B,0)),"0")</f>
        <v>0</v>
      </c>
      <c r="AL131" s="8">
        <f>IFERROR(INDEX([1]SuSa_2024!BP:BP,MATCH($B131,[1]SuSa_2024!$B:$B,0)),"0")</f>
        <v>0</v>
      </c>
      <c r="AM131" s="8">
        <f>IFERROR(INDEX([1]SuSa_2024!BQ:BQ,MATCH($B131,[1]SuSa_2024!$B:$B,0)),"0")</f>
        <v>0</v>
      </c>
      <c r="AN131" s="8">
        <f>IFERROR(INDEX([1]SuSa_2024!BR:BR,MATCH($B131,[1]SuSa_2024!$B:$B,0)),"0")</f>
        <v>0</v>
      </c>
      <c r="AO131" s="8">
        <f>IFERROR(INDEX([1]SuSa_2024!BS:BS,MATCH($B131,[1]SuSa_2024!$B:$B,0)),"0")</f>
        <v>0</v>
      </c>
      <c r="AP131" s="8">
        <f>IFERROR(INDEX([1]SuSa_2024!BT:BT,MATCH($B131,[1]SuSa_2024!$B:$B,0)),"0")</f>
        <v>0</v>
      </c>
      <c r="AQ131" s="8">
        <f>IFERROR(INDEX([1]SuSa_2024!BU:BU,MATCH($B131,[1]SuSa_2024!$B:$B,0)),"0")</f>
        <v>0</v>
      </c>
      <c r="AR131" s="8">
        <f>IFERROR(INDEX([1]SuSa_2024!BV:BV,MATCH($B131,[1]SuSa_2024!$B:$B,0)),"0")</f>
        <v>0</v>
      </c>
      <c r="AS131" s="8">
        <f>IFERROR(INDEX([1]SuSa_2024!BW:BW,MATCH($B131,[1]SuSa_2024!$B:$B,0)),"0")</f>
        <v>0</v>
      </c>
      <c r="AT131" s="8">
        <f>IFERROR(INDEX([1]SuSa_2024!BX:BX,MATCH($B131,[1]SuSa_2024!$B:$B,0)),"0")</f>
        <v>0</v>
      </c>
      <c r="AU131" s="8">
        <f>IFERROR(INDEX([1]SuSa_2024!BY:BY,MATCH($B131,[1]SuSa_2024!$B:$B,0)),"0")</f>
        <v>0</v>
      </c>
      <c r="AV131" s="8" t="str">
        <f>IFERROR(INDEX([1]SuSa_2025!AR:AR,MATCH($B131,[1]SuSa_2025!$B:$B,0)),"0")</f>
        <v>0</v>
      </c>
      <c r="AW131" s="8" t="str">
        <f>IFERROR(INDEX([1]SuSa_2025!AS:AS,MATCH($B131,[1]SuSa_2025!$B:$B,0)),"0")</f>
        <v>0</v>
      </c>
      <c r="AX131" s="8" t="str">
        <f>IFERROR(INDEX([1]SuSa_2025!AT:AT,MATCH($B131,[1]SuSa_2025!$B:$B,0)),"0")</f>
        <v>0</v>
      </c>
      <c r="AY131" s="8" t="str">
        <f>IFERROR(INDEX([1]SuSa_2025!AU:AU,MATCH($B131,[1]SuSa_2025!$B:$B,0)),"0")</f>
        <v>0</v>
      </c>
      <c r="AZ131" s="8" t="str">
        <f>IFERROR(INDEX([1]SuSa_2025!AV:AV,MATCH($B131,[1]SuSa_2025!$B:$B,0)),"0")</f>
        <v>0</v>
      </c>
      <c r="BA131" s="8" t="str">
        <f>IFERROR(INDEX([1]SuSa_2025!AW:AW,MATCH($B131,[1]SuSa_2025!$B:$B,0)),"0")</f>
        <v>0</v>
      </c>
      <c r="BB131" s="8" t="str">
        <f>IFERROR(INDEX([1]SuSa_2025!AX:AX,MATCH($B131,[1]SuSa_2025!$B:$B,0)),"0")</f>
        <v>0</v>
      </c>
    </row>
    <row r="132" spans="1:54" outlineLevel="1" collapsed="1" x14ac:dyDescent="0.25">
      <c r="A132" s="5" t="s">
        <v>433</v>
      </c>
      <c r="B132" s="6" t="s">
        <v>434</v>
      </c>
      <c r="C132" t="s">
        <v>435</v>
      </c>
      <c r="F132" s="7">
        <f t="shared" si="5"/>
        <v>30666.5</v>
      </c>
      <c r="G132" s="7">
        <f t="shared" si="6"/>
        <v>137593.16</v>
      </c>
      <c r="H132" s="7">
        <f t="shared" si="7"/>
        <v>101390.94</v>
      </c>
      <c r="I132" s="7">
        <f t="shared" ref="I132:I195" si="11">BB132</f>
        <v>6050</v>
      </c>
      <c r="J132" s="8">
        <f t="shared" si="10"/>
        <v>-13247</v>
      </c>
      <c r="K132" s="8">
        <f t="shared" ref="K132:K195" si="12">AP132</f>
        <v>120687.94</v>
      </c>
      <c r="L132" s="8">
        <v>687.5</v>
      </c>
      <c r="M132" s="8">
        <v>6377.5</v>
      </c>
      <c r="N132" s="8">
        <v>10777.5</v>
      </c>
      <c r="O132" s="8">
        <v>10777.5</v>
      </c>
      <c r="P132" s="8">
        <v>11577.5</v>
      </c>
      <c r="Q132" s="8">
        <v>11877.5</v>
      </c>
      <c r="R132" s="8">
        <v>11909.5</v>
      </c>
      <c r="S132" s="8">
        <v>13109.5</v>
      </c>
      <c r="T132" s="8">
        <v>18106.5</v>
      </c>
      <c r="U132" s="8">
        <v>21336.5</v>
      </c>
      <c r="V132" s="8">
        <v>23691.5</v>
      </c>
      <c r="W132" s="8">
        <v>30666.5</v>
      </c>
      <c r="X132" s="8">
        <v>2500</v>
      </c>
      <c r="Y132" s="8">
        <v>5756.58</v>
      </c>
      <c r="Z132" s="8">
        <v>14340.58</v>
      </c>
      <c r="AA132" s="8">
        <v>14340.58</v>
      </c>
      <c r="AB132" s="8">
        <v>14340.58</v>
      </c>
      <c r="AC132" s="8">
        <v>14537.48</v>
      </c>
      <c r="AD132" s="8">
        <v>14537.48</v>
      </c>
      <c r="AE132" s="8">
        <v>26293.93</v>
      </c>
      <c r="AF132" s="8">
        <v>89337.31</v>
      </c>
      <c r="AG132" s="8">
        <v>90777.31</v>
      </c>
      <c r="AH132" s="8">
        <v>139957.17000000001</v>
      </c>
      <c r="AI132" s="8">
        <v>137593.16</v>
      </c>
      <c r="AJ132" s="8">
        <f>IFERROR(INDEX([1]SuSa_2024!BN:BN,MATCH($B132,[1]SuSa_2024!$B:$B,0)),"0")</f>
        <v>64736.99</v>
      </c>
      <c r="AK132" s="8">
        <f>IFERROR(INDEX([1]SuSa_2024!BO:BO,MATCH($B132,[1]SuSa_2024!$B:$B,0)),"0")</f>
        <v>80390.25</v>
      </c>
      <c r="AL132" s="8">
        <f>IFERROR(INDEX([1]SuSa_2024!BP:BP,MATCH($B132,[1]SuSa_2024!$B:$B,0)),"0")</f>
        <v>98629.85</v>
      </c>
      <c r="AM132" s="8">
        <f>IFERROR(INDEX([1]SuSa_2024!BQ:BQ,MATCH($B132,[1]SuSa_2024!$B:$B,0)),"0")</f>
        <v>119922.35</v>
      </c>
      <c r="AN132" s="8">
        <f>IFERROR(INDEX([1]SuSa_2024!BR:BR,MATCH($B132,[1]SuSa_2024!$B:$B,0)),"0")</f>
        <v>120874.35</v>
      </c>
      <c r="AO132" s="8">
        <f>IFERROR(INDEX([1]SuSa_2024!BS:BS,MATCH($B132,[1]SuSa_2024!$B:$B,0)),"0")</f>
        <v>120687.94</v>
      </c>
      <c r="AP132" s="8">
        <f>IFERROR(INDEX([1]SuSa_2024!BT:BT,MATCH($B132,[1]SuSa_2024!$B:$B,0)),"0")</f>
        <v>120687.94</v>
      </c>
      <c r="AQ132" s="8">
        <f>IFERROR(INDEX([1]SuSa_2024!BU:BU,MATCH($B132,[1]SuSa_2024!$B:$B,0)),"0")</f>
        <v>120687.94</v>
      </c>
      <c r="AR132" s="8">
        <f>IFERROR(INDEX([1]SuSa_2024!BV:BV,MATCH($B132,[1]SuSa_2024!$B:$B,0)),"0")</f>
        <v>120687.94</v>
      </c>
      <c r="AS132" s="8">
        <f>IFERROR(INDEX([1]SuSa_2024!BW:BW,MATCH($B132,[1]SuSa_2024!$B:$B,0)),"0")</f>
        <v>120687.94</v>
      </c>
      <c r="AT132" s="8">
        <f>IFERROR(INDEX([1]SuSa_2024!BX:BX,MATCH($B132,[1]SuSa_2024!$B:$B,0)),"0")</f>
        <v>120687.94</v>
      </c>
      <c r="AU132" s="8">
        <f>IFERROR(INDEX([1]SuSa_2024!BY:BY,MATCH($B132,[1]SuSa_2024!$B:$B,0)),"0")</f>
        <v>101390.94</v>
      </c>
      <c r="AV132" s="8">
        <f>IFERROR(INDEX([1]SuSa_2025!AR:AR,MATCH($B132,[1]SuSa_2025!$B:$B,0)),"0")</f>
        <v>0</v>
      </c>
      <c r="AW132" s="8">
        <f>IFERROR(INDEX([1]SuSa_2025!AS:AS,MATCH($B132,[1]SuSa_2025!$B:$B,0)),"0")</f>
        <v>0</v>
      </c>
      <c r="AX132" s="8">
        <f>IFERROR(INDEX([1]SuSa_2025!AT:AT,MATCH($B132,[1]SuSa_2025!$B:$B,0)),"0")</f>
        <v>0</v>
      </c>
      <c r="AY132" s="8">
        <f>IFERROR(INDEX([1]SuSa_2025!AU:AU,MATCH($B132,[1]SuSa_2025!$B:$B,0)),"0")</f>
        <v>2200</v>
      </c>
      <c r="AZ132" s="8">
        <f>IFERROR(INDEX([1]SuSa_2025!AV:AV,MATCH($B132,[1]SuSa_2025!$B:$B,0)),"0")</f>
        <v>2200</v>
      </c>
      <c r="BA132" s="8">
        <f>IFERROR(INDEX([1]SuSa_2025!AW:AW,MATCH($B132,[1]SuSa_2025!$B:$B,0)),"0")</f>
        <v>2200</v>
      </c>
      <c r="BB132" s="8">
        <f>IFERROR(INDEX([1]SuSa_2025!AX:AX,MATCH($B132,[1]SuSa_2025!$B:$B,0)),"0")</f>
        <v>6050</v>
      </c>
    </row>
    <row r="133" spans="1:54" outlineLevel="1" collapsed="1" x14ac:dyDescent="0.25">
      <c r="A133" s="5" t="s">
        <v>436</v>
      </c>
      <c r="B133" s="6" t="s">
        <v>437</v>
      </c>
      <c r="C133" t="s">
        <v>438</v>
      </c>
      <c r="F133" s="7">
        <f t="shared" ref="F133:F196" si="13">W133</f>
        <v>0</v>
      </c>
      <c r="G133" s="7">
        <f t="shared" ref="G133:G196" si="14">AI133</f>
        <v>0</v>
      </c>
      <c r="H133" s="7" t="str">
        <f t="shared" ref="H133:H196" si="15">AU133</f>
        <v>0</v>
      </c>
      <c r="I133" s="7">
        <f t="shared" si="11"/>
        <v>-0.02</v>
      </c>
      <c r="J133" s="8">
        <f t="shared" si="10"/>
        <v>-0.02</v>
      </c>
      <c r="K133" s="8" t="str">
        <f t="shared" si="12"/>
        <v>0</v>
      </c>
      <c r="AJ133" s="8" t="str">
        <f>IFERROR(INDEX([1]SuSa_2024!BN:BN,MATCH($B133,[1]SuSa_2024!$B:$B,0)),"0")</f>
        <v>0</v>
      </c>
      <c r="AK133" s="8" t="str">
        <f>IFERROR(INDEX([1]SuSa_2024!BO:BO,MATCH($B133,[1]SuSa_2024!$B:$B,0)),"0")</f>
        <v>0</v>
      </c>
      <c r="AL133" s="8" t="str">
        <f>IFERROR(INDEX([1]SuSa_2024!BP:BP,MATCH($B133,[1]SuSa_2024!$B:$B,0)),"0")</f>
        <v>0</v>
      </c>
      <c r="AM133" s="8" t="str">
        <f>IFERROR(INDEX([1]SuSa_2024!BQ:BQ,MATCH($B133,[1]SuSa_2024!$B:$B,0)),"0")</f>
        <v>0</v>
      </c>
      <c r="AN133" s="8" t="str">
        <f>IFERROR(INDEX([1]SuSa_2024!BR:BR,MATCH($B133,[1]SuSa_2024!$B:$B,0)),"0")</f>
        <v>0</v>
      </c>
      <c r="AO133" s="8" t="str">
        <f>IFERROR(INDEX([1]SuSa_2024!BS:BS,MATCH($B133,[1]SuSa_2024!$B:$B,0)),"0")</f>
        <v>0</v>
      </c>
      <c r="AP133" s="8" t="str">
        <f>IFERROR(INDEX([1]SuSa_2024!BT:BT,MATCH($B133,[1]SuSa_2024!$B:$B,0)),"0")</f>
        <v>0</v>
      </c>
      <c r="AQ133" s="8" t="str">
        <f>IFERROR(INDEX([1]SuSa_2024!BU:BU,MATCH($B133,[1]SuSa_2024!$B:$B,0)),"0")</f>
        <v>0</v>
      </c>
      <c r="AR133" s="8" t="str">
        <f>IFERROR(INDEX([1]SuSa_2024!BV:BV,MATCH($B133,[1]SuSa_2024!$B:$B,0)),"0")</f>
        <v>0</v>
      </c>
      <c r="AS133" s="8" t="str">
        <f>IFERROR(INDEX([1]SuSa_2024!BW:BW,MATCH($B133,[1]SuSa_2024!$B:$B,0)),"0")</f>
        <v>0</v>
      </c>
      <c r="AT133" s="8" t="str">
        <f>IFERROR(INDEX([1]SuSa_2024!BX:BX,MATCH($B133,[1]SuSa_2024!$B:$B,0)),"0")</f>
        <v>0</v>
      </c>
      <c r="AU133" s="8" t="str">
        <f>IFERROR(INDEX([1]SuSa_2024!BY:BY,MATCH($B133,[1]SuSa_2024!$B:$B,0)),"0")</f>
        <v>0</v>
      </c>
      <c r="AV133" s="8">
        <f>IFERROR(INDEX([1]SuSa_2025!AR:AR,MATCH($B133,[1]SuSa_2025!$B:$B,0)),"0")</f>
        <v>0</v>
      </c>
      <c r="AW133" s="8">
        <f>IFERROR(INDEX([1]SuSa_2025!AS:AS,MATCH($B133,[1]SuSa_2025!$B:$B,0)),"0")</f>
        <v>0</v>
      </c>
      <c r="AX133" s="8">
        <f>IFERROR(INDEX([1]SuSa_2025!AT:AT,MATCH($B133,[1]SuSa_2025!$B:$B,0)),"0")</f>
        <v>0</v>
      </c>
      <c r="AY133" s="8">
        <f>IFERROR(INDEX([1]SuSa_2025!AU:AU,MATCH($B133,[1]SuSa_2025!$B:$B,0)),"0")</f>
        <v>0</v>
      </c>
      <c r="AZ133" s="8">
        <f>IFERROR(INDEX([1]SuSa_2025!AV:AV,MATCH($B133,[1]SuSa_2025!$B:$B,0)),"0")</f>
        <v>-0.02</v>
      </c>
      <c r="BA133" s="8">
        <f>IFERROR(INDEX([1]SuSa_2025!AW:AW,MATCH($B133,[1]SuSa_2025!$B:$B,0)),"0")</f>
        <v>-0.02</v>
      </c>
      <c r="BB133" s="8">
        <f>IFERROR(INDEX([1]SuSa_2025!AX:AX,MATCH($B133,[1]SuSa_2025!$B:$B,0)),"0")</f>
        <v>-0.02</v>
      </c>
    </row>
    <row r="134" spans="1:54" outlineLevel="1" collapsed="1" x14ac:dyDescent="0.25">
      <c r="A134" s="5" t="s">
        <v>439</v>
      </c>
      <c r="B134" s="6" t="s">
        <v>440</v>
      </c>
      <c r="C134" t="s">
        <v>441</v>
      </c>
      <c r="F134" s="7">
        <f t="shared" si="13"/>
        <v>24500</v>
      </c>
      <c r="G134" s="7">
        <f t="shared" si="14"/>
        <v>0</v>
      </c>
      <c r="H134" s="7" t="str">
        <f t="shared" si="15"/>
        <v>0</v>
      </c>
      <c r="I134" s="7" t="str">
        <f t="shared" si="11"/>
        <v>0</v>
      </c>
      <c r="J134" s="8">
        <f t="shared" si="10"/>
        <v>0</v>
      </c>
      <c r="K134" s="8" t="str">
        <f t="shared" si="12"/>
        <v>0</v>
      </c>
      <c r="Q134" s="8">
        <v>10500</v>
      </c>
      <c r="R134" s="8">
        <v>10500</v>
      </c>
      <c r="S134" s="8">
        <v>14500</v>
      </c>
      <c r="T134" s="8">
        <v>14500</v>
      </c>
      <c r="U134" s="8">
        <v>14500</v>
      </c>
      <c r="V134" s="8">
        <v>14500</v>
      </c>
      <c r="W134" s="8">
        <v>24500</v>
      </c>
      <c r="AJ134" s="8" t="str">
        <f>IFERROR(INDEX([1]SuSa_2024!BN:BN,MATCH($B134,[1]SuSa_2024!$B:$B,0)),"0")</f>
        <v>0</v>
      </c>
      <c r="AK134" s="8" t="str">
        <f>IFERROR(INDEX([1]SuSa_2024!BO:BO,MATCH($B134,[1]SuSa_2024!$B:$B,0)),"0")</f>
        <v>0</v>
      </c>
      <c r="AL134" s="8" t="str">
        <f>IFERROR(INDEX([1]SuSa_2024!BP:BP,MATCH($B134,[1]SuSa_2024!$B:$B,0)),"0")</f>
        <v>0</v>
      </c>
      <c r="AM134" s="8" t="str">
        <f>IFERROR(INDEX([1]SuSa_2024!BQ:BQ,MATCH($B134,[1]SuSa_2024!$B:$B,0)),"0")</f>
        <v>0</v>
      </c>
      <c r="AN134" s="8" t="str">
        <f>IFERROR(INDEX([1]SuSa_2024!BR:BR,MATCH($B134,[1]SuSa_2024!$B:$B,0)),"0")</f>
        <v>0</v>
      </c>
      <c r="AO134" s="8" t="str">
        <f>IFERROR(INDEX([1]SuSa_2024!BS:BS,MATCH($B134,[1]SuSa_2024!$B:$B,0)),"0")</f>
        <v>0</v>
      </c>
      <c r="AP134" s="8" t="str">
        <f>IFERROR(INDEX([1]SuSa_2024!BT:BT,MATCH($B134,[1]SuSa_2024!$B:$B,0)),"0")</f>
        <v>0</v>
      </c>
      <c r="AQ134" s="8" t="str">
        <f>IFERROR(INDEX([1]SuSa_2024!BU:BU,MATCH($B134,[1]SuSa_2024!$B:$B,0)),"0")</f>
        <v>0</v>
      </c>
      <c r="AR134" s="8" t="str">
        <f>IFERROR(INDEX([1]SuSa_2024!BV:BV,MATCH($B134,[1]SuSa_2024!$B:$B,0)),"0")</f>
        <v>0</v>
      </c>
      <c r="AS134" s="8" t="str">
        <f>IFERROR(INDEX([1]SuSa_2024!BW:BW,MATCH($B134,[1]SuSa_2024!$B:$B,0)),"0")</f>
        <v>0</v>
      </c>
      <c r="AT134" s="8" t="str">
        <f>IFERROR(INDEX([1]SuSa_2024!BX:BX,MATCH($B134,[1]SuSa_2024!$B:$B,0)),"0")</f>
        <v>0</v>
      </c>
      <c r="AU134" s="8" t="str">
        <f>IFERROR(INDEX([1]SuSa_2024!BY:BY,MATCH($B134,[1]SuSa_2024!$B:$B,0)),"0")</f>
        <v>0</v>
      </c>
      <c r="AV134" s="8" t="str">
        <f>IFERROR(INDEX([1]SuSa_2025!AR:AR,MATCH($B134,[1]SuSa_2025!$B:$B,0)),"0")</f>
        <v>0</v>
      </c>
      <c r="AW134" s="8" t="str">
        <f>IFERROR(INDEX([1]SuSa_2025!AS:AS,MATCH($B134,[1]SuSa_2025!$B:$B,0)),"0")</f>
        <v>0</v>
      </c>
      <c r="AX134" s="8" t="str">
        <f>IFERROR(INDEX([1]SuSa_2025!AT:AT,MATCH($B134,[1]SuSa_2025!$B:$B,0)),"0")</f>
        <v>0</v>
      </c>
      <c r="AY134" s="8" t="str">
        <f>IFERROR(INDEX([1]SuSa_2025!AU:AU,MATCH($B134,[1]SuSa_2025!$B:$B,0)),"0")</f>
        <v>0</v>
      </c>
      <c r="AZ134" s="8" t="str">
        <f>IFERROR(INDEX([1]SuSa_2025!AV:AV,MATCH($B134,[1]SuSa_2025!$B:$B,0)),"0")</f>
        <v>0</v>
      </c>
      <c r="BA134" s="8" t="str">
        <f>IFERROR(INDEX([1]SuSa_2025!AW:AW,MATCH($B134,[1]SuSa_2025!$B:$B,0)),"0")</f>
        <v>0</v>
      </c>
      <c r="BB134" s="8" t="str">
        <f>IFERROR(INDEX([1]SuSa_2025!AX:AX,MATCH($B134,[1]SuSa_2025!$B:$B,0)),"0")</f>
        <v>0</v>
      </c>
    </row>
    <row r="135" spans="1:54" outlineLevel="1" collapsed="1" x14ac:dyDescent="0.25">
      <c r="A135" s="5" t="s">
        <v>442</v>
      </c>
      <c r="B135" s="6" t="s">
        <v>443</v>
      </c>
      <c r="C135" t="s">
        <v>444</v>
      </c>
      <c r="F135" s="7">
        <f t="shared" si="13"/>
        <v>0</v>
      </c>
      <c r="G135" s="7">
        <f t="shared" si="14"/>
        <v>9127.81</v>
      </c>
      <c r="H135" s="7">
        <f t="shared" si="15"/>
        <v>0</v>
      </c>
      <c r="I135" s="7" t="str">
        <f t="shared" si="11"/>
        <v>0</v>
      </c>
      <c r="J135" s="8">
        <f t="shared" si="10"/>
        <v>0</v>
      </c>
      <c r="K135" s="8">
        <f t="shared" si="12"/>
        <v>0</v>
      </c>
      <c r="AB135" s="8">
        <v>1375.45</v>
      </c>
      <c r="AC135" s="8">
        <v>1375.45</v>
      </c>
      <c r="AD135" s="8">
        <v>1375.45</v>
      </c>
      <c r="AE135" s="8">
        <v>1375.45</v>
      </c>
      <c r="AF135" s="8">
        <v>1375.45</v>
      </c>
      <c r="AG135" s="8">
        <v>1375.45</v>
      </c>
      <c r="AH135" s="8">
        <v>9127.81</v>
      </c>
      <c r="AI135" s="8">
        <v>9127.81</v>
      </c>
      <c r="AJ135" s="8">
        <f>IFERROR(INDEX([1]SuSa_2024!BN:BN,MATCH($B135,[1]SuSa_2024!$B:$B,0)),"0")</f>
        <v>0</v>
      </c>
      <c r="AK135" s="8">
        <f>IFERROR(INDEX([1]SuSa_2024!BO:BO,MATCH($B135,[1]SuSa_2024!$B:$B,0)),"0")</f>
        <v>0</v>
      </c>
      <c r="AL135" s="8">
        <f>IFERROR(INDEX([1]SuSa_2024!BP:BP,MATCH($B135,[1]SuSa_2024!$B:$B,0)),"0")</f>
        <v>0</v>
      </c>
      <c r="AM135" s="8">
        <f>IFERROR(INDEX([1]SuSa_2024!BQ:BQ,MATCH($B135,[1]SuSa_2024!$B:$B,0)),"0")</f>
        <v>0</v>
      </c>
      <c r="AN135" s="8">
        <f>IFERROR(INDEX([1]SuSa_2024!BR:BR,MATCH($B135,[1]SuSa_2024!$B:$B,0)),"0")</f>
        <v>0</v>
      </c>
      <c r="AO135" s="8">
        <f>IFERROR(INDEX([1]SuSa_2024!BS:BS,MATCH($B135,[1]SuSa_2024!$B:$B,0)),"0")</f>
        <v>0</v>
      </c>
      <c r="AP135" s="8">
        <f>IFERROR(INDEX([1]SuSa_2024!BT:BT,MATCH($B135,[1]SuSa_2024!$B:$B,0)),"0")</f>
        <v>0</v>
      </c>
      <c r="AQ135" s="8">
        <f>IFERROR(INDEX([1]SuSa_2024!BU:BU,MATCH($B135,[1]SuSa_2024!$B:$B,0)),"0")</f>
        <v>0</v>
      </c>
      <c r="AR135" s="8">
        <f>IFERROR(INDEX([1]SuSa_2024!BV:BV,MATCH($B135,[1]SuSa_2024!$B:$B,0)),"0")</f>
        <v>0</v>
      </c>
      <c r="AS135" s="8">
        <f>IFERROR(INDEX([1]SuSa_2024!BW:BW,MATCH($B135,[1]SuSa_2024!$B:$B,0)),"0")</f>
        <v>0</v>
      </c>
      <c r="AT135" s="8">
        <f>IFERROR(INDEX([1]SuSa_2024!BX:BX,MATCH($B135,[1]SuSa_2024!$B:$B,0)),"0")</f>
        <v>0</v>
      </c>
      <c r="AU135" s="8">
        <f>IFERROR(INDEX([1]SuSa_2024!BY:BY,MATCH($B135,[1]SuSa_2024!$B:$B,0)),"0")</f>
        <v>0</v>
      </c>
      <c r="AV135" s="8" t="str">
        <f>IFERROR(INDEX([1]SuSa_2025!AR:AR,MATCH($B135,[1]SuSa_2025!$B:$B,0)),"0")</f>
        <v>0</v>
      </c>
      <c r="AW135" s="8" t="str">
        <f>IFERROR(INDEX([1]SuSa_2025!AS:AS,MATCH($B135,[1]SuSa_2025!$B:$B,0)),"0")</f>
        <v>0</v>
      </c>
      <c r="AX135" s="8" t="str">
        <f>IFERROR(INDEX([1]SuSa_2025!AT:AT,MATCH($B135,[1]SuSa_2025!$B:$B,0)),"0")</f>
        <v>0</v>
      </c>
      <c r="AY135" s="8" t="str">
        <f>IFERROR(INDEX([1]SuSa_2025!AU:AU,MATCH($B135,[1]SuSa_2025!$B:$B,0)),"0")</f>
        <v>0</v>
      </c>
      <c r="AZ135" s="8" t="str">
        <f>IFERROR(INDEX([1]SuSa_2025!AV:AV,MATCH($B135,[1]SuSa_2025!$B:$B,0)),"0")</f>
        <v>0</v>
      </c>
      <c r="BA135" s="8" t="str">
        <f>IFERROR(INDEX([1]SuSa_2025!AW:AW,MATCH($B135,[1]SuSa_2025!$B:$B,0)),"0")</f>
        <v>0</v>
      </c>
      <c r="BB135" s="8" t="str">
        <f>IFERROR(INDEX([1]SuSa_2025!AX:AX,MATCH($B135,[1]SuSa_2025!$B:$B,0)),"0")</f>
        <v>0</v>
      </c>
    </row>
    <row r="136" spans="1:54" outlineLevel="1" collapsed="1" x14ac:dyDescent="0.25">
      <c r="A136" s="5" t="s">
        <v>445</v>
      </c>
      <c r="B136" s="6" t="s">
        <v>446</v>
      </c>
      <c r="C136" t="s">
        <v>447</v>
      </c>
      <c r="F136" s="7">
        <f t="shared" si="13"/>
        <v>0</v>
      </c>
      <c r="G136" s="7">
        <f t="shared" si="14"/>
        <v>-45.92</v>
      </c>
      <c r="H136" s="7">
        <f t="shared" si="15"/>
        <v>0</v>
      </c>
      <c r="I136" s="7" t="str">
        <f t="shared" si="11"/>
        <v>0</v>
      </c>
      <c r="J136" s="8">
        <f t="shared" si="10"/>
        <v>0</v>
      </c>
      <c r="K136" s="8">
        <f t="shared" si="12"/>
        <v>0</v>
      </c>
      <c r="Z136" s="8">
        <v>-45.34</v>
      </c>
      <c r="AA136" s="8">
        <v>-45.34</v>
      </c>
      <c r="AB136" s="8">
        <v>-45.34</v>
      </c>
      <c r="AC136" s="8">
        <v>-45.34</v>
      </c>
      <c r="AD136" s="8">
        <v>-45.34</v>
      </c>
      <c r="AE136" s="8">
        <v>-45.34</v>
      </c>
      <c r="AF136" s="8">
        <v>-45.34</v>
      </c>
      <c r="AG136" s="8">
        <v>-45.34</v>
      </c>
      <c r="AH136" s="8">
        <v>-45.34</v>
      </c>
      <c r="AI136" s="8">
        <v>-45.92</v>
      </c>
      <c r="AJ136" s="8">
        <f>IFERROR(INDEX([1]SuSa_2024!BN:BN,MATCH($B136,[1]SuSa_2024!$B:$B,0)),"0")</f>
        <v>0</v>
      </c>
      <c r="AK136" s="8">
        <f>IFERROR(INDEX([1]SuSa_2024!BO:BO,MATCH($B136,[1]SuSa_2024!$B:$B,0)),"0")</f>
        <v>0</v>
      </c>
      <c r="AL136" s="8">
        <f>IFERROR(INDEX([1]SuSa_2024!BP:BP,MATCH($B136,[1]SuSa_2024!$B:$B,0)),"0")</f>
        <v>0</v>
      </c>
      <c r="AM136" s="8">
        <f>IFERROR(INDEX([1]SuSa_2024!BQ:BQ,MATCH($B136,[1]SuSa_2024!$B:$B,0)),"0")</f>
        <v>0</v>
      </c>
      <c r="AN136" s="8">
        <f>IFERROR(INDEX([1]SuSa_2024!BR:BR,MATCH($B136,[1]SuSa_2024!$B:$B,0)),"0")</f>
        <v>0</v>
      </c>
      <c r="AO136" s="8">
        <f>IFERROR(INDEX([1]SuSa_2024!BS:BS,MATCH($B136,[1]SuSa_2024!$B:$B,0)),"0")</f>
        <v>0</v>
      </c>
      <c r="AP136" s="8">
        <f>IFERROR(INDEX([1]SuSa_2024!BT:BT,MATCH($B136,[1]SuSa_2024!$B:$B,0)),"0")</f>
        <v>0</v>
      </c>
      <c r="AQ136" s="8">
        <f>IFERROR(INDEX([1]SuSa_2024!BU:BU,MATCH($B136,[1]SuSa_2024!$B:$B,0)),"0")</f>
        <v>0</v>
      </c>
      <c r="AR136" s="8">
        <f>IFERROR(INDEX([1]SuSa_2024!BV:BV,MATCH($B136,[1]SuSa_2024!$B:$B,0)),"0")</f>
        <v>0</v>
      </c>
      <c r="AS136" s="8">
        <f>IFERROR(INDEX([1]SuSa_2024!BW:BW,MATCH($B136,[1]SuSa_2024!$B:$B,0)),"0")</f>
        <v>0</v>
      </c>
      <c r="AT136" s="8">
        <f>IFERROR(INDEX([1]SuSa_2024!BX:BX,MATCH($B136,[1]SuSa_2024!$B:$B,0)),"0")</f>
        <v>0</v>
      </c>
      <c r="AU136" s="8">
        <f>IFERROR(INDEX([1]SuSa_2024!BY:BY,MATCH($B136,[1]SuSa_2024!$B:$B,0)),"0")</f>
        <v>0</v>
      </c>
      <c r="AV136" s="8" t="str">
        <f>IFERROR(INDEX([1]SuSa_2025!AR:AR,MATCH($B136,[1]SuSa_2025!$B:$B,0)),"0")</f>
        <v>0</v>
      </c>
      <c r="AW136" s="8" t="str">
        <f>IFERROR(INDEX([1]SuSa_2025!AS:AS,MATCH($B136,[1]SuSa_2025!$B:$B,0)),"0")</f>
        <v>0</v>
      </c>
      <c r="AX136" s="8" t="str">
        <f>IFERROR(INDEX([1]SuSa_2025!AT:AT,MATCH($B136,[1]SuSa_2025!$B:$B,0)),"0")</f>
        <v>0</v>
      </c>
      <c r="AY136" s="8" t="str">
        <f>IFERROR(INDEX([1]SuSa_2025!AU:AU,MATCH($B136,[1]SuSa_2025!$B:$B,0)),"0")</f>
        <v>0</v>
      </c>
      <c r="AZ136" s="8" t="str">
        <f>IFERROR(INDEX([1]SuSa_2025!AV:AV,MATCH($B136,[1]SuSa_2025!$B:$B,0)),"0")</f>
        <v>0</v>
      </c>
      <c r="BA136" s="8" t="str">
        <f>IFERROR(INDEX([1]SuSa_2025!AW:AW,MATCH($B136,[1]SuSa_2025!$B:$B,0)),"0")</f>
        <v>0</v>
      </c>
      <c r="BB136" s="8" t="str">
        <f>IFERROR(INDEX([1]SuSa_2025!AX:AX,MATCH($B136,[1]SuSa_2025!$B:$B,0)),"0")</f>
        <v>0</v>
      </c>
    </row>
    <row r="137" spans="1:54" outlineLevel="1" collapsed="1" x14ac:dyDescent="0.25">
      <c r="A137" s="5" t="s">
        <v>448</v>
      </c>
      <c r="B137" s="6" t="s">
        <v>449</v>
      </c>
      <c r="C137" t="s">
        <v>450</v>
      </c>
      <c r="F137" s="7">
        <f t="shared" si="13"/>
        <v>0</v>
      </c>
      <c r="G137" s="7">
        <f t="shared" si="14"/>
        <v>10.33</v>
      </c>
      <c r="H137" s="7">
        <f t="shared" si="15"/>
        <v>0</v>
      </c>
      <c r="I137" s="7" t="str">
        <f t="shared" si="11"/>
        <v>0</v>
      </c>
      <c r="J137" s="8">
        <f t="shared" si="10"/>
        <v>0</v>
      </c>
      <c r="K137" s="8">
        <f t="shared" si="12"/>
        <v>0</v>
      </c>
      <c r="AH137" s="8">
        <v>10.33</v>
      </c>
      <c r="AI137" s="8">
        <v>10.33</v>
      </c>
      <c r="AJ137" s="8">
        <f>IFERROR(INDEX([1]SuSa_2024!BN:BN,MATCH($B137,[1]SuSa_2024!$B:$B,0)),"0")</f>
        <v>0</v>
      </c>
      <c r="AK137" s="8">
        <f>IFERROR(INDEX([1]SuSa_2024!BO:BO,MATCH($B137,[1]SuSa_2024!$B:$B,0)),"0")</f>
        <v>0</v>
      </c>
      <c r="AL137" s="8">
        <f>IFERROR(INDEX([1]SuSa_2024!BP:BP,MATCH($B137,[1]SuSa_2024!$B:$B,0)),"0")</f>
        <v>0</v>
      </c>
      <c r="AM137" s="8">
        <f>IFERROR(INDEX([1]SuSa_2024!BQ:BQ,MATCH($B137,[1]SuSa_2024!$B:$B,0)),"0")</f>
        <v>0</v>
      </c>
      <c r="AN137" s="8">
        <f>IFERROR(INDEX([1]SuSa_2024!BR:BR,MATCH($B137,[1]SuSa_2024!$B:$B,0)),"0")</f>
        <v>0</v>
      </c>
      <c r="AO137" s="8">
        <f>IFERROR(INDEX([1]SuSa_2024!BS:BS,MATCH($B137,[1]SuSa_2024!$B:$B,0)),"0")</f>
        <v>0</v>
      </c>
      <c r="AP137" s="8">
        <f>IFERROR(INDEX([1]SuSa_2024!BT:BT,MATCH($B137,[1]SuSa_2024!$B:$B,0)),"0")</f>
        <v>0</v>
      </c>
      <c r="AQ137" s="8">
        <f>IFERROR(INDEX([1]SuSa_2024!BU:BU,MATCH($B137,[1]SuSa_2024!$B:$B,0)),"0")</f>
        <v>0</v>
      </c>
      <c r="AR137" s="8">
        <f>IFERROR(INDEX([1]SuSa_2024!BV:BV,MATCH($B137,[1]SuSa_2024!$B:$B,0)),"0")</f>
        <v>0</v>
      </c>
      <c r="AS137" s="8">
        <f>IFERROR(INDEX([1]SuSa_2024!BW:BW,MATCH($B137,[1]SuSa_2024!$B:$B,0)),"0")</f>
        <v>0</v>
      </c>
      <c r="AT137" s="8">
        <f>IFERROR(INDEX([1]SuSa_2024!BX:BX,MATCH($B137,[1]SuSa_2024!$B:$B,0)),"0")</f>
        <v>0</v>
      </c>
      <c r="AU137" s="8">
        <f>IFERROR(INDEX([1]SuSa_2024!BY:BY,MATCH($B137,[1]SuSa_2024!$B:$B,0)),"0")</f>
        <v>0</v>
      </c>
      <c r="AV137" s="8" t="str">
        <f>IFERROR(INDEX([1]SuSa_2025!AR:AR,MATCH($B137,[1]SuSa_2025!$B:$B,0)),"0")</f>
        <v>0</v>
      </c>
      <c r="AW137" s="8" t="str">
        <f>IFERROR(INDEX([1]SuSa_2025!AS:AS,MATCH($B137,[1]SuSa_2025!$B:$B,0)),"0")</f>
        <v>0</v>
      </c>
      <c r="AX137" s="8" t="str">
        <f>IFERROR(INDEX([1]SuSa_2025!AT:AT,MATCH($B137,[1]SuSa_2025!$B:$B,0)),"0")</f>
        <v>0</v>
      </c>
      <c r="AY137" s="8" t="str">
        <f>IFERROR(INDEX([1]SuSa_2025!AU:AU,MATCH($B137,[1]SuSa_2025!$B:$B,0)),"0")</f>
        <v>0</v>
      </c>
      <c r="AZ137" s="8" t="str">
        <f>IFERROR(INDEX([1]SuSa_2025!AV:AV,MATCH($B137,[1]SuSa_2025!$B:$B,0)),"0")</f>
        <v>0</v>
      </c>
      <c r="BA137" s="8" t="str">
        <f>IFERROR(INDEX([1]SuSa_2025!AW:AW,MATCH($B137,[1]SuSa_2025!$B:$B,0)),"0")</f>
        <v>0</v>
      </c>
      <c r="BB137" s="8" t="str">
        <f>IFERROR(INDEX([1]SuSa_2025!AX:AX,MATCH($B137,[1]SuSa_2025!$B:$B,0)),"0")</f>
        <v>0</v>
      </c>
    </row>
    <row r="138" spans="1:54" outlineLevel="1" collapsed="1" x14ac:dyDescent="0.25">
      <c r="A138" s="5" t="s">
        <v>451</v>
      </c>
      <c r="B138" s="6" t="s">
        <v>452</v>
      </c>
      <c r="C138" t="s">
        <v>453</v>
      </c>
      <c r="F138" s="7">
        <f t="shared" si="13"/>
        <v>0</v>
      </c>
      <c r="G138" s="7">
        <f t="shared" si="14"/>
        <v>-485.1</v>
      </c>
      <c r="H138" s="7">
        <f t="shared" si="15"/>
        <v>64.679999999999993</v>
      </c>
      <c r="I138" s="7">
        <f t="shared" si="11"/>
        <v>0</v>
      </c>
      <c r="J138" s="8">
        <f t="shared" si="10"/>
        <v>0</v>
      </c>
      <c r="K138" s="8">
        <f t="shared" si="12"/>
        <v>64.679999999999993</v>
      </c>
      <c r="AI138" s="8">
        <v>-485.1</v>
      </c>
      <c r="AJ138" s="8">
        <f>IFERROR(INDEX([1]SuSa_2024!BN:BN,MATCH($B138,[1]SuSa_2024!$B:$B,0)),"0")</f>
        <v>986.37</v>
      </c>
      <c r="AK138" s="8">
        <f>IFERROR(INDEX([1]SuSa_2024!BO:BO,MATCH($B138,[1]SuSa_2024!$B:$B,0)),"0")</f>
        <v>48.509999999999991</v>
      </c>
      <c r="AL138" s="8">
        <f>IFERROR(INDEX([1]SuSa_2024!BP:BP,MATCH($B138,[1]SuSa_2024!$B:$B,0)),"0")</f>
        <v>64.679999999999993</v>
      </c>
      <c r="AM138" s="8">
        <f>IFERROR(INDEX([1]SuSa_2024!BQ:BQ,MATCH($B138,[1]SuSa_2024!$B:$B,0)),"0")</f>
        <v>64.679999999999993</v>
      </c>
      <c r="AN138" s="8">
        <f>IFERROR(INDEX([1]SuSa_2024!BR:BR,MATCH($B138,[1]SuSa_2024!$B:$B,0)),"0")</f>
        <v>64.679999999999993</v>
      </c>
      <c r="AO138" s="8">
        <f>IFERROR(INDEX([1]SuSa_2024!BS:BS,MATCH($B138,[1]SuSa_2024!$B:$B,0)),"0")</f>
        <v>64.679999999999993</v>
      </c>
      <c r="AP138" s="8">
        <f>IFERROR(INDEX([1]SuSa_2024!BT:BT,MATCH($B138,[1]SuSa_2024!$B:$B,0)),"0")</f>
        <v>64.679999999999993</v>
      </c>
      <c r="AQ138" s="8">
        <f>IFERROR(INDEX([1]SuSa_2024!BU:BU,MATCH($B138,[1]SuSa_2024!$B:$B,0)),"0")</f>
        <v>64.679999999999993</v>
      </c>
      <c r="AR138" s="8">
        <f>IFERROR(INDEX([1]SuSa_2024!BV:BV,MATCH($B138,[1]SuSa_2024!$B:$B,0)),"0")</f>
        <v>64.679999999999993</v>
      </c>
      <c r="AS138" s="8">
        <f>IFERROR(INDEX([1]SuSa_2024!BW:BW,MATCH($B138,[1]SuSa_2024!$B:$B,0)),"0")</f>
        <v>64.679999999999993</v>
      </c>
      <c r="AT138" s="8">
        <f>IFERROR(INDEX([1]SuSa_2024!BX:BX,MATCH($B138,[1]SuSa_2024!$B:$B,0)),"0")</f>
        <v>64.679999999999993</v>
      </c>
      <c r="AU138" s="8">
        <f>IFERROR(INDEX([1]SuSa_2024!BY:BY,MATCH($B138,[1]SuSa_2024!$B:$B,0)),"0")</f>
        <v>64.679999999999993</v>
      </c>
      <c r="AV138" s="8">
        <f>IFERROR(INDEX([1]SuSa_2025!AR:AR,MATCH($B138,[1]SuSa_2025!$B:$B,0)),"0")</f>
        <v>0</v>
      </c>
      <c r="AW138" s="8">
        <f>IFERROR(INDEX([1]SuSa_2025!AS:AS,MATCH($B138,[1]SuSa_2025!$B:$B,0)),"0")</f>
        <v>0</v>
      </c>
      <c r="AX138" s="8">
        <f>IFERROR(INDEX([1]SuSa_2025!AT:AT,MATCH($B138,[1]SuSa_2025!$B:$B,0)),"0")</f>
        <v>0</v>
      </c>
      <c r="AY138" s="8">
        <f>IFERROR(INDEX([1]SuSa_2025!AU:AU,MATCH($B138,[1]SuSa_2025!$B:$B,0)),"0")</f>
        <v>0</v>
      </c>
      <c r="AZ138" s="8">
        <f>IFERROR(INDEX([1]SuSa_2025!AV:AV,MATCH($B138,[1]SuSa_2025!$B:$B,0)),"0")</f>
        <v>0</v>
      </c>
      <c r="BA138" s="8">
        <f>IFERROR(INDEX([1]SuSa_2025!AW:AW,MATCH($B138,[1]SuSa_2025!$B:$B,0)),"0")</f>
        <v>0</v>
      </c>
      <c r="BB138" s="8">
        <f>IFERROR(INDEX([1]SuSa_2025!AX:AX,MATCH($B138,[1]SuSa_2025!$B:$B,0)),"0")</f>
        <v>0</v>
      </c>
    </row>
    <row r="139" spans="1:54" outlineLevel="1" collapsed="1" x14ac:dyDescent="0.25">
      <c r="A139" s="5" t="s">
        <v>454</v>
      </c>
      <c r="B139" s="6" t="s">
        <v>455</v>
      </c>
      <c r="C139" t="s">
        <v>456</v>
      </c>
      <c r="F139" s="7">
        <f t="shared" si="13"/>
        <v>0</v>
      </c>
      <c r="G139" s="7">
        <f t="shared" si="14"/>
        <v>0</v>
      </c>
      <c r="H139" s="7">
        <f t="shared" si="15"/>
        <v>0</v>
      </c>
      <c r="I139" s="7" t="str">
        <f t="shared" si="11"/>
        <v>0</v>
      </c>
      <c r="J139" s="8">
        <f t="shared" si="10"/>
        <v>0</v>
      </c>
      <c r="K139" s="8">
        <f t="shared" si="12"/>
        <v>0</v>
      </c>
      <c r="Z139" s="8">
        <v>-65206.74</v>
      </c>
      <c r="AA139" s="8">
        <v>-65601.740000000005</v>
      </c>
      <c r="AB139" s="8">
        <v>-65601.740000000005</v>
      </c>
      <c r="AC139" s="8">
        <v>-66026.740000000005</v>
      </c>
      <c r="AD139" s="8">
        <v>-66026.740000000005</v>
      </c>
      <c r="AE139" s="8">
        <v>-66026.740000000005</v>
      </c>
      <c r="AF139" s="8">
        <v>-66026.740000000005</v>
      </c>
      <c r="AG139" s="8">
        <v>-66026.740000000005</v>
      </c>
      <c r="AH139" s="8">
        <v>-73185.3</v>
      </c>
      <c r="AI139" s="8">
        <v>0</v>
      </c>
      <c r="AJ139" s="8">
        <f>IFERROR(INDEX([1]SuSa_2024!BN:BN,MATCH($B139,[1]SuSa_2024!$B:$B,0)),"0")</f>
        <v>0</v>
      </c>
      <c r="AK139" s="8">
        <f>IFERROR(INDEX([1]SuSa_2024!BO:BO,MATCH($B139,[1]SuSa_2024!$B:$B,0)),"0")</f>
        <v>0</v>
      </c>
      <c r="AL139" s="8">
        <f>IFERROR(INDEX([1]SuSa_2024!BP:BP,MATCH($B139,[1]SuSa_2024!$B:$B,0)),"0")</f>
        <v>0</v>
      </c>
      <c r="AM139" s="8">
        <f>IFERROR(INDEX([1]SuSa_2024!BQ:BQ,MATCH($B139,[1]SuSa_2024!$B:$B,0)),"0")</f>
        <v>0</v>
      </c>
      <c r="AN139" s="8">
        <f>IFERROR(INDEX([1]SuSa_2024!BR:BR,MATCH($B139,[1]SuSa_2024!$B:$B,0)),"0")</f>
        <v>0</v>
      </c>
      <c r="AO139" s="8">
        <f>IFERROR(INDEX([1]SuSa_2024!BS:BS,MATCH($B139,[1]SuSa_2024!$B:$B,0)),"0")</f>
        <v>0</v>
      </c>
      <c r="AP139" s="8">
        <f>IFERROR(INDEX([1]SuSa_2024!BT:BT,MATCH($B139,[1]SuSa_2024!$B:$B,0)),"0")</f>
        <v>0</v>
      </c>
      <c r="AQ139" s="8">
        <f>IFERROR(INDEX([1]SuSa_2024!BU:BU,MATCH($B139,[1]SuSa_2024!$B:$B,0)),"0")</f>
        <v>0</v>
      </c>
      <c r="AR139" s="8">
        <f>IFERROR(INDEX([1]SuSa_2024!BV:BV,MATCH($B139,[1]SuSa_2024!$B:$B,0)),"0")</f>
        <v>0</v>
      </c>
      <c r="AS139" s="8">
        <f>IFERROR(INDEX([1]SuSa_2024!BW:BW,MATCH($B139,[1]SuSa_2024!$B:$B,0)),"0")</f>
        <v>0</v>
      </c>
      <c r="AT139" s="8">
        <f>IFERROR(INDEX([1]SuSa_2024!BX:BX,MATCH($B139,[1]SuSa_2024!$B:$B,0)),"0")</f>
        <v>0</v>
      </c>
      <c r="AU139" s="8">
        <f>IFERROR(INDEX([1]SuSa_2024!BY:BY,MATCH($B139,[1]SuSa_2024!$B:$B,0)),"0")</f>
        <v>0</v>
      </c>
      <c r="AV139" s="8" t="str">
        <f>IFERROR(INDEX([1]SuSa_2025!AR:AR,MATCH($B139,[1]SuSa_2025!$B:$B,0)),"0")</f>
        <v>0</v>
      </c>
      <c r="AW139" s="8" t="str">
        <f>IFERROR(INDEX([1]SuSa_2025!AS:AS,MATCH($B139,[1]SuSa_2025!$B:$B,0)),"0")</f>
        <v>0</v>
      </c>
      <c r="AX139" s="8" t="str">
        <f>IFERROR(INDEX([1]SuSa_2025!AT:AT,MATCH($B139,[1]SuSa_2025!$B:$B,0)),"0")</f>
        <v>0</v>
      </c>
      <c r="AY139" s="8" t="str">
        <f>IFERROR(INDEX([1]SuSa_2025!AU:AU,MATCH($B139,[1]SuSa_2025!$B:$B,0)),"0")</f>
        <v>0</v>
      </c>
      <c r="AZ139" s="8" t="str">
        <f>IFERROR(INDEX([1]SuSa_2025!AV:AV,MATCH($B139,[1]SuSa_2025!$B:$B,0)),"0")</f>
        <v>0</v>
      </c>
      <c r="BA139" s="8" t="str">
        <f>IFERROR(INDEX([1]SuSa_2025!AW:AW,MATCH($B139,[1]SuSa_2025!$B:$B,0)),"0")</f>
        <v>0</v>
      </c>
      <c r="BB139" s="8" t="str">
        <f>IFERROR(INDEX([1]SuSa_2025!AX:AX,MATCH($B139,[1]SuSa_2025!$B:$B,0)),"0")</f>
        <v>0</v>
      </c>
    </row>
    <row r="140" spans="1:54" outlineLevel="1" collapsed="1" x14ac:dyDescent="0.25">
      <c r="A140" s="5" t="s">
        <v>457</v>
      </c>
      <c r="B140" s="6" t="s">
        <v>458</v>
      </c>
      <c r="C140" t="s">
        <v>459</v>
      </c>
      <c r="F140" s="7">
        <f t="shared" si="13"/>
        <v>0</v>
      </c>
      <c r="G140" s="7">
        <f t="shared" si="14"/>
        <v>0</v>
      </c>
      <c r="H140" s="7">
        <f t="shared" si="15"/>
        <v>0</v>
      </c>
      <c r="I140" s="7" t="str">
        <f t="shared" si="11"/>
        <v>0</v>
      </c>
      <c r="J140" s="8">
        <f t="shared" si="10"/>
        <v>0</v>
      </c>
      <c r="K140" s="8">
        <f t="shared" si="12"/>
        <v>0</v>
      </c>
      <c r="Z140" s="8">
        <v>65206.74</v>
      </c>
      <c r="AA140" s="8">
        <v>65601.740000000005</v>
      </c>
      <c r="AB140" s="8">
        <v>65601.740000000005</v>
      </c>
      <c r="AC140" s="8">
        <v>66026.740000000005</v>
      </c>
      <c r="AD140" s="8">
        <v>66026.740000000005</v>
      </c>
      <c r="AE140" s="8">
        <v>66026.740000000005</v>
      </c>
      <c r="AF140" s="8">
        <v>66026.740000000005</v>
      </c>
      <c r="AG140" s="8">
        <v>66026.740000000005</v>
      </c>
      <c r="AH140" s="8">
        <v>73185.3</v>
      </c>
      <c r="AI140" s="8">
        <v>0</v>
      </c>
      <c r="AJ140" s="8">
        <f>IFERROR(INDEX([1]SuSa_2024!BN:BN,MATCH($B140,[1]SuSa_2024!$B:$B,0)),"0")</f>
        <v>0</v>
      </c>
      <c r="AK140" s="8">
        <f>IFERROR(INDEX([1]SuSa_2024!BO:BO,MATCH($B140,[1]SuSa_2024!$B:$B,0)),"0")</f>
        <v>0</v>
      </c>
      <c r="AL140" s="8">
        <f>IFERROR(INDEX([1]SuSa_2024!BP:BP,MATCH($B140,[1]SuSa_2024!$B:$B,0)),"0")</f>
        <v>0</v>
      </c>
      <c r="AM140" s="8">
        <f>IFERROR(INDEX([1]SuSa_2024!BQ:BQ,MATCH($B140,[1]SuSa_2024!$B:$B,0)),"0")</f>
        <v>0</v>
      </c>
      <c r="AN140" s="8">
        <f>IFERROR(INDEX([1]SuSa_2024!BR:BR,MATCH($B140,[1]SuSa_2024!$B:$B,0)),"0")</f>
        <v>0</v>
      </c>
      <c r="AO140" s="8">
        <f>IFERROR(INDEX([1]SuSa_2024!BS:BS,MATCH($B140,[1]SuSa_2024!$B:$B,0)),"0")</f>
        <v>0</v>
      </c>
      <c r="AP140" s="8">
        <f>IFERROR(INDEX([1]SuSa_2024!BT:BT,MATCH($B140,[1]SuSa_2024!$B:$B,0)),"0")</f>
        <v>0</v>
      </c>
      <c r="AQ140" s="8">
        <f>IFERROR(INDEX([1]SuSa_2024!BU:BU,MATCH($B140,[1]SuSa_2024!$B:$B,0)),"0")</f>
        <v>0</v>
      </c>
      <c r="AR140" s="8">
        <f>IFERROR(INDEX([1]SuSa_2024!BV:BV,MATCH($B140,[1]SuSa_2024!$B:$B,0)),"0")</f>
        <v>0</v>
      </c>
      <c r="AS140" s="8">
        <f>IFERROR(INDEX([1]SuSa_2024!BW:BW,MATCH($B140,[1]SuSa_2024!$B:$B,0)),"0")</f>
        <v>0</v>
      </c>
      <c r="AT140" s="8">
        <f>IFERROR(INDEX([1]SuSa_2024!BX:BX,MATCH($B140,[1]SuSa_2024!$B:$B,0)),"0")</f>
        <v>0</v>
      </c>
      <c r="AU140" s="8">
        <f>IFERROR(INDEX([1]SuSa_2024!BY:BY,MATCH($B140,[1]SuSa_2024!$B:$B,0)),"0")</f>
        <v>0</v>
      </c>
      <c r="AV140" s="8" t="str">
        <f>IFERROR(INDEX([1]SuSa_2025!AR:AR,MATCH($B140,[1]SuSa_2025!$B:$B,0)),"0")</f>
        <v>0</v>
      </c>
      <c r="AW140" s="8" t="str">
        <f>IFERROR(INDEX([1]SuSa_2025!AS:AS,MATCH($B140,[1]SuSa_2025!$B:$B,0)),"0")</f>
        <v>0</v>
      </c>
      <c r="AX140" s="8" t="str">
        <f>IFERROR(INDEX([1]SuSa_2025!AT:AT,MATCH($B140,[1]SuSa_2025!$B:$B,0)),"0")</f>
        <v>0</v>
      </c>
      <c r="AY140" s="8" t="str">
        <f>IFERROR(INDEX([1]SuSa_2025!AU:AU,MATCH($B140,[1]SuSa_2025!$B:$B,0)),"0")</f>
        <v>0</v>
      </c>
      <c r="AZ140" s="8" t="str">
        <f>IFERROR(INDEX([1]SuSa_2025!AV:AV,MATCH($B140,[1]SuSa_2025!$B:$B,0)),"0")</f>
        <v>0</v>
      </c>
      <c r="BA140" s="8" t="str">
        <f>IFERROR(INDEX([1]SuSa_2025!AW:AW,MATCH($B140,[1]SuSa_2025!$B:$B,0)),"0")</f>
        <v>0</v>
      </c>
      <c r="BB140" s="8" t="str">
        <f>IFERROR(INDEX([1]SuSa_2025!AX:AX,MATCH($B140,[1]SuSa_2025!$B:$B,0)),"0")</f>
        <v>0</v>
      </c>
    </row>
    <row r="141" spans="1:54" outlineLevel="1" collapsed="1" x14ac:dyDescent="0.25">
      <c r="A141" s="5" t="s">
        <v>460</v>
      </c>
      <c r="B141" s="6" t="s">
        <v>461</v>
      </c>
      <c r="C141" t="s">
        <v>462</v>
      </c>
      <c r="E141" t="s">
        <v>463</v>
      </c>
      <c r="F141" s="7">
        <f t="shared" si="13"/>
        <v>0</v>
      </c>
      <c r="G141" s="7">
        <f t="shared" si="14"/>
        <v>1600</v>
      </c>
      <c r="H141" s="7">
        <f t="shared" si="15"/>
        <v>0</v>
      </c>
      <c r="I141" s="7">
        <f t="shared" si="11"/>
        <v>40213.49</v>
      </c>
      <c r="J141" s="8">
        <f t="shared" si="10"/>
        <v>40213.49</v>
      </c>
      <c r="K141" s="8">
        <f t="shared" si="12"/>
        <v>0</v>
      </c>
      <c r="T141" s="8">
        <v>0</v>
      </c>
      <c r="U141" s="8">
        <v>0</v>
      </c>
      <c r="V141" s="8">
        <v>0</v>
      </c>
      <c r="W141" s="8">
        <v>0</v>
      </c>
      <c r="AB141" s="8">
        <v>-35322</v>
      </c>
      <c r="AC141" s="8">
        <v>0</v>
      </c>
      <c r="AD141" s="8">
        <v>0</v>
      </c>
      <c r="AE141" s="8">
        <v>1600</v>
      </c>
      <c r="AF141" s="8">
        <v>1600</v>
      </c>
      <c r="AG141" s="8">
        <v>1600</v>
      </c>
      <c r="AH141" s="8">
        <v>1600</v>
      </c>
      <c r="AI141" s="8">
        <v>1600</v>
      </c>
      <c r="AJ141" s="8">
        <f>IFERROR(INDEX([1]SuSa_2024!BN:BN,MATCH($B141,[1]SuSa_2024!$B:$B,0)),"0")</f>
        <v>0</v>
      </c>
      <c r="AK141" s="8">
        <f>IFERROR(INDEX([1]SuSa_2024!BO:BO,MATCH($B141,[1]SuSa_2024!$B:$B,0)),"0")</f>
        <v>0</v>
      </c>
      <c r="AL141" s="8">
        <f>IFERROR(INDEX([1]SuSa_2024!BP:BP,MATCH($B141,[1]SuSa_2024!$B:$B,0)),"0")</f>
        <v>0</v>
      </c>
      <c r="AM141" s="8">
        <f>IFERROR(INDEX([1]SuSa_2024!BQ:BQ,MATCH($B141,[1]SuSa_2024!$B:$B,0)),"0")</f>
        <v>0</v>
      </c>
      <c r="AN141" s="8">
        <f>IFERROR(INDEX([1]SuSa_2024!BR:BR,MATCH($B141,[1]SuSa_2024!$B:$B,0)),"0")</f>
        <v>0</v>
      </c>
      <c r="AO141" s="8">
        <f>IFERROR(INDEX([1]SuSa_2024!BS:BS,MATCH($B141,[1]SuSa_2024!$B:$B,0)),"0")</f>
        <v>0</v>
      </c>
      <c r="AP141" s="8">
        <f>IFERROR(INDEX([1]SuSa_2024!BT:BT,MATCH($B141,[1]SuSa_2024!$B:$B,0)),"0")</f>
        <v>0</v>
      </c>
      <c r="AQ141" s="8">
        <f>IFERROR(INDEX([1]SuSa_2024!BU:BU,MATCH($B141,[1]SuSa_2024!$B:$B,0)),"0")</f>
        <v>0</v>
      </c>
      <c r="AR141" s="8">
        <f>IFERROR(INDEX([1]SuSa_2024!BV:BV,MATCH($B141,[1]SuSa_2024!$B:$B,0)),"0")</f>
        <v>0</v>
      </c>
      <c r="AS141" s="8">
        <f>IFERROR(INDEX([1]SuSa_2024!BW:BW,MATCH($B141,[1]SuSa_2024!$B:$B,0)),"0")</f>
        <v>0</v>
      </c>
      <c r="AT141" s="8">
        <f>IFERROR(INDEX([1]SuSa_2024!BX:BX,MATCH($B141,[1]SuSa_2024!$B:$B,0)),"0")</f>
        <v>0</v>
      </c>
      <c r="AU141" s="8">
        <f>IFERROR(INDEX([1]SuSa_2024!BY:BY,MATCH($B141,[1]SuSa_2024!$B:$B,0)),"0")</f>
        <v>0</v>
      </c>
      <c r="AV141" s="8">
        <f>IFERROR(INDEX([1]SuSa_2025!AR:AR,MATCH($B141,[1]SuSa_2025!$B:$B,0)),"0")</f>
        <v>4148.42</v>
      </c>
      <c r="AW141" s="8">
        <f>IFERROR(INDEX([1]SuSa_2025!AS:AS,MATCH($B141,[1]SuSa_2025!$B:$B,0)),"0")</f>
        <v>7895.38</v>
      </c>
      <c r="AX141" s="8">
        <f>IFERROR(INDEX([1]SuSa_2025!AT:AT,MATCH($B141,[1]SuSa_2025!$B:$B,0)),"0")</f>
        <v>21269.29</v>
      </c>
      <c r="AY141" s="8">
        <f>IFERROR(INDEX([1]SuSa_2025!AU:AU,MATCH($B141,[1]SuSa_2025!$B:$B,0)),"0")</f>
        <v>26892.2</v>
      </c>
      <c r="AZ141" s="8">
        <f>IFERROR(INDEX([1]SuSa_2025!AV:AV,MATCH($B141,[1]SuSa_2025!$B:$B,0)),"0")</f>
        <v>33338.49</v>
      </c>
      <c r="BA141" s="8">
        <f>IFERROR(INDEX([1]SuSa_2025!AW:AW,MATCH($B141,[1]SuSa_2025!$B:$B,0)),"0")</f>
        <v>40213.49</v>
      </c>
      <c r="BB141" s="8">
        <f>IFERROR(INDEX([1]SuSa_2025!AX:AX,MATCH($B141,[1]SuSa_2025!$B:$B,0)),"0")</f>
        <v>40213.49</v>
      </c>
    </row>
    <row r="142" spans="1:54" outlineLevel="1" collapsed="1" x14ac:dyDescent="0.25">
      <c r="A142" s="5" t="s">
        <v>464</v>
      </c>
      <c r="B142" s="6" t="s">
        <v>465</v>
      </c>
      <c r="C142" t="s">
        <v>466</v>
      </c>
      <c r="E142" t="s">
        <v>463</v>
      </c>
      <c r="F142" s="7">
        <f t="shared" si="13"/>
        <v>120642.5</v>
      </c>
      <c r="G142" s="7">
        <f t="shared" si="14"/>
        <v>198988</v>
      </c>
      <c r="H142" s="7">
        <f t="shared" si="15"/>
        <v>232833.91</v>
      </c>
      <c r="I142" s="7">
        <f t="shared" si="11"/>
        <v>66093.47</v>
      </c>
      <c r="J142" s="8">
        <f t="shared" si="10"/>
        <v>153355.47</v>
      </c>
      <c r="K142" s="8">
        <f t="shared" si="12"/>
        <v>145571.91</v>
      </c>
      <c r="L142" s="8">
        <v>2041.5</v>
      </c>
      <c r="M142" s="8">
        <v>2041.5</v>
      </c>
      <c r="N142" s="8">
        <v>2041.5</v>
      </c>
      <c r="O142" s="8">
        <v>2041.5</v>
      </c>
      <c r="P142" s="8">
        <v>2041.5</v>
      </c>
      <c r="Q142" s="8">
        <v>2041.5</v>
      </c>
      <c r="R142" s="8">
        <v>2041.5</v>
      </c>
      <c r="S142" s="8">
        <v>11561.5</v>
      </c>
      <c r="T142" s="8">
        <v>22899.5</v>
      </c>
      <c r="U142" s="8">
        <v>32738.5</v>
      </c>
      <c r="V142" s="8">
        <v>38835.5</v>
      </c>
      <c r="W142" s="8">
        <v>120642.5</v>
      </c>
      <c r="X142" s="8">
        <v>55661.5</v>
      </c>
      <c r="Y142" s="8">
        <v>66905</v>
      </c>
      <c r="Z142" s="8">
        <v>78046.5</v>
      </c>
      <c r="AA142" s="8">
        <v>89117.5</v>
      </c>
      <c r="AB142" s="8">
        <v>98650.5</v>
      </c>
      <c r="AC142" s="8">
        <v>108508.5</v>
      </c>
      <c r="AD142" s="8">
        <v>142333.5</v>
      </c>
      <c r="AE142" s="8">
        <v>155726.75</v>
      </c>
      <c r="AF142" s="8">
        <v>168856.75</v>
      </c>
      <c r="AG142" s="8">
        <v>177616.75</v>
      </c>
      <c r="AH142" s="8">
        <v>185982.75</v>
      </c>
      <c r="AI142" s="8">
        <v>198988</v>
      </c>
      <c r="AJ142" s="8">
        <f>IFERROR(INDEX([1]SuSa_2024!BN:BN,MATCH($B142,[1]SuSa_2024!$B:$B,0)),"0")</f>
        <v>69647.33</v>
      </c>
      <c r="AK142" s="8">
        <f>IFERROR(INDEX([1]SuSa_2024!BO:BO,MATCH($B142,[1]SuSa_2024!$B:$B,0)),"0")</f>
        <v>79615.33</v>
      </c>
      <c r="AL142" s="8">
        <f>IFERROR(INDEX([1]SuSa_2024!BP:BP,MATCH($B142,[1]SuSa_2024!$B:$B,0)),"0")</f>
        <v>90120.08</v>
      </c>
      <c r="AM142" s="8">
        <f>IFERROR(INDEX([1]SuSa_2024!BQ:BQ,MATCH($B142,[1]SuSa_2024!$B:$B,0)),"0")</f>
        <v>99564.08</v>
      </c>
      <c r="AN142" s="8">
        <f>IFERROR(INDEX([1]SuSa_2024!BR:BR,MATCH($B142,[1]SuSa_2024!$B:$B,0)),"0")</f>
        <v>117067.08</v>
      </c>
      <c r="AO142" s="8">
        <f>IFERROR(INDEX([1]SuSa_2024!BS:BS,MATCH($B142,[1]SuSa_2024!$B:$B,0)),"0")</f>
        <v>124387.08</v>
      </c>
      <c r="AP142" s="8">
        <f>IFERROR(INDEX([1]SuSa_2024!BT:BT,MATCH($B142,[1]SuSa_2024!$B:$B,0)),"0")</f>
        <v>145571.91</v>
      </c>
      <c r="AQ142" s="8">
        <f>IFERROR(INDEX([1]SuSa_2024!BU:BU,MATCH($B142,[1]SuSa_2024!$B:$B,0)),"0")</f>
        <v>163377.41</v>
      </c>
      <c r="AR142" s="8">
        <f>IFERROR(INDEX([1]SuSa_2024!BV:BV,MATCH($B142,[1]SuSa_2024!$B:$B,0)),"0")</f>
        <v>215213.41</v>
      </c>
      <c r="AS142" s="8">
        <f>IFERROR(INDEX([1]SuSa_2024!BW:BW,MATCH($B142,[1]SuSa_2024!$B:$B,0)),"0")</f>
        <v>223311.91</v>
      </c>
      <c r="AT142" s="8">
        <f>IFERROR(INDEX([1]SuSa_2024!BX:BX,MATCH($B142,[1]SuSa_2024!$B:$B,0)),"0")</f>
        <v>228781.91</v>
      </c>
      <c r="AU142" s="8">
        <f>IFERROR(INDEX([1]SuSa_2024!BY:BY,MATCH($B142,[1]SuSa_2024!$B:$B,0)),"0")</f>
        <v>232833.91</v>
      </c>
      <c r="AV142" s="8">
        <f>IFERROR(INDEX([1]SuSa_2025!AR:AR,MATCH($B142,[1]SuSa_2025!$B:$B,0)),"0")</f>
        <v>5918</v>
      </c>
      <c r="AW142" s="8">
        <f>IFERROR(INDEX([1]SuSa_2025!AS:AS,MATCH($B142,[1]SuSa_2025!$B:$B,0)),"0")</f>
        <v>12930</v>
      </c>
      <c r="AX142" s="8">
        <f>IFERROR(INDEX([1]SuSa_2025!AT:AT,MATCH($B142,[1]SuSa_2025!$B:$B,0)),"0")</f>
        <v>25013</v>
      </c>
      <c r="AY142" s="8">
        <f>IFERROR(INDEX([1]SuSa_2025!AU:AU,MATCH($B142,[1]SuSa_2025!$B:$B,0)),"0")</f>
        <v>33963</v>
      </c>
      <c r="AZ142" s="8">
        <f>IFERROR(INDEX([1]SuSa_2025!AV:AV,MATCH($B142,[1]SuSa_2025!$B:$B,0)),"0")</f>
        <v>45427.47</v>
      </c>
      <c r="BA142" s="8">
        <f>IFERROR(INDEX([1]SuSa_2025!AW:AW,MATCH($B142,[1]SuSa_2025!$B:$B,0)),"0")</f>
        <v>53807.47</v>
      </c>
      <c r="BB142" s="8">
        <f>IFERROR(INDEX([1]SuSa_2025!AX:AX,MATCH($B142,[1]SuSa_2025!$B:$B,0)),"0")</f>
        <v>66093.47</v>
      </c>
    </row>
    <row r="143" spans="1:54" outlineLevel="1" collapsed="1" x14ac:dyDescent="0.25">
      <c r="A143" s="5" t="s">
        <v>467</v>
      </c>
      <c r="B143" s="6" t="s">
        <v>468</v>
      </c>
      <c r="C143" t="s">
        <v>469</v>
      </c>
      <c r="E143" t="s">
        <v>463</v>
      </c>
      <c r="F143" s="7">
        <f t="shared" si="13"/>
        <v>3118502.54</v>
      </c>
      <c r="G143" s="7">
        <f t="shared" si="14"/>
        <v>3152986.8</v>
      </c>
      <c r="H143" s="7">
        <f t="shared" si="15"/>
        <v>2649307.7800000003</v>
      </c>
      <c r="I143" s="7">
        <f t="shared" si="11"/>
        <v>724551.11</v>
      </c>
      <c r="J143" s="8">
        <f t="shared" si="10"/>
        <v>1499369.1400000001</v>
      </c>
      <c r="K143" s="8">
        <f t="shared" si="12"/>
        <v>1874489.75</v>
      </c>
      <c r="L143" s="8">
        <v>22202.26</v>
      </c>
      <c r="M143" s="8">
        <v>22202.26</v>
      </c>
      <c r="N143" s="8">
        <v>22202.26</v>
      </c>
      <c r="O143" s="8">
        <v>22202.26</v>
      </c>
      <c r="P143" s="8">
        <v>22202.26</v>
      </c>
      <c r="Q143" s="8">
        <v>22202.26</v>
      </c>
      <c r="R143" s="8">
        <v>22202.26</v>
      </c>
      <c r="S143" s="8">
        <v>276746.09999999998</v>
      </c>
      <c r="T143" s="8">
        <v>537656.31999999995</v>
      </c>
      <c r="U143" s="8">
        <v>774599.1</v>
      </c>
      <c r="V143" s="8">
        <v>961462.01</v>
      </c>
      <c r="W143" s="8">
        <v>3118502.54</v>
      </c>
      <c r="X143" s="8">
        <v>218464.83</v>
      </c>
      <c r="Y143" s="8">
        <v>466119.59</v>
      </c>
      <c r="Z143" s="8">
        <v>713785.86</v>
      </c>
      <c r="AA143" s="8">
        <v>990802.09</v>
      </c>
      <c r="AB143" s="8">
        <v>1161585.02</v>
      </c>
      <c r="AC143" s="8">
        <v>1429012.12</v>
      </c>
      <c r="AD143" s="8">
        <v>1719410.06</v>
      </c>
      <c r="AE143" s="8">
        <v>1986876.28</v>
      </c>
      <c r="AF143" s="8">
        <v>2265033.9</v>
      </c>
      <c r="AG143" s="8">
        <v>2556581.31</v>
      </c>
      <c r="AH143" s="8">
        <v>2854891.9</v>
      </c>
      <c r="AI143" s="8">
        <v>3152986.8</v>
      </c>
      <c r="AJ143" s="8">
        <f>IFERROR(INDEX([1]SuSa_2024!BN:BN,MATCH($B143,[1]SuSa_2024!$B:$B,0)),"0")</f>
        <v>293153.5</v>
      </c>
      <c r="AK143" s="8">
        <f>IFERROR(INDEX([1]SuSa_2024!BO:BO,MATCH($B143,[1]SuSa_2024!$B:$B,0)),"0")</f>
        <v>495163.49</v>
      </c>
      <c r="AL143" s="8">
        <f>IFERROR(INDEX([1]SuSa_2024!BP:BP,MATCH($B143,[1]SuSa_2024!$B:$B,0)),"0")</f>
        <v>784780.7</v>
      </c>
      <c r="AM143" s="8">
        <f>IFERROR(INDEX([1]SuSa_2024!BQ:BQ,MATCH($B143,[1]SuSa_2024!$B:$B,0)),"0")</f>
        <v>1076579.4099999999</v>
      </c>
      <c r="AN143" s="8">
        <f>IFERROR(INDEX([1]SuSa_2024!BR:BR,MATCH($B143,[1]SuSa_2024!$B:$B,0)),"0")</f>
        <v>1376686.97</v>
      </c>
      <c r="AO143" s="8">
        <f>IFERROR(INDEX([1]SuSa_2024!BS:BS,MATCH($B143,[1]SuSa_2024!$B:$B,0)),"0")</f>
        <v>1634322.58</v>
      </c>
      <c r="AP143" s="8">
        <f>IFERROR(INDEX([1]SuSa_2024!BT:BT,MATCH($B143,[1]SuSa_2024!$B:$B,0)),"0")</f>
        <v>1874489.75</v>
      </c>
      <c r="AQ143" s="8">
        <f>IFERROR(INDEX([1]SuSa_2024!BU:BU,MATCH($B143,[1]SuSa_2024!$B:$B,0)),"0")</f>
        <v>2120533.4700000002</v>
      </c>
      <c r="AR143" s="8">
        <f>IFERROR(INDEX([1]SuSa_2024!BV:BV,MATCH($B143,[1]SuSa_2024!$B:$B,0)),"0")</f>
        <v>2344808.25</v>
      </c>
      <c r="AS143" s="8">
        <f>IFERROR(INDEX([1]SuSa_2024!BW:BW,MATCH($B143,[1]SuSa_2024!$B:$B,0)),"0")</f>
        <v>2442356.2000000002</v>
      </c>
      <c r="AT143" s="8">
        <f>IFERROR(INDEX([1]SuSa_2024!BX:BX,MATCH($B143,[1]SuSa_2024!$B:$B,0)),"0")</f>
        <v>2539666.66</v>
      </c>
      <c r="AU143" s="8">
        <f>IFERROR(INDEX([1]SuSa_2024!BY:BY,MATCH($B143,[1]SuSa_2024!$B:$B,0)),"0")</f>
        <v>2649307.7800000003</v>
      </c>
      <c r="AV143" s="8">
        <f>IFERROR(INDEX([1]SuSa_2025!AR:AR,MATCH($B143,[1]SuSa_2025!$B:$B,0)),"0")</f>
        <v>100955.42</v>
      </c>
      <c r="AW143" s="8">
        <f>IFERROR(INDEX([1]SuSa_2025!AS:AS,MATCH($B143,[1]SuSa_2025!$B:$B,0)),"0")</f>
        <v>201308.75</v>
      </c>
      <c r="AX143" s="8">
        <f>IFERROR(INDEX([1]SuSa_2025!AT:AT,MATCH($B143,[1]SuSa_2025!$B:$B,0)),"0")</f>
        <v>300057.63</v>
      </c>
      <c r="AY143" s="8">
        <f>IFERROR(INDEX([1]SuSa_2025!AU:AU,MATCH($B143,[1]SuSa_2025!$B:$B,0)),"0")</f>
        <v>401471.12</v>
      </c>
      <c r="AZ143" s="8">
        <f>IFERROR(INDEX([1]SuSa_2025!AV:AV,MATCH($B143,[1]SuSa_2025!$B:$B,0)),"0")</f>
        <v>503979.45</v>
      </c>
      <c r="BA143" s="8">
        <f>IFERROR(INDEX([1]SuSa_2025!AW:AW,MATCH($B143,[1]SuSa_2025!$B:$B,0)),"0")</f>
        <v>605272.78</v>
      </c>
      <c r="BB143" s="8">
        <f>IFERROR(INDEX([1]SuSa_2025!AX:AX,MATCH($B143,[1]SuSa_2025!$B:$B,0)),"0")</f>
        <v>724551.11</v>
      </c>
    </row>
    <row r="144" spans="1:54" outlineLevel="1" collapsed="1" x14ac:dyDescent="0.25">
      <c r="A144" s="5" t="s">
        <v>467</v>
      </c>
      <c r="B144" s="6" t="s">
        <v>470</v>
      </c>
      <c r="C144" t="s">
        <v>471</v>
      </c>
      <c r="F144" s="7">
        <f t="shared" si="13"/>
        <v>0</v>
      </c>
      <c r="G144" s="7">
        <f t="shared" si="14"/>
        <v>0</v>
      </c>
      <c r="H144" s="7" t="str">
        <f t="shared" si="15"/>
        <v>0</v>
      </c>
      <c r="I144" s="7" t="str">
        <f t="shared" si="11"/>
        <v>0</v>
      </c>
      <c r="J144" s="8">
        <f t="shared" si="10"/>
        <v>0</v>
      </c>
      <c r="K144" s="8" t="str">
        <f t="shared" si="12"/>
        <v>0</v>
      </c>
      <c r="L144" s="8">
        <v>17630</v>
      </c>
      <c r="M144" s="8">
        <v>94083.79</v>
      </c>
      <c r="N144" s="8">
        <v>160758.79</v>
      </c>
      <c r="O144" s="8">
        <v>226857.12</v>
      </c>
      <c r="P144" s="8">
        <v>294967.12</v>
      </c>
      <c r="Q144" s="8">
        <v>361128.79</v>
      </c>
      <c r="R144" s="8">
        <v>430708.79</v>
      </c>
      <c r="S144" s="8">
        <v>430708.79</v>
      </c>
      <c r="T144" s="8">
        <v>430708.79</v>
      </c>
      <c r="U144" s="8">
        <v>430708.79</v>
      </c>
      <c r="V144" s="8">
        <v>430708.79</v>
      </c>
      <c r="W144" s="8">
        <v>0</v>
      </c>
      <c r="AJ144" s="8" t="str">
        <f>IFERROR(INDEX([1]SuSa_2024!BN:BN,MATCH($B144,[1]SuSa_2024!$B:$B,0)),"0")</f>
        <v>0</v>
      </c>
      <c r="AK144" s="8" t="str">
        <f>IFERROR(INDEX([1]SuSa_2024!BO:BO,MATCH($B144,[1]SuSa_2024!$B:$B,0)),"0")</f>
        <v>0</v>
      </c>
      <c r="AL144" s="8" t="str">
        <f>IFERROR(INDEX([1]SuSa_2024!BP:BP,MATCH($B144,[1]SuSa_2024!$B:$B,0)),"0")</f>
        <v>0</v>
      </c>
      <c r="AM144" s="8" t="str">
        <f>IFERROR(INDEX([1]SuSa_2024!BQ:BQ,MATCH($B144,[1]SuSa_2024!$B:$B,0)),"0")</f>
        <v>0</v>
      </c>
      <c r="AN144" s="8" t="str">
        <f>IFERROR(INDEX([1]SuSa_2024!BR:BR,MATCH($B144,[1]SuSa_2024!$B:$B,0)),"0")</f>
        <v>0</v>
      </c>
      <c r="AO144" s="8" t="str">
        <f>IFERROR(INDEX([1]SuSa_2024!BS:BS,MATCH($B144,[1]SuSa_2024!$B:$B,0)),"0")</f>
        <v>0</v>
      </c>
      <c r="AP144" s="8" t="str">
        <f>IFERROR(INDEX([1]SuSa_2024!BT:BT,MATCH($B144,[1]SuSa_2024!$B:$B,0)),"0")</f>
        <v>0</v>
      </c>
      <c r="AQ144" s="8" t="str">
        <f>IFERROR(INDEX([1]SuSa_2024!BU:BU,MATCH($B144,[1]SuSa_2024!$B:$B,0)),"0")</f>
        <v>0</v>
      </c>
      <c r="AR144" s="8" t="str">
        <f>IFERROR(INDEX([1]SuSa_2024!BV:BV,MATCH($B144,[1]SuSa_2024!$B:$B,0)),"0")</f>
        <v>0</v>
      </c>
      <c r="AS144" s="8" t="str">
        <f>IFERROR(INDEX([1]SuSa_2024!BW:BW,MATCH($B144,[1]SuSa_2024!$B:$B,0)),"0")</f>
        <v>0</v>
      </c>
      <c r="AT144" s="8" t="str">
        <f>IFERROR(INDEX([1]SuSa_2024!BX:BX,MATCH($B144,[1]SuSa_2024!$B:$B,0)),"0")</f>
        <v>0</v>
      </c>
      <c r="AU144" s="8" t="str">
        <f>IFERROR(INDEX([1]SuSa_2024!BY:BY,MATCH($B144,[1]SuSa_2024!$B:$B,0)),"0")</f>
        <v>0</v>
      </c>
      <c r="AV144" s="8" t="str">
        <f>IFERROR(INDEX([1]SuSa_2025!AR:AR,MATCH($B144,[1]SuSa_2025!$B:$B,0)),"0")</f>
        <v>0</v>
      </c>
      <c r="AW144" s="8" t="str">
        <f>IFERROR(INDEX([1]SuSa_2025!AS:AS,MATCH($B144,[1]SuSa_2025!$B:$B,0)),"0")</f>
        <v>0</v>
      </c>
      <c r="AX144" s="8" t="str">
        <f>IFERROR(INDEX([1]SuSa_2025!AT:AT,MATCH($B144,[1]SuSa_2025!$B:$B,0)),"0")</f>
        <v>0</v>
      </c>
      <c r="AY144" s="8" t="str">
        <f>IFERROR(INDEX([1]SuSa_2025!AU:AU,MATCH($B144,[1]SuSa_2025!$B:$B,0)),"0")</f>
        <v>0</v>
      </c>
      <c r="AZ144" s="8" t="str">
        <f>IFERROR(INDEX([1]SuSa_2025!AV:AV,MATCH($B144,[1]SuSa_2025!$B:$B,0)),"0")</f>
        <v>0</v>
      </c>
      <c r="BA144" s="8" t="str">
        <f>IFERROR(INDEX([1]SuSa_2025!AW:AW,MATCH($B144,[1]SuSa_2025!$B:$B,0)),"0")</f>
        <v>0</v>
      </c>
      <c r="BB144" s="8" t="str">
        <f>IFERROR(INDEX([1]SuSa_2025!AX:AX,MATCH($B144,[1]SuSa_2025!$B:$B,0)),"0")</f>
        <v>0</v>
      </c>
    </row>
    <row r="145" spans="1:54" outlineLevel="1" collapsed="1" x14ac:dyDescent="0.25">
      <c r="A145" s="5" t="s">
        <v>467</v>
      </c>
      <c r="B145" s="6" t="s">
        <v>472</v>
      </c>
      <c r="C145" t="s">
        <v>473</v>
      </c>
      <c r="F145" s="7">
        <f t="shared" si="13"/>
        <v>0</v>
      </c>
      <c r="G145" s="7">
        <f t="shared" si="14"/>
        <v>0</v>
      </c>
      <c r="H145" s="7" t="str">
        <f t="shared" si="15"/>
        <v>0</v>
      </c>
      <c r="I145" s="7" t="str">
        <f t="shared" si="11"/>
        <v>0</v>
      </c>
      <c r="J145" s="8">
        <f t="shared" si="10"/>
        <v>0</v>
      </c>
      <c r="K145" s="8" t="str">
        <f t="shared" si="12"/>
        <v>0</v>
      </c>
      <c r="L145" s="8">
        <v>5000</v>
      </c>
      <c r="M145" s="8">
        <v>85062</v>
      </c>
      <c r="N145" s="8">
        <v>163972</v>
      </c>
      <c r="O145" s="8">
        <v>242482</v>
      </c>
      <c r="P145" s="8">
        <v>327855.55</v>
      </c>
      <c r="Q145" s="8">
        <v>411535.55</v>
      </c>
      <c r="R145" s="8">
        <v>493038.1</v>
      </c>
      <c r="S145" s="8">
        <v>493038.1</v>
      </c>
      <c r="T145" s="8">
        <v>493038.1</v>
      </c>
      <c r="U145" s="8">
        <v>493038.1</v>
      </c>
      <c r="V145" s="8">
        <v>493038.1</v>
      </c>
      <c r="W145" s="8">
        <v>0</v>
      </c>
      <c r="AJ145" s="8" t="str">
        <f>IFERROR(INDEX([1]SuSa_2024!BN:BN,MATCH($B145,[1]SuSa_2024!$B:$B,0)),"0")</f>
        <v>0</v>
      </c>
      <c r="AK145" s="8" t="str">
        <f>IFERROR(INDEX([1]SuSa_2024!BO:BO,MATCH($B145,[1]SuSa_2024!$B:$B,0)),"0")</f>
        <v>0</v>
      </c>
      <c r="AL145" s="8" t="str">
        <f>IFERROR(INDEX([1]SuSa_2024!BP:BP,MATCH($B145,[1]SuSa_2024!$B:$B,0)),"0")</f>
        <v>0</v>
      </c>
      <c r="AM145" s="8" t="str">
        <f>IFERROR(INDEX([1]SuSa_2024!BQ:BQ,MATCH($B145,[1]SuSa_2024!$B:$B,0)),"0")</f>
        <v>0</v>
      </c>
      <c r="AN145" s="8" t="str">
        <f>IFERROR(INDEX([1]SuSa_2024!BR:BR,MATCH($B145,[1]SuSa_2024!$B:$B,0)),"0")</f>
        <v>0</v>
      </c>
      <c r="AO145" s="8" t="str">
        <f>IFERROR(INDEX([1]SuSa_2024!BS:BS,MATCH($B145,[1]SuSa_2024!$B:$B,0)),"0")</f>
        <v>0</v>
      </c>
      <c r="AP145" s="8" t="str">
        <f>IFERROR(INDEX([1]SuSa_2024!BT:BT,MATCH($B145,[1]SuSa_2024!$B:$B,0)),"0")</f>
        <v>0</v>
      </c>
      <c r="AQ145" s="8" t="str">
        <f>IFERROR(INDEX([1]SuSa_2024!BU:BU,MATCH($B145,[1]SuSa_2024!$B:$B,0)),"0")</f>
        <v>0</v>
      </c>
      <c r="AR145" s="8" t="str">
        <f>IFERROR(INDEX([1]SuSa_2024!BV:BV,MATCH($B145,[1]SuSa_2024!$B:$B,0)),"0")</f>
        <v>0</v>
      </c>
      <c r="AS145" s="8" t="str">
        <f>IFERROR(INDEX([1]SuSa_2024!BW:BW,MATCH($B145,[1]SuSa_2024!$B:$B,0)),"0")</f>
        <v>0</v>
      </c>
      <c r="AT145" s="8" t="str">
        <f>IFERROR(INDEX([1]SuSa_2024!BX:BX,MATCH($B145,[1]SuSa_2024!$B:$B,0)),"0")</f>
        <v>0</v>
      </c>
      <c r="AU145" s="8" t="str">
        <f>IFERROR(INDEX([1]SuSa_2024!BY:BY,MATCH($B145,[1]SuSa_2024!$B:$B,0)),"0")</f>
        <v>0</v>
      </c>
      <c r="AV145" s="8" t="str">
        <f>IFERROR(INDEX([1]SuSa_2025!AR:AR,MATCH($B145,[1]SuSa_2025!$B:$B,0)),"0")</f>
        <v>0</v>
      </c>
      <c r="AW145" s="8" t="str">
        <f>IFERROR(INDEX([1]SuSa_2025!AS:AS,MATCH($B145,[1]SuSa_2025!$B:$B,0)),"0")</f>
        <v>0</v>
      </c>
      <c r="AX145" s="8" t="str">
        <f>IFERROR(INDEX([1]SuSa_2025!AT:AT,MATCH($B145,[1]SuSa_2025!$B:$B,0)),"0")</f>
        <v>0</v>
      </c>
      <c r="AY145" s="8" t="str">
        <f>IFERROR(INDEX([1]SuSa_2025!AU:AU,MATCH($B145,[1]SuSa_2025!$B:$B,0)),"0")</f>
        <v>0</v>
      </c>
      <c r="AZ145" s="8" t="str">
        <f>IFERROR(INDEX([1]SuSa_2025!AV:AV,MATCH($B145,[1]SuSa_2025!$B:$B,0)),"0")</f>
        <v>0</v>
      </c>
      <c r="BA145" s="8" t="str">
        <f>IFERROR(INDEX([1]SuSa_2025!AW:AW,MATCH($B145,[1]SuSa_2025!$B:$B,0)),"0")</f>
        <v>0</v>
      </c>
      <c r="BB145" s="8" t="str">
        <f>IFERROR(INDEX([1]SuSa_2025!AX:AX,MATCH($B145,[1]SuSa_2025!$B:$B,0)),"0")</f>
        <v>0</v>
      </c>
    </row>
    <row r="146" spans="1:54" outlineLevel="1" collapsed="1" x14ac:dyDescent="0.25">
      <c r="A146" s="5" t="s">
        <v>467</v>
      </c>
      <c r="B146" s="6" t="s">
        <v>474</v>
      </c>
      <c r="C146" t="s">
        <v>475</v>
      </c>
      <c r="F146" s="7">
        <f t="shared" si="13"/>
        <v>0</v>
      </c>
      <c r="G146" s="7">
        <f t="shared" si="14"/>
        <v>0</v>
      </c>
      <c r="H146" s="7" t="str">
        <f t="shared" si="15"/>
        <v>0</v>
      </c>
      <c r="I146" s="7" t="str">
        <f t="shared" si="11"/>
        <v>0</v>
      </c>
      <c r="J146" s="8">
        <f t="shared" si="10"/>
        <v>0</v>
      </c>
      <c r="K146" s="8" t="str">
        <f t="shared" si="12"/>
        <v>0</v>
      </c>
      <c r="L146" s="8">
        <v>83187</v>
      </c>
      <c r="M146" s="8">
        <v>149595.38</v>
      </c>
      <c r="N146" s="8">
        <v>211307.86</v>
      </c>
      <c r="O146" s="8">
        <v>272397.33</v>
      </c>
      <c r="P146" s="8">
        <v>328924.59000000003</v>
      </c>
      <c r="Q146" s="8">
        <v>385769.59</v>
      </c>
      <c r="R146" s="8">
        <v>484509.36</v>
      </c>
      <c r="S146" s="8">
        <v>484509.36</v>
      </c>
      <c r="T146" s="8">
        <v>484509.36</v>
      </c>
      <c r="U146" s="8">
        <v>484509.36</v>
      </c>
      <c r="V146" s="8">
        <v>484509.36</v>
      </c>
      <c r="W146" s="8">
        <v>0</v>
      </c>
      <c r="AJ146" s="8" t="str">
        <f>IFERROR(INDEX([1]SuSa_2024!BN:BN,MATCH($B146,[1]SuSa_2024!$B:$B,0)),"0")</f>
        <v>0</v>
      </c>
      <c r="AK146" s="8" t="str">
        <f>IFERROR(INDEX([1]SuSa_2024!BO:BO,MATCH($B146,[1]SuSa_2024!$B:$B,0)),"0")</f>
        <v>0</v>
      </c>
      <c r="AL146" s="8" t="str">
        <f>IFERROR(INDEX([1]SuSa_2024!BP:BP,MATCH($B146,[1]SuSa_2024!$B:$B,0)),"0")</f>
        <v>0</v>
      </c>
      <c r="AM146" s="8" t="str">
        <f>IFERROR(INDEX([1]SuSa_2024!BQ:BQ,MATCH($B146,[1]SuSa_2024!$B:$B,0)),"0")</f>
        <v>0</v>
      </c>
      <c r="AN146" s="8" t="str">
        <f>IFERROR(INDEX([1]SuSa_2024!BR:BR,MATCH($B146,[1]SuSa_2024!$B:$B,0)),"0")</f>
        <v>0</v>
      </c>
      <c r="AO146" s="8" t="str">
        <f>IFERROR(INDEX([1]SuSa_2024!BS:BS,MATCH($B146,[1]SuSa_2024!$B:$B,0)),"0")</f>
        <v>0</v>
      </c>
      <c r="AP146" s="8" t="str">
        <f>IFERROR(INDEX([1]SuSa_2024!BT:BT,MATCH($B146,[1]SuSa_2024!$B:$B,0)),"0")</f>
        <v>0</v>
      </c>
      <c r="AQ146" s="8" t="str">
        <f>IFERROR(INDEX([1]SuSa_2024!BU:BU,MATCH($B146,[1]SuSa_2024!$B:$B,0)),"0")</f>
        <v>0</v>
      </c>
      <c r="AR146" s="8" t="str">
        <f>IFERROR(INDEX([1]SuSa_2024!BV:BV,MATCH($B146,[1]SuSa_2024!$B:$B,0)),"0")</f>
        <v>0</v>
      </c>
      <c r="AS146" s="8" t="str">
        <f>IFERROR(INDEX([1]SuSa_2024!BW:BW,MATCH($B146,[1]SuSa_2024!$B:$B,0)),"0")</f>
        <v>0</v>
      </c>
      <c r="AT146" s="8" t="str">
        <f>IFERROR(INDEX([1]SuSa_2024!BX:BX,MATCH($B146,[1]SuSa_2024!$B:$B,0)),"0")</f>
        <v>0</v>
      </c>
      <c r="AU146" s="8" t="str">
        <f>IFERROR(INDEX([1]SuSa_2024!BY:BY,MATCH($B146,[1]SuSa_2024!$B:$B,0)),"0")</f>
        <v>0</v>
      </c>
      <c r="AV146" s="8" t="str">
        <f>IFERROR(INDEX([1]SuSa_2025!AR:AR,MATCH($B146,[1]SuSa_2025!$B:$B,0)),"0")</f>
        <v>0</v>
      </c>
      <c r="AW146" s="8" t="str">
        <f>IFERROR(INDEX([1]SuSa_2025!AS:AS,MATCH($B146,[1]SuSa_2025!$B:$B,0)),"0")</f>
        <v>0</v>
      </c>
      <c r="AX146" s="8" t="str">
        <f>IFERROR(INDEX([1]SuSa_2025!AT:AT,MATCH($B146,[1]SuSa_2025!$B:$B,0)),"0")</f>
        <v>0</v>
      </c>
      <c r="AY146" s="8" t="str">
        <f>IFERROR(INDEX([1]SuSa_2025!AU:AU,MATCH($B146,[1]SuSa_2025!$B:$B,0)),"0")</f>
        <v>0</v>
      </c>
      <c r="AZ146" s="8" t="str">
        <f>IFERROR(INDEX([1]SuSa_2025!AV:AV,MATCH($B146,[1]SuSa_2025!$B:$B,0)),"0")</f>
        <v>0</v>
      </c>
      <c r="BA146" s="8" t="str">
        <f>IFERROR(INDEX([1]SuSa_2025!AW:AW,MATCH($B146,[1]SuSa_2025!$B:$B,0)),"0")</f>
        <v>0</v>
      </c>
      <c r="BB146" s="8" t="str">
        <f>IFERROR(INDEX([1]SuSa_2025!AX:AX,MATCH($B146,[1]SuSa_2025!$B:$B,0)),"0")</f>
        <v>0</v>
      </c>
    </row>
    <row r="147" spans="1:54" outlineLevel="1" collapsed="1" x14ac:dyDescent="0.25">
      <c r="A147" s="5" t="s">
        <v>467</v>
      </c>
      <c r="B147" s="6" t="s">
        <v>476</v>
      </c>
      <c r="C147" t="s">
        <v>477</v>
      </c>
      <c r="F147" s="7">
        <f t="shared" si="13"/>
        <v>0</v>
      </c>
      <c r="G147" s="7">
        <f t="shared" si="14"/>
        <v>0</v>
      </c>
      <c r="H147" s="7" t="str">
        <f t="shared" si="15"/>
        <v>0</v>
      </c>
      <c r="I147" s="7" t="str">
        <f t="shared" si="11"/>
        <v>0</v>
      </c>
      <c r="J147" s="8">
        <f t="shared" si="10"/>
        <v>0</v>
      </c>
      <c r="K147" s="8" t="str">
        <f t="shared" si="12"/>
        <v>0</v>
      </c>
      <c r="L147" s="8">
        <v>15745.83</v>
      </c>
      <c r="M147" s="8">
        <v>31663.83</v>
      </c>
      <c r="N147" s="8">
        <v>46333.83</v>
      </c>
      <c r="O147" s="8">
        <v>67053.83</v>
      </c>
      <c r="P147" s="8">
        <v>84673.83</v>
      </c>
      <c r="Q147" s="8">
        <v>102593.83</v>
      </c>
      <c r="R147" s="8">
        <v>120513.83</v>
      </c>
      <c r="S147" s="8">
        <v>120513.83</v>
      </c>
      <c r="T147" s="8">
        <v>120513.83</v>
      </c>
      <c r="U147" s="8">
        <v>120513.83</v>
      </c>
      <c r="V147" s="8">
        <v>120513.83</v>
      </c>
      <c r="W147" s="8">
        <v>0</v>
      </c>
      <c r="AJ147" s="8" t="str">
        <f>IFERROR(INDEX([1]SuSa_2024!BN:BN,MATCH($B147,[1]SuSa_2024!$B:$B,0)),"0")</f>
        <v>0</v>
      </c>
      <c r="AK147" s="8" t="str">
        <f>IFERROR(INDEX([1]SuSa_2024!BO:BO,MATCH($B147,[1]SuSa_2024!$B:$B,0)),"0")</f>
        <v>0</v>
      </c>
      <c r="AL147" s="8" t="str">
        <f>IFERROR(INDEX([1]SuSa_2024!BP:BP,MATCH($B147,[1]SuSa_2024!$B:$B,0)),"0")</f>
        <v>0</v>
      </c>
      <c r="AM147" s="8" t="str">
        <f>IFERROR(INDEX([1]SuSa_2024!BQ:BQ,MATCH($B147,[1]SuSa_2024!$B:$B,0)),"0")</f>
        <v>0</v>
      </c>
      <c r="AN147" s="8" t="str">
        <f>IFERROR(INDEX([1]SuSa_2024!BR:BR,MATCH($B147,[1]SuSa_2024!$B:$B,0)),"0")</f>
        <v>0</v>
      </c>
      <c r="AO147" s="8" t="str">
        <f>IFERROR(INDEX([1]SuSa_2024!BS:BS,MATCH($B147,[1]SuSa_2024!$B:$B,0)),"0")</f>
        <v>0</v>
      </c>
      <c r="AP147" s="8" t="str">
        <f>IFERROR(INDEX([1]SuSa_2024!BT:BT,MATCH($B147,[1]SuSa_2024!$B:$B,0)),"0")</f>
        <v>0</v>
      </c>
      <c r="AQ147" s="8" t="str">
        <f>IFERROR(INDEX([1]SuSa_2024!BU:BU,MATCH($B147,[1]SuSa_2024!$B:$B,0)),"0")</f>
        <v>0</v>
      </c>
      <c r="AR147" s="8" t="str">
        <f>IFERROR(INDEX([1]SuSa_2024!BV:BV,MATCH($B147,[1]SuSa_2024!$B:$B,0)),"0")</f>
        <v>0</v>
      </c>
      <c r="AS147" s="8" t="str">
        <f>IFERROR(INDEX([1]SuSa_2024!BW:BW,MATCH($B147,[1]SuSa_2024!$B:$B,0)),"0")</f>
        <v>0</v>
      </c>
      <c r="AT147" s="8" t="str">
        <f>IFERROR(INDEX([1]SuSa_2024!BX:BX,MATCH($B147,[1]SuSa_2024!$B:$B,0)),"0")</f>
        <v>0</v>
      </c>
      <c r="AU147" s="8" t="str">
        <f>IFERROR(INDEX([1]SuSa_2024!BY:BY,MATCH($B147,[1]SuSa_2024!$B:$B,0)),"0")</f>
        <v>0</v>
      </c>
      <c r="AV147" s="8" t="str">
        <f>IFERROR(INDEX([1]SuSa_2025!AR:AR,MATCH($B147,[1]SuSa_2025!$B:$B,0)),"0")</f>
        <v>0</v>
      </c>
      <c r="AW147" s="8" t="str">
        <f>IFERROR(INDEX([1]SuSa_2025!AS:AS,MATCH($B147,[1]SuSa_2025!$B:$B,0)),"0")</f>
        <v>0</v>
      </c>
      <c r="AX147" s="8" t="str">
        <f>IFERROR(INDEX([1]SuSa_2025!AT:AT,MATCH($B147,[1]SuSa_2025!$B:$B,0)),"0")</f>
        <v>0</v>
      </c>
      <c r="AY147" s="8" t="str">
        <f>IFERROR(INDEX([1]SuSa_2025!AU:AU,MATCH($B147,[1]SuSa_2025!$B:$B,0)),"0")</f>
        <v>0</v>
      </c>
      <c r="AZ147" s="8" t="str">
        <f>IFERROR(INDEX([1]SuSa_2025!AV:AV,MATCH($B147,[1]SuSa_2025!$B:$B,0)),"0")</f>
        <v>0</v>
      </c>
      <c r="BA147" s="8" t="str">
        <f>IFERROR(INDEX([1]SuSa_2025!AW:AW,MATCH($B147,[1]SuSa_2025!$B:$B,0)),"0")</f>
        <v>0</v>
      </c>
      <c r="BB147" s="8" t="str">
        <f>IFERROR(INDEX([1]SuSa_2025!AX:AX,MATCH($B147,[1]SuSa_2025!$B:$B,0)),"0")</f>
        <v>0</v>
      </c>
    </row>
    <row r="148" spans="1:54" outlineLevel="1" collapsed="1" x14ac:dyDescent="0.25">
      <c r="A148" s="5" t="s">
        <v>467</v>
      </c>
      <c r="B148" s="6" t="s">
        <v>478</v>
      </c>
      <c r="C148" t="s">
        <v>479</v>
      </c>
      <c r="F148" s="7">
        <f t="shared" si="13"/>
        <v>0</v>
      </c>
      <c r="G148" s="7">
        <f t="shared" si="14"/>
        <v>0</v>
      </c>
      <c r="H148" s="7" t="str">
        <f t="shared" si="15"/>
        <v>0</v>
      </c>
      <c r="I148" s="7" t="str">
        <f t="shared" si="11"/>
        <v>0</v>
      </c>
      <c r="J148" s="8">
        <f t="shared" si="10"/>
        <v>0</v>
      </c>
      <c r="K148" s="8" t="str">
        <f t="shared" si="12"/>
        <v>0</v>
      </c>
      <c r="L148" s="8">
        <v>72563</v>
      </c>
      <c r="M148" s="8">
        <v>33929.269999999997</v>
      </c>
      <c r="N148" s="8">
        <v>33929.269999999997</v>
      </c>
      <c r="O148" s="8">
        <v>33929.269999999997</v>
      </c>
      <c r="P148" s="8">
        <v>33929.269999999997</v>
      </c>
      <c r="Q148" s="8">
        <v>33929.269999999997</v>
      </c>
      <c r="R148" s="8">
        <v>33929.269999999997</v>
      </c>
      <c r="S148" s="8">
        <v>33929.269999999997</v>
      </c>
      <c r="T148" s="8">
        <v>33929.269999999997</v>
      </c>
      <c r="U148" s="8">
        <v>33929.269999999997</v>
      </c>
      <c r="V148" s="8">
        <v>33929.269999999997</v>
      </c>
      <c r="W148" s="8">
        <v>0</v>
      </c>
      <c r="AJ148" s="8" t="str">
        <f>IFERROR(INDEX([1]SuSa_2024!BN:BN,MATCH($B148,[1]SuSa_2024!$B:$B,0)),"0")</f>
        <v>0</v>
      </c>
      <c r="AK148" s="8" t="str">
        <f>IFERROR(INDEX([1]SuSa_2024!BO:BO,MATCH($B148,[1]SuSa_2024!$B:$B,0)),"0")</f>
        <v>0</v>
      </c>
      <c r="AL148" s="8" t="str">
        <f>IFERROR(INDEX([1]SuSa_2024!BP:BP,MATCH($B148,[1]SuSa_2024!$B:$B,0)),"0")</f>
        <v>0</v>
      </c>
      <c r="AM148" s="8" t="str">
        <f>IFERROR(INDEX([1]SuSa_2024!BQ:BQ,MATCH($B148,[1]SuSa_2024!$B:$B,0)),"0")</f>
        <v>0</v>
      </c>
      <c r="AN148" s="8" t="str">
        <f>IFERROR(INDEX([1]SuSa_2024!BR:BR,MATCH($B148,[1]SuSa_2024!$B:$B,0)),"0")</f>
        <v>0</v>
      </c>
      <c r="AO148" s="8" t="str">
        <f>IFERROR(INDEX([1]SuSa_2024!BS:BS,MATCH($B148,[1]SuSa_2024!$B:$B,0)),"0")</f>
        <v>0</v>
      </c>
      <c r="AP148" s="8" t="str">
        <f>IFERROR(INDEX([1]SuSa_2024!BT:BT,MATCH($B148,[1]SuSa_2024!$B:$B,0)),"0")</f>
        <v>0</v>
      </c>
      <c r="AQ148" s="8" t="str">
        <f>IFERROR(INDEX([1]SuSa_2024!BU:BU,MATCH($B148,[1]SuSa_2024!$B:$B,0)),"0")</f>
        <v>0</v>
      </c>
      <c r="AR148" s="8" t="str">
        <f>IFERROR(INDEX([1]SuSa_2024!BV:BV,MATCH($B148,[1]SuSa_2024!$B:$B,0)),"0")</f>
        <v>0</v>
      </c>
      <c r="AS148" s="8" t="str">
        <f>IFERROR(INDEX([1]SuSa_2024!BW:BW,MATCH($B148,[1]SuSa_2024!$B:$B,0)),"0")</f>
        <v>0</v>
      </c>
      <c r="AT148" s="8" t="str">
        <f>IFERROR(INDEX([1]SuSa_2024!BX:BX,MATCH($B148,[1]SuSa_2024!$B:$B,0)),"0")</f>
        <v>0</v>
      </c>
      <c r="AU148" s="8" t="str">
        <f>IFERROR(INDEX([1]SuSa_2024!BY:BY,MATCH($B148,[1]SuSa_2024!$B:$B,0)),"0")</f>
        <v>0</v>
      </c>
      <c r="AV148" s="8" t="str">
        <f>IFERROR(INDEX([1]SuSa_2025!AR:AR,MATCH($B148,[1]SuSa_2025!$B:$B,0)),"0")</f>
        <v>0</v>
      </c>
      <c r="AW148" s="8" t="str">
        <f>IFERROR(INDEX([1]SuSa_2025!AS:AS,MATCH($B148,[1]SuSa_2025!$B:$B,0)),"0")</f>
        <v>0</v>
      </c>
      <c r="AX148" s="8" t="str">
        <f>IFERROR(INDEX([1]SuSa_2025!AT:AT,MATCH($B148,[1]SuSa_2025!$B:$B,0)),"0")</f>
        <v>0</v>
      </c>
      <c r="AY148" s="8" t="str">
        <f>IFERROR(INDEX([1]SuSa_2025!AU:AU,MATCH($B148,[1]SuSa_2025!$B:$B,0)),"0")</f>
        <v>0</v>
      </c>
      <c r="AZ148" s="8" t="str">
        <f>IFERROR(INDEX([1]SuSa_2025!AV:AV,MATCH($B148,[1]SuSa_2025!$B:$B,0)),"0")</f>
        <v>0</v>
      </c>
      <c r="BA148" s="8" t="str">
        <f>IFERROR(INDEX([1]SuSa_2025!AW:AW,MATCH($B148,[1]SuSa_2025!$B:$B,0)),"0")</f>
        <v>0</v>
      </c>
      <c r="BB148" s="8" t="str">
        <f>IFERROR(INDEX([1]SuSa_2025!AX:AX,MATCH($B148,[1]SuSa_2025!$B:$B,0)),"0")</f>
        <v>0</v>
      </c>
    </row>
    <row r="149" spans="1:54" outlineLevel="1" collapsed="1" x14ac:dyDescent="0.25">
      <c r="A149" s="5" t="s">
        <v>467</v>
      </c>
      <c r="B149" s="6" t="s">
        <v>480</v>
      </c>
      <c r="C149" t="s">
        <v>481</v>
      </c>
      <c r="F149" s="7">
        <f t="shared" si="13"/>
        <v>0</v>
      </c>
      <c r="G149" s="7">
        <f t="shared" si="14"/>
        <v>0</v>
      </c>
      <c r="H149" s="7" t="str">
        <f t="shared" si="15"/>
        <v>0</v>
      </c>
      <c r="I149" s="7" t="str">
        <f t="shared" si="11"/>
        <v>0</v>
      </c>
      <c r="J149" s="8">
        <f t="shared" si="10"/>
        <v>0</v>
      </c>
      <c r="K149" s="8" t="str">
        <f t="shared" si="12"/>
        <v>0</v>
      </c>
      <c r="L149" s="8">
        <v>45595</v>
      </c>
      <c r="M149" s="8">
        <v>45595</v>
      </c>
      <c r="N149" s="8">
        <v>45595</v>
      </c>
      <c r="O149" s="8">
        <v>45595</v>
      </c>
      <c r="P149" s="8">
        <v>45595</v>
      </c>
      <c r="Q149" s="8">
        <v>45595</v>
      </c>
      <c r="R149" s="8">
        <v>45595</v>
      </c>
      <c r="S149" s="8">
        <v>45595</v>
      </c>
      <c r="T149" s="8">
        <v>45595</v>
      </c>
      <c r="U149" s="8">
        <v>45595</v>
      </c>
      <c r="V149" s="8">
        <v>45595</v>
      </c>
      <c r="W149" s="8">
        <v>0</v>
      </c>
      <c r="AJ149" s="8" t="str">
        <f>IFERROR(INDEX([1]SuSa_2024!BN:BN,MATCH($B149,[1]SuSa_2024!$B:$B,0)),"0")</f>
        <v>0</v>
      </c>
      <c r="AK149" s="8" t="str">
        <f>IFERROR(INDEX([1]SuSa_2024!BO:BO,MATCH($B149,[1]SuSa_2024!$B:$B,0)),"0")</f>
        <v>0</v>
      </c>
      <c r="AL149" s="8" t="str">
        <f>IFERROR(INDEX([1]SuSa_2024!BP:BP,MATCH($B149,[1]SuSa_2024!$B:$B,0)),"0")</f>
        <v>0</v>
      </c>
      <c r="AM149" s="8" t="str">
        <f>IFERROR(INDEX([1]SuSa_2024!BQ:BQ,MATCH($B149,[1]SuSa_2024!$B:$B,0)),"0")</f>
        <v>0</v>
      </c>
      <c r="AN149" s="8" t="str">
        <f>IFERROR(INDEX([1]SuSa_2024!BR:BR,MATCH($B149,[1]SuSa_2024!$B:$B,0)),"0")</f>
        <v>0</v>
      </c>
      <c r="AO149" s="8" t="str">
        <f>IFERROR(INDEX([1]SuSa_2024!BS:BS,MATCH($B149,[1]SuSa_2024!$B:$B,0)),"0")</f>
        <v>0</v>
      </c>
      <c r="AP149" s="8" t="str">
        <f>IFERROR(INDEX([1]SuSa_2024!BT:BT,MATCH($B149,[1]SuSa_2024!$B:$B,0)),"0")</f>
        <v>0</v>
      </c>
      <c r="AQ149" s="8" t="str">
        <f>IFERROR(INDEX([1]SuSa_2024!BU:BU,MATCH($B149,[1]SuSa_2024!$B:$B,0)),"0")</f>
        <v>0</v>
      </c>
      <c r="AR149" s="8" t="str">
        <f>IFERROR(INDEX([1]SuSa_2024!BV:BV,MATCH($B149,[1]SuSa_2024!$B:$B,0)),"0")</f>
        <v>0</v>
      </c>
      <c r="AS149" s="8" t="str">
        <f>IFERROR(INDEX([1]SuSa_2024!BW:BW,MATCH($B149,[1]SuSa_2024!$B:$B,0)),"0")</f>
        <v>0</v>
      </c>
      <c r="AT149" s="8" t="str">
        <f>IFERROR(INDEX([1]SuSa_2024!BX:BX,MATCH($B149,[1]SuSa_2024!$B:$B,0)),"0")</f>
        <v>0</v>
      </c>
      <c r="AU149" s="8" t="str">
        <f>IFERROR(INDEX([1]SuSa_2024!BY:BY,MATCH($B149,[1]SuSa_2024!$B:$B,0)),"0")</f>
        <v>0</v>
      </c>
      <c r="AV149" s="8" t="str">
        <f>IFERROR(INDEX([1]SuSa_2025!AR:AR,MATCH($B149,[1]SuSa_2025!$B:$B,0)),"0")</f>
        <v>0</v>
      </c>
      <c r="AW149" s="8" t="str">
        <f>IFERROR(INDEX([1]SuSa_2025!AS:AS,MATCH($B149,[1]SuSa_2025!$B:$B,0)),"0")</f>
        <v>0</v>
      </c>
      <c r="AX149" s="8" t="str">
        <f>IFERROR(INDEX([1]SuSa_2025!AT:AT,MATCH($B149,[1]SuSa_2025!$B:$B,0)),"0")</f>
        <v>0</v>
      </c>
      <c r="AY149" s="8" t="str">
        <f>IFERROR(INDEX([1]SuSa_2025!AU:AU,MATCH($B149,[1]SuSa_2025!$B:$B,0)),"0")</f>
        <v>0</v>
      </c>
      <c r="AZ149" s="8" t="str">
        <f>IFERROR(INDEX([1]SuSa_2025!AV:AV,MATCH($B149,[1]SuSa_2025!$B:$B,0)),"0")</f>
        <v>0</v>
      </c>
      <c r="BA149" s="8" t="str">
        <f>IFERROR(INDEX([1]SuSa_2025!AW:AW,MATCH($B149,[1]SuSa_2025!$B:$B,0)),"0")</f>
        <v>0</v>
      </c>
      <c r="BB149" s="8" t="str">
        <f>IFERROR(INDEX([1]SuSa_2025!AX:AX,MATCH($B149,[1]SuSa_2025!$B:$B,0)),"0")</f>
        <v>0</v>
      </c>
    </row>
    <row r="150" spans="1:54" outlineLevel="1" collapsed="1" x14ac:dyDescent="0.25">
      <c r="A150" s="5" t="s">
        <v>467</v>
      </c>
      <c r="B150" s="6" t="s">
        <v>482</v>
      </c>
      <c r="C150" t="s">
        <v>483</v>
      </c>
      <c r="F150" s="7">
        <f t="shared" si="13"/>
        <v>0</v>
      </c>
      <c r="G150" s="7">
        <f t="shared" si="14"/>
        <v>0</v>
      </c>
      <c r="H150" s="7" t="str">
        <f t="shared" si="15"/>
        <v>0</v>
      </c>
      <c r="I150" s="7" t="str">
        <f t="shared" si="11"/>
        <v>0</v>
      </c>
      <c r="J150" s="8">
        <f t="shared" si="10"/>
        <v>0</v>
      </c>
      <c r="K150" s="8" t="str">
        <f t="shared" si="12"/>
        <v>0</v>
      </c>
      <c r="L150" s="8">
        <v>18995</v>
      </c>
      <c r="M150" s="8">
        <v>13995</v>
      </c>
      <c r="N150" s="8">
        <v>13995</v>
      </c>
      <c r="O150" s="8">
        <v>13995</v>
      </c>
      <c r="P150" s="8">
        <v>13995</v>
      </c>
      <c r="Q150" s="8">
        <v>13995</v>
      </c>
      <c r="R150" s="8">
        <v>13995</v>
      </c>
      <c r="S150" s="8">
        <v>13995</v>
      </c>
      <c r="T150" s="8">
        <v>13995</v>
      </c>
      <c r="U150" s="8">
        <v>13995</v>
      </c>
      <c r="V150" s="8">
        <v>13995</v>
      </c>
      <c r="W150" s="8">
        <v>0</v>
      </c>
      <c r="AJ150" s="8" t="str">
        <f>IFERROR(INDEX([1]SuSa_2024!BN:BN,MATCH($B150,[1]SuSa_2024!$B:$B,0)),"0")</f>
        <v>0</v>
      </c>
      <c r="AK150" s="8" t="str">
        <f>IFERROR(INDEX([1]SuSa_2024!BO:BO,MATCH($B150,[1]SuSa_2024!$B:$B,0)),"0")</f>
        <v>0</v>
      </c>
      <c r="AL150" s="8" t="str">
        <f>IFERROR(INDEX([1]SuSa_2024!BP:BP,MATCH($B150,[1]SuSa_2024!$B:$B,0)),"0")</f>
        <v>0</v>
      </c>
      <c r="AM150" s="8" t="str">
        <f>IFERROR(INDEX([1]SuSa_2024!BQ:BQ,MATCH($B150,[1]SuSa_2024!$B:$B,0)),"0")</f>
        <v>0</v>
      </c>
      <c r="AN150" s="8" t="str">
        <f>IFERROR(INDEX([1]SuSa_2024!BR:BR,MATCH($B150,[1]SuSa_2024!$B:$B,0)),"0")</f>
        <v>0</v>
      </c>
      <c r="AO150" s="8" t="str">
        <f>IFERROR(INDEX([1]SuSa_2024!BS:BS,MATCH($B150,[1]SuSa_2024!$B:$B,0)),"0")</f>
        <v>0</v>
      </c>
      <c r="AP150" s="8" t="str">
        <f>IFERROR(INDEX([1]SuSa_2024!BT:BT,MATCH($B150,[1]SuSa_2024!$B:$B,0)),"0")</f>
        <v>0</v>
      </c>
      <c r="AQ150" s="8" t="str">
        <f>IFERROR(INDEX([1]SuSa_2024!BU:BU,MATCH($B150,[1]SuSa_2024!$B:$B,0)),"0")</f>
        <v>0</v>
      </c>
      <c r="AR150" s="8" t="str">
        <f>IFERROR(INDEX([1]SuSa_2024!BV:BV,MATCH($B150,[1]SuSa_2024!$B:$B,0)),"0")</f>
        <v>0</v>
      </c>
      <c r="AS150" s="8" t="str">
        <f>IFERROR(INDEX([1]SuSa_2024!BW:BW,MATCH($B150,[1]SuSa_2024!$B:$B,0)),"0")</f>
        <v>0</v>
      </c>
      <c r="AT150" s="8" t="str">
        <f>IFERROR(INDEX([1]SuSa_2024!BX:BX,MATCH($B150,[1]SuSa_2024!$B:$B,0)),"0")</f>
        <v>0</v>
      </c>
      <c r="AU150" s="8" t="str">
        <f>IFERROR(INDEX([1]SuSa_2024!BY:BY,MATCH($B150,[1]SuSa_2024!$B:$B,0)),"0")</f>
        <v>0</v>
      </c>
      <c r="AV150" s="8" t="str">
        <f>IFERROR(INDEX([1]SuSa_2025!AR:AR,MATCH($B150,[1]SuSa_2025!$B:$B,0)),"0")</f>
        <v>0</v>
      </c>
      <c r="AW150" s="8" t="str">
        <f>IFERROR(INDEX([1]SuSa_2025!AS:AS,MATCH($B150,[1]SuSa_2025!$B:$B,0)),"0")</f>
        <v>0</v>
      </c>
      <c r="AX150" s="8" t="str">
        <f>IFERROR(INDEX([1]SuSa_2025!AT:AT,MATCH($B150,[1]SuSa_2025!$B:$B,0)),"0")</f>
        <v>0</v>
      </c>
      <c r="AY150" s="8" t="str">
        <f>IFERROR(INDEX([1]SuSa_2025!AU:AU,MATCH($B150,[1]SuSa_2025!$B:$B,0)),"0")</f>
        <v>0</v>
      </c>
      <c r="AZ150" s="8" t="str">
        <f>IFERROR(INDEX([1]SuSa_2025!AV:AV,MATCH($B150,[1]SuSa_2025!$B:$B,0)),"0")</f>
        <v>0</v>
      </c>
      <c r="BA150" s="8" t="str">
        <f>IFERROR(INDEX([1]SuSa_2025!AW:AW,MATCH($B150,[1]SuSa_2025!$B:$B,0)),"0")</f>
        <v>0</v>
      </c>
      <c r="BB150" s="8" t="str">
        <f>IFERROR(INDEX([1]SuSa_2025!AX:AX,MATCH($B150,[1]SuSa_2025!$B:$B,0)),"0")</f>
        <v>0</v>
      </c>
    </row>
    <row r="151" spans="1:54" outlineLevel="1" collapsed="1" x14ac:dyDescent="0.25">
      <c r="A151" s="5" t="s">
        <v>484</v>
      </c>
      <c r="B151" s="6" t="s">
        <v>485</v>
      </c>
      <c r="C151" t="s">
        <v>486</v>
      </c>
      <c r="F151" s="7">
        <f t="shared" si="13"/>
        <v>0</v>
      </c>
      <c r="G151" s="7">
        <f t="shared" si="14"/>
        <v>0</v>
      </c>
      <c r="H151" s="7" t="str">
        <f t="shared" si="15"/>
        <v>0</v>
      </c>
      <c r="I151" s="7" t="str">
        <f t="shared" si="11"/>
        <v>0</v>
      </c>
      <c r="J151" s="8">
        <f t="shared" si="10"/>
        <v>0</v>
      </c>
      <c r="K151" s="8" t="str">
        <f t="shared" si="12"/>
        <v>0</v>
      </c>
      <c r="L151" s="8">
        <v>5965</v>
      </c>
      <c r="M151" s="8">
        <v>5965</v>
      </c>
      <c r="N151" s="8">
        <v>8207</v>
      </c>
      <c r="O151" s="8">
        <v>10199</v>
      </c>
      <c r="P151" s="8">
        <v>12119</v>
      </c>
      <c r="Q151" s="8">
        <v>14423</v>
      </c>
      <c r="R151" s="8">
        <v>16199</v>
      </c>
      <c r="S151" s="8">
        <v>16199</v>
      </c>
      <c r="T151" s="8">
        <v>16199</v>
      </c>
      <c r="U151" s="8">
        <v>16199</v>
      </c>
      <c r="V151" s="8">
        <v>16199</v>
      </c>
      <c r="W151" s="8">
        <v>0</v>
      </c>
      <c r="AJ151" s="8" t="str">
        <f>IFERROR(INDEX([1]SuSa_2024!BN:BN,MATCH($B151,[1]SuSa_2024!$B:$B,0)),"0")</f>
        <v>0</v>
      </c>
      <c r="AK151" s="8" t="str">
        <f>IFERROR(INDEX([1]SuSa_2024!BO:BO,MATCH($B151,[1]SuSa_2024!$B:$B,0)),"0")</f>
        <v>0</v>
      </c>
      <c r="AL151" s="8" t="str">
        <f>IFERROR(INDEX([1]SuSa_2024!BP:BP,MATCH($B151,[1]SuSa_2024!$B:$B,0)),"0")</f>
        <v>0</v>
      </c>
      <c r="AM151" s="8" t="str">
        <f>IFERROR(INDEX([1]SuSa_2024!BQ:BQ,MATCH($B151,[1]SuSa_2024!$B:$B,0)),"0")</f>
        <v>0</v>
      </c>
      <c r="AN151" s="8" t="str">
        <f>IFERROR(INDEX([1]SuSa_2024!BR:BR,MATCH($B151,[1]SuSa_2024!$B:$B,0)),"0")</f>
        <v>0</v>
      </c>
      <c r="AO151" s="8" t="str">
        <f>IFERROR(INDEX([1]SuSa_2024!BS:BS,MATCH($B151,[1]SuSa_2024!$B:$B,0)),"0")</f>
        <v>0</v>
      </c>
      <c r="AP151" s="8" t="str">
        <f>IFERROR(INDEX([1]SuSa_2024!BT:BT,MATCH($B151,[1]SuSa_2024!$B:$B,0)),"0")</f>
        <v>0</v>
      </c>
      <c r="AQ151" s="8" t="str">
        <f>IFERROR(INDEX([1]SuSa_2024!BU:BU,MATCH($B151,[1]SuSa_2024!$B:$B,0)),"0")</f>
        <v>0</v>
      </c>
      <c r="AR151" s="8" t="str">
        <f>IFERROR(INDEX([1]SuSa_2024!BV:BV,MATCH($B151,[1]SuSa_2024!$B:$B,0)),"0")</f>
        <v>0</v>
      </c>
      <c r="AS151" s="8" t="str">
        <f>IFERROR(INDEX([1]SuSa_2024!BW:BW,MATCH($B151,[1]SuSa_2024!$B:$B,0)),"0")</f>
        <v>0</v>
      </c>
      <c r="AT151" s="8" t="str">
        <f>IFERROR(INDEX([1]SuSa_2024!BX:BX,MATCH($B151,[1]SuSa_2024!$B:$B,0)),"0")</f>
        <v>0</v>
      </c>
      <c r="AU151" s="8" t="str">
        <f>IFERROR(INDEX([1]SuSa_2024!BY:BY,MATCH($B151,[1]SuSa_2024!$B:$B,0)),"0")</f>
        <v>0</v>
      </c>
      <c r="AV151" s="8" t="str">
        <f>IFERROR(INDEX([1]SuSa_2025!AR:AR,MATCH($B151,[1]SuSa_2025!$B:$B,0)),"0")</f>
        <v>0</v>
      </c>
      <c r="AW151" s="8" t="str">
        <f>IFERROR(INDEX([1]SuSa_2025!AS:AS,MATCH($B151,[1]SuSa_2025!$B:$B,0)),"0")</f>
        <v>0</v>
      </c>
      <c r="AX151" s="8" t="str">
        <f>IFERROR(INDEX([1]SuSa_2025!AT:AT,MATCH($B151,[1]SuSa_2025!$B:$B,0)),"0")</f>
        <v>0</v>
      </c>
      <c r="AY151" s="8" t="str">
        <f>IFERROR(INDEX([1]SuSa_2025!AU:AU,MATCH($B151,[1]SuSa_2025!$B:$B,0)),"0")</f>
        <v>0</v>
      </c>
      <c r="AZ151" s="8" t="str">
        <f>IFERROR(INDEX([1]SuSa_2025!AV:AV,MATCH($B151,[1]SuSa_2025!$B:$B,0)),"0")</f>
        <v>0</v>
      </c>
      <c r="BA151" s="8" t="str">
        <f>IFERROR(INDEX([1]SuSa_2025!AW:AW,MATCH($B151,[1]SuSa_2025!$B:$B,0)),"0")</f>
        <v>0</v>
      </c>
      <c r="BB151" s="8" t="str">
        <f>IFERROR(INDEX([1]SuSa_2025!AX:AX,MATCH($B151,[1]SuSa_2025!$B:$B,0)),"0")</f>
        <v>0</v>
      </c>
    </row>
    <row r="152" spans="1:54" outlineLevel="1" collapsed="1" x14ac:dyDescent="0.25">
      <c r="A152" s="5" t="s">
        <v>484</v>
      </c>
      <c r="B152" s="6" t="s">
        <v>478</v>
      </c>
      <c r="C152" t="s">
        <v>479</v>
      </c>
      <c r="F152" s="7">
        <f t="shared" si="13"/>
        <v>0</v>
      </c>
      <c r="G152" s="7">
        <f t="shared" si="14"/>
        <v>0</v>
      </c>
      <c r="H152" s="7" t="str">
        <f t="shared" si="15"/>
        <v>0</v>
      </c>
      <c r="I152" s="7" t="str">
        <f t="shared" si="11"/>
        <v>0</v>
      </c>
      <c r="J152" s="8">
        <f t="shared" si="10"/>
        <v>0</v>
      </c>
      <c r="K152" s="8" t="str">
        <f t="shared" si="12"/>
        <v>0</v>
      </c>
      <c r="L152" s="8">
        <v>1056</v>
      </c>
      <c r="M152" s="8">
        <v>1056</v>
      </c>
      <c r="N152" s="8">
        <v>1056</v>
      </c>
      <c r="O152" s="8">
        <v>1056</v>
      </c>
      <c r="P152" s="8">
        <v>1056</v>
      </c>
      <c r="Q152" s="8">
        <v>1056</v>
      </c>
      <c r="R152" s="8">
        <v>1056</v>
      </c>
      <c r="S152" s="8">
        <v>1056</v>
      </c>
      <c r="T152" s="8">
        <v>1056</v>
      </c>
      <c r="U152" s="8">
        <v>1056</v>
      </c>
      <c r="V152" s="8">
        <v>1056</v>
      </c>
      <c r="W152" s="8">
        <v>0</v>
      </c>
      <c r="AJ152" s="8" t="str">
        <f>IFERROR(INDEX([1]SuSa_2024!BN:BN,MATCH($B152,[1]SuSa_2024!$B:$B,0)),"0")</f>
        <v>0</v>
      </c>
      <c r="AK152" s="8" t="str">
        <f>IFERROR(INDEX([1]SuSa_2024!BO:BO,MATCH($B152,[1]SuSa_2024!$B:$B,0)),"0")</f>
        <v>0</v>
      </c>
      <c r="AL152" s="8" t="str">
        <f>IFERROR(INDEX([1]SuSa_2024!BP:BP,MATCH($B152,[1]SuSa_2024!$B:$B,0)),"0")</f>
        <v>0</v>
      </c>
      <c r="AM152" s="8" t="str">
        <f>IFERROR(INDEX([1]SuSa_2024!BQ:BQ,MATCH($B152,[1]SuSa_2024!$B:$B,0)),"0")</f>
        <v>0</v>
      </c>
      <c r="AN152" s="8" t="str">
        <f>IFERROR(INDEX([1]SuSa_2024!BR:BR,MATCH($B152,[1]SuSa_2024!$B:$B,0)),"0")</f>
        <v>0</v>
      </c>
      <c r="AO152" s="8" t="str">
        <f>IFERROR(INDEX([1]SuSa_2024!BS:BS,MATCH($B152,[1]SuSa_2024!$B:$B,0)),"0")</f>
        <v>0</v>
      </c>
      <c r="AP152" s="8" t="str">
        <f>IFERROR(INDEX([1]SuSa_2024!BT:BT,MATCH($B152,[1]SuSa_2024!$B:$B,0)),"0")</f>
        <v>0</v>
      </c>
      <c r="AQ152" s="8" t="str">
        <f>IFERROR(INDEX([1]SuSa_2024!BU:BU,MATCH($B152,[1]SuSa_2024!$B:$B,0)),"0")</f>
        <v>0</v>
      </c>
      <c r="AR152" s="8" t="str">
        <f>IFERROR(INDEX([1]SuSa_2024!BV:BV,MATCH($B152,[1]SuSa_2024!$B:$B,0)),"0")</f>
        <v>0</v>
      </c>
      <c r="AS152" s="8" t="str">
        <f>IFERROR(INDEX([1]SuSa_2024!BW:BW,MATCH($B152,[1]SuSa_2024!$B:$B,0)),"0")</f>
        <v>0</v>
      </c>
      <c r="AT152" s="8" t="str">
        <f>IFERROR(INDEX([1]SuSa_2024!BX:BX,MATCH($B152,[1]SuSa_2024!$B:$B,0)),"0")</f>
        <v>0</v>
      </c>
      <c r="AU152" s="8" t="str">
        <f>IFERROR(INDEX([1]SuSa_2024!BY:BY,MATCH($B152,[1]SuSa_2024!$B:$B,0)),"0")</f>
        <v>0</v>
      </c>
      <c r="AV152" s="8" t="str">
        <f>IFERROR(INDEX([1]SuSa_2025!AR:AR,MATCH($B152,[1]SuSa_2025!$B:$B,0)),"0")</f>
        <v>0</v>
      </c>
      <c r="AW152" s="8" t="str">
        <f>IFERROR(INDEX([1]SuSa_2025!AS:AS,MATCH($B152,[1]SuSa_2025!$B:$B,0)),"0")</f>
        <v>0</v>
      </c>
      <c r="AX152" s="8" t="str">
        <f>IFERROR(INDEX([1]SuSa_2025!AT:AT,MATCH($B152,[1]SuSa_2025!$B:$B,0)),"0")</f>
        <v>0</v>
      </c>
      <c r="AY152" s="8" t="str">
        <f>IFERROR(INDEX([1]SuSa_2025!AU:AU,MATCH($B152,[1]SuSa_2025!$B:$B,0)),"0")</f>
        <v>0</v>
      </c>
      <c r="AZ152" s="8" t="str">
        <f>IFERROR(INDEX([1]SuSa_2025!AV:AV,MATCH($B152,[1]SuSa_2025!$B:$B,0)),"0")</f>
        <v>0</v>
      </c>
      <c r="BA152" s="8" t="str">
        <f>IFERROR(INDEX([1]SuSa_2025!AW:AW,MATCH($B152,[1]SuSa_2025!$B:$B,0)),"0")</f>
        <v>0</v>
      </c>
      <c r="BB152" s="8" t="str">
        <f>IFERROR(INDEX([1]SuSa_2025!AX:AX,MATCH($B152,[1]SuSa_2025!$B:$B,0)),"0")</f>
        <v>0</v>
      </c>
    </row>
    <row r="153" spans="1:54" outlineLevel="1" collapsed="1" x14ac:dyDescent="0.25">
      <c r="A153" s="5" t="s">
        <v>484</v>
      </c>
      <c r="B153" s="6" t="s">
        <v>487</v>
      </c>
      <c r="C153" t="s">
        <v>488</v>
      </c>
      <c r="F153" s="7">
        <f t="shared" si="13"/>
        <v>0</v>
      </c>
      <c r="G153" s="7">
        <f t="shared" si="14"/>
        <v>0</v>
      </c>
      <c r="H153" s="7" t="str">
        <f t="shared" si="15"/>
        <v>0</v>
      </c>
      <c r="I153" s="7" t="str">
        <f t="shared" si="11"/>
        <v>0</v>
      </c>
      <c r="J153" s="8">
        <f t="shared" si="10"/>
        <v>0</v>
      </c>
      <c r="K153" s="8" t="str">
        <f t="shared" si="12"/>
        <v>0</v>
      </c>
      <c r="N153" s="8">
        <v>5663</v>
      </c>
      <c r="O153" s="8">
        <v>13100</v>
      </c>
      <c r="P153" s="8">
        <v>18460</v>
      </c>
      <c r="Q153" s="8">
        <v>24376</v>
      </c>
      <c r="R153" s="8">
        <v>30284</v>
      </c>
      <c r="S153" s="8">
        <v>30284</v>
      </c>
      <c r="T153" s="8">
        <v>30284</v>
      </c>
      <c r="U153" s="8">
        <v>30284</v>
      </c>
      <c r="V153" s="8">
        <v>30284</v>
      </c>
      <c r="W153" s="8">
        <v>0</v>
      </c>
      <c r="AJ153" s="8" t="str">
        <f>IFERROR(INDEX([1]SuSa_2024!BN:BN,MATCH($B153,[1]SuSa_2024!$B:$B,0)),"0")</f>
        <v>0</v>
      </c>
      <c r="AK153" s="8" t="str">
        <f>IFERROR(INDEX([1]SuSa_2024!BO:BO,MATCH($B153,[1]SuSa_2024!$B:$B,0)),"0")</f>
        <v>0</v>
      </c>
      <c r="AL153" s="8" t="str">
        <f>IFERROR(INDEX([1]SuSa_2024!BP:BP,MATCH($B153,[1]SuSa_2024!$B:$B,0)),"0")</f>
        <v>0</v>
      </c>
      <c r="AM153" s="8" t="str">
        <f>IFERROR(INDEX([1]SuSa_2024!BQ:BQ,MATCH($B153,[1]SuSa_2024!$B:$B,0)),"0")</f>
        <v>0</v>
      </c>
      <c r="AN153" s="8" t="str">
        <f>IFERROR(INDEX([1]SuSa_2024!BR:BR,MATCH($B153,[1]SuSa_2024!$B:$B,0)),"0")</f>
        <v>0</v>
      </c>
      <c r="AO153" s="8" t="str">
        <f>IFERROR(INDEX([1]SuSa_2024!BS:BS,MATCH($B153,[1]SuSa_2024!$B:$B,0)),"0")</f>
        <v>0</v>
      </c>
      <c r="AP153" s="8" t="str">
        <f>IFERROR(INDEX([1]SuSa_2024!BT:BT,MATCH($B153,[1]SuSa_2024!$B:$B,0)),"0")</f>
        <v>0</v>
      </c>
      <c r="AQ153" s="8" t="str">
        <f>IFERROR(INDEX([1]SuSa_2024!BU:BU,MATCH($B153,[1]SuSa_2024!$B:$B,0)),"0")</f>
        <v>0</v>
      </c>
      <c r="AR153" s="8" t="str">
        <f>IFERROR(INDEX([1]SuSa_2024!BV:BV,MATCH($B153,[1]SuSa_2024!$B:$B,0)),"0")</f>
        <v>0</v>
      </c>
      <c r="AS153" s="8" t="str">
        <f>IFERROR(INDEX([1]SuSa_2024!BW:BW,MATCH($B153,[1]SuSa_2024!$B:$B,0)),"0")</f>
        <v>0</v>
      </c>
      <c r="AT153" s="8" t="str">
        <f>IFERROR(INDEX([1]SuSa_2024!BX:BX,MATCH($B153,[1]SuSa_2024!$B:$B,0)),"0")</f>
        <v>0</v>
      </c>
      <c r="AU153" s="8" t="str">
        <f>IFERROR(INDEX([1]SuSa_2024!BY:BY,MATCH($B153,[1]SuSa_2024!$B:$B,0)),"0")</f>
        <v>0</v>
      </c>
      <c r="AV153" s="8" t="str">
        <f>IFERROR(INDEX([1]SuSa_2025!AR:AR,MATCH($B153,[1]SuSa_2025!$B:$B,0)),"0")</f>
        <v>0</v>
      </c>
      <c r="AW153" s="8" t="str">
        <f>IFERROR(INDEX([1]SuSa_2025!AS:AS,MATCH($B153,[1]SuSa_2025!$B:$B,0)),"0")</f>
        <v>0</v>
      </c>
      <c r="AX153" s="8" t="str">
        <f>IFERROR(INDEX([1]SuSa_2025!AT:AT,MATCH($B153,[1]SuSa_2025!$B:$B,0)),"0")</f>
        <v>0</v>
      </c>
      <c r="AY153" s="8" t="str">
        <f>IFERROR(INDEX([1]SuSa_2025!AU:AU,MATCH($B153,[1]SuSa_2025!$B:$B,0)),"0")</f>
        <v>0</v>
      </c>
      <c r="AZ153" s="8" t="str">
        <f>IFERROR(INDEX([1]SuSa_2025!AV:AV,MATCH($B153,[1]SuSa_2025!$B:$B,0)),"0")</f>
        <v>0</v>
      </c>
      <c r="BA153" s="8" t="str">
        <f>IFERROR(INDEX([1]SuSa_2025!AW:AW,MATCH($B153,[1]SuSa_2025!$B:$B,0)),"0")</f>
        <v>0</v>
      </c>
      <c r="BB153" s="8" t="str">
        <f>IFERROR(INDEX([1]SuSa_2025!AX:AX,MATCH($B153,[1]SuSa_2025!$B:$B,0)),"0")</f>
        <v>0</v>
      </c>
    </row>
    <row r="154" spans="1:54" outlineLevel="1" collapsed="1" x14ac:dyDescent="0.25">
      <c r="A154" s="5" t="s">
        <v>484</v>
      </c>
      <c r="B154" s="6" t="s">
        <v>489</v>
      </c>
      <c r="C154" t="s">
        <v>490</v>
      </c>
      <c r="F154" s="7">
        <f t="shared" si="13"/>
        <v>0</v>
      </c>
      <c r="G154" s="7">
        <f t="shared" si="14"/>
        <v>0</v>
      </c>
      <c r="H154" s="7" t="str">
        <f t="shared" si="15"/>
        <v>0</v>
      </c>
      <c r="I154" s="7" t="str">
        <f t="shared" si="11"/>
        <v>0</v>
      </c>
      <c r="J154" s="8">
        <f t="shared" si="10"/>
        <v>0</v>
      </c>
      <c r="K154" s="8" t="str">
        <f t="shared" si="12"/>
        <v>0</v>
      </c>
      <c r="N154" s="8">
        <v>960</v>
      </c>
      <c r="O154" s="8">
        <v>1968</v>
      </c>
      <c r="P154" s="8">
        <v>2928</v>
      </c>
      <c r="Q154" s="8">
        <v>3984</v>
      </c>
      <c r="R154" s="8">
        <v>5088</v>
      </c>
      <c r="S154" s="8">
        <v>5088</v>
      </c>
      <c r="T154" s="8">
        <v>5088</v>
      </c>
      <c r="U154" s="8">
        <v>5088</v>
      </c>
      <c r="V154" s="8">
        <v>5088</v>
      </c>
      <c r="W154" s="8">
        <v>0</v>
      </c>
      <c r="AJ154" s="8" t="str">
        <f>IFERROR(INDEX([1]SuSa_2024!BN:BN,MATCH($B154,[1]SuSa_2024!$B:$B,0)),"0")</f>
        <v>0</v>
      </c>
      <c r="AK154" s="8" t="str">
        <f>IFERROR(INDEX([1]SuSa_2024!BO:BO,MATCH($B154,[1]SuSa_2024!$B:$B,0)),"0")</f>
        <v>0</v>
      </c>
      <c r="AL154" s="8" t="str">
        <f>IFERROR(INDEX([1]SuSa_2024!BP:BP,MATCH($B154,[1]SuSa_2024!$B:$B,0)),"0")</f>
        <v>0</v>
      </c>
      <c r="AM154" s="8" t="str">
        <f>IFERROR(INDEX([1]SuSa_2024!BQ:BQ,MATCH($B154,[1]SuSa_2024!$B:$B,0)),"0")</f>
        <v>0</v>
      </c>
      <c r="AN154" s="8" t="str">
        <f>IFERROR(INDEX([1]SuSa_2024!BR:BR,MATCH($B154,[1]SuSa_2024!$B:$B,0)),"0")</f>
        <v>0</v>
      </c>
      <c r="AO154" s="8" t="str">
        <f>IFERROR(INDEX([1]SuSa_2024!BS:BS,MATCH($B154,[1]SuSa_2024!$B:$B,0)),"0")</f>
        <v>0</v>
      </c>
      <c r="AP154" s="8" t="str">
        <f>IFERROR(INDEX([1]SuSa_2024!BT:BT,MATCH($B154,[1]SuSa_2024!$B:$B,0)),"0")</f>
        <v>0</v>
      </c>
      <c r="AQ154" s="8" t="str">
        <f>IFERROR(INDEX([1]SuSa_2024!BU:BU,MATCH($B154,[1]SuSa_2024!$B:$B,0)),"0")</f>
        <v>0</v>
      </c>
      <c r="AR154" s="8" t="str">
        <f>IFERROR(INDEX([1]SuSa_2024!BV:BV,MATCH($B154,[1]SuSa_2024!$B:$B,0)),"0")</f>
        <v>0</v>
      </c>
      <c r="AS154" s="8" t="str">
        <f>IFERROR(INDEX([1]SuSa_2024!BW:BW,MATCH($B154,[1]SuSa_2024!$B:$B,0)),"0")</f>
        <v>0</v>
      </c>
      <c r="AT154" s="8" t="str">
        <f>IFERROR(INDEX([1]SuSa_2024!BX:BX,MATCH($B154,[1]SuSa_2024!$B:$B,0)),"0")</f>
        <v>0</v>
      </c>
      <c r="AU154" s="8" t="str">
        <f>IFERROR(INDEX([1]SuSa_2024!BY:BY,MATCH($B154,[1]SuSa_2024!$B:$B,0)),"0")</f>
        <v>0</v>
      </c>
      <c r="AV154" s="8" t="str">
        <f>IFERROR(INDEX([1]SuSa_2025!AR:AR,MATCH($B154,[1]SuSa_2025!$B:$B,0)),"0")</f>
        <v>0</v>
      </c>
      <c r="AW154" s="8" t="str">
        <f>IFERROR(INDEX([1]SuSa_2025!AS:AS,MATCH($B154,[1]SuSa_2025!$B:$B,0)),"0")</f>
        <v>0</v>
      </c>
      <c r="AX154" s="8" t="str">
        <f>IFERROR(INDEX([1]SuSa_2025!AT:AT,MATCH($B154,[1]SuSa_2025!$B:$B,0)),"0")</f>
        <v>0</v>
      </c>
      <c r="AY154" s="8" t="str">
        <f>IFERROR(INDEX([1]SuSa_2025!AU:AU,MATCH($B154,[1]SuSa_2025!$B:$B,0)),"0")</f>
        <v>0</v>
      </c>
      <c r="AZ154" s="8" t="str">
        <f>IFERROR(INDEX([1]SuSa_2025!AV:AV,MATCH($B154,[1]SuSa_2025!$B:$B,0)),"0")</f>
        <v>0</v>
      </c>
      <c r="BA154" s="8" t="str">
        <f>IFERROR(INDEX([1]SuSa_2025!AW:AW,MATCH($B154,[1]SuSa_2025!$B:$B,0)),"0")</f>
        <v>0</v>
      </c>
      <c r="BB154" s="8" t="str">
        <f>IFERROR(INDEX([1]SuSa_2025!AX:AX,MATCH($B154,[1]SuSa_2025!$B:$B,0)),"0")</f>
        <v>0</v>
      </c>
    </row>
    <row r="155" spans="1:54" outlineLevel="1" collapsed="1" x14ac:dyDescent="0.25">
      <c r="A155" s="5" t="s">
        <v>484</v>
      </c>
      <c r="B155" s="6" t="s">
        <v>491</v>
      </c>
      <c r="C155" t="s">
        <v>492</v>
      </c>
      <c r="F155" s="7">
        <f t="shared" si="13"/>
        <v>0</v>
      </c>
      <c r="G155" s="7">
        <f t="shared" si="14"/>
        <v>0</v>
      </c>
      <c r="H155" s="7" t="str">
        <f t="shared" si="15"/>
        <v>0</v>
      </c>
      <c r="I155" s="7" t="str">
        <f t="shared" si="11"/>
        <v>0</v>
      </c>
      <c r="J155" s="8">
        <f t="shared" si="10"/>
        <v>0</v>
      </c>
      <c r="K155" s="8" t="str">
        <f t="shared" si="12"/>
        <v>0</v>
      </c>
      <c r="N155" s="8">
        <v>2080</v>
      </c>
      <c r="O155" s="8">
        <v>3848</v>
      </c>
      <c r="P155" s="8">
        <v>4368</v>
      </c>
      <c r="Q155" s="8">
        <v>4368</v>
      </c>
      <c r="R155" s="8">
        <v>4888</v>
      </c>
      <c r="S155" s="8">
        <v>4888</v>
      </c>
      <c r="T155" s="8">
        <v>4888</v>
      </c>
      <c r="U155" s="8">
        <v>4888</v>
      </c>
      <c r="V155" s="8">
        <v>4888</v>
      </c>
      <c r="W155" s="8">
        <v>0</v>
      </c>
      <c r="AJ155" s="8" t="str">
        <f>IFERROR(INDEX([1]SuSa_2024!BN:BN,MATCH($B155,[1]SuSa_2024!$B:$B,0)),"0")</f>
        <v>0</v>
      </c>
      <c r="AK155" s="8" t="str">
        <f>IFERROR(INDEX([1]SuSa_2024!BO:BO,MATCH($B155,[1]SuSa_2024!$B:$B,0)),"0")</f>
        <v>0</v>
      </c>
      <c r="AL155" s="8" t="str">
        <f>IFERROR(INDEX([1]SuSa_2024!BP:BP,MATCH($B155,[1]SuSa_2024!$B:$B,0)),"0")</f>
        <v>0</v>
      </c>
      <c r="AM155" s="8" t="str">
        <f>IFERROR(INDEX([1]SuSa_2024!BQ:BQ,MATCH($B155,[1]SuSa_2024!$B:$B,0)),"0")</f>
        <v>0</v>
      </c>
      <c r="AN155" s="8" t="str">
        <f>IFERROR(INDEX([1]SuSa_2024!BR:BR,MATCH($B155,[1]SuSa_2024!$B:$B,0)),"0")</f>
        <v>0</v>
      </c>
      <c r="AO155" s="8" t="str">
        <f>IFERROR(INDEX([1]SuSa_2024!BS:BS,MATCH($B155,[1]SuSa_2024!$B:$B,0)),"0")</f>
        <v>0</v>
      </c>
      <c r="AP155" s="8" t="str">
        <f>IFERROR(INDEX([1]SuSa_2024!BT:BT,MATCH($B155,[1]SuSa_2024!$B:$B,0)),"0")</f>
        <v>0</v>
      </c>
      <c r="AQ155" s="8" t="str">
        <f>IFERROR(INDEX([1]SuSa_2024!BU:BU,MATCH($B155,[1]SuSa_2024!$B:$B,0)),"0")</f>
        <v>0</v>
      </c>
      <c r="AR155" s="8" t="str">
        <f>IFERROR(INDEX([1]SuSa_2024!BV:BV,MATCH($B155,[1]SuSa_2024!$B:$B,0)),"0")</f>
        <v>0</v>
      </c>
      <c r="AS155" s="8" t="str">
        <f>IFERROR(INDEX([1]SuSa_2024!BW:BW,MATCH($B155,[1]SuSa_2024!$B:$B,0)),"0")</f>
        <v>0</v>
      </c>
      <c r="AT155" s="8" t="str">
        <f>IFERROR(INDEX([1]SuSa_2024!BX:BX,MATCH($B155,[1]SuSa_2024!$B:$B,0)),"0")</f>
        <v>0</v>
      </c>
      <c r="AU155" s="8" t="str">
        <f>IFERROR(INDEX([1]SuSa_2024!BY:BY,MATCH($B155,[1]SuSa_2024!$B:$B,0)),"0")</f>
        <v>0</v>
      </c>
      <c r="AV155" s="8" t="str">
        <f>IFERROR(INDEX([1]SuSa_2025!AR:AR,MATCH($B155,[1]SuSa_2025!$B:$B,0)),"0")</f>
        <v>0</v>
      </c>
      <c r="AW155" s="8" t="str">
        <f>IFERROR(INDEX([1]SuSa_2025!AS:AS,MATCH($B155,[1]SuSa_2025!$B:$B,0)),"0")</f>
        <v>0</v>
      </c>
      <c r="AX155" s="8" t="str">
        <f>IFERROR(INDEX([1]SuSa_2025!AT:AT,MATCH($B155,[1]SuSa_2025!$B:$B,0)),"0")</f>
        <v>0</v>
      </c>
      <c r="AY155" s="8" t="str">
        <f>IFERROR(INDEX([1]SuSa_2025!AU:AU,MATCH($B155,[1]SuSa_2025!$B:$B,0)),"0")</f>
        <v>0</v>
      </c>
      <c r="AZ155" s="8" t="str">
        <f>IFERROR(INDEX([1]SuSa_2025!AV:AV,MATCH($B155,[1]SuSa_2025!$B:$B,0)),"0")</f>
        <v>0</v>
      </c>
      <c r="BA155" s="8" t="str">
        <f>IFERROR(INDEX([1]SuSa_2025!AW:AW,MATCH($B155,[1]SuSa_2025!$B:$B,0)),"0")</f>
        <v>0</v>
      </c>
      <c r="BB155" s="8" t="str">
        <f>IFERROR(INDEX([1]SuSa_2025!AX:AX,MATCH($B155,[1]SuSa_2025!$B:$B,0)),"0")</f>
        <v>0</v>
      </c>
    </row>
    <row r="156" spans="1:54" outlineLevel="1" collapsed="1" x14ac:dyDescent="0.25">
      <c r="A156" s="5" t="s">
        <v>493</v>
      </c>
      <c r="B156" s="6" t="s">
        <v>494</v>
      </c>
      <c r="C156" t="s">
        <v>495</v>
      </c>
      <c r="F156" s="7">
        <f t="shared" si="13"/>
        <v>0</v>
      </c>
      <c r="G156" s="7">
        <f t="shared" si="14"/>
        <v>0</v>
      </c>
      <c r="H156" s="7" t="str">
        <f t="shared" si="15"/>
        <v>0</v>
      </c>
      <c r="I156" s="7" t="str">
        <f t="shared" si="11"/>
        <v>0</v>
      </c>
      <c r="J156" s="8">
        <f t="shared" si="10"/>
        <v>0</v>
      </c>
      <c r="K156" s="8" t="str">
        <f t="shared" si="12"/>
        <v>0</v>
      </c>
      <c r="L156" s="8">
        <v>18379.18</v>
      </c>
      <c r="M156" s="8">
        <v>60734.19</v>
      </c>
      <c r="N156" s="8">
        <v>105456.2</v>
      </c>
      <c r="O156" s="8">
        <v>150178.21</v>
      </c>
      <c r="P156" s="8">
        <v>191054.25</v>
      </c>
      <c r="Q156" s="8">
        <v>230884.59</v>
      </c>
      <c r="R156" s="8">
        <v>281331.06</v>
      </c>
      <c r="S156" s="8">
        <v>281331.06</v>
      </c>
      <c r="T156" s="8">
        <v>281331.06</v>
      </c>
      <c r="U156" s="8">
        <v>281331.06</v>
      </c>
      <c r="V156" s="8">
        <v>281331.06</v>
      </c>
      <c r="W156" s="8">
        <v>0</v>
      </c>
      <c r="AJ156" s="8" t="str">
        <f>IFERROR(INDEX([1]SuSa_2024!BN:BN,MATCH($B156,[1]SuSa_2024!$B:$B,0)),"0")</f>
        <v>0</v>
      </c>
      <c r="AK156" s="8" t="str">
        <f>IFERROR(INDEX([1]SuSa_2024!BO:BO,MATCH($B156,[1]SuSa_2024!$B:$B,0)),"0")</f>
        <v>0</v>
      </c>
      <c r="AL156" s="8" t="str">
        <f>IFERROR(INDEX([1]SuSa_2024!BP:BP,MATCH($B156,[1]SuSa_2024!$B:$B,0)),"0")</f>
        <v>0</v>
      </c>
      <c r="AM156" s="8" t="str">
        <f>IFERROR(INDEX([1]SuSa_2024!BQ:BQ,MATCH($B156,[1]SuSa_2024!$B:$B,0)),"0")</f>
        <v>0</v>
      </c>
      <c r="AN156" s="8" t="str">
        <f>IFERROR(INDEX([1]SuSa_2024!BR:BR,MATCH($B156,[1]SuSa_2024!$B:$B,0)),"0")</f>
        <v>0</v>
      </c>
      <c r="AO156" s="8" t="str">
        <f>IFERROR(INDEX([1]SuSa_2024!BS:BS,MATCH($B156,[1]SuSa_2024!$B:$B,0)),"0")</f>
        <v>0</v>
      </c>
      <c r="AP156" s="8" t="str">
        <f>IFERROR(INDEX([1]SuSa_2024!BT:BT,MATCH($B156,[1]SuSa_2024!$B:$B,0)),"0")</f>
        <v>0</v>
      </c>
      <c r="AQ156" s="8" t="str">
        <f>IFERROR(INDEX([1]SuSa_2024!BU:BU,MATCH($B156,[1]SuSa_2024!$B:$B,0)),"0")</f>
        <v>0</v>
      </c>
      <c r="AR156" s="8" t="str">
        <f>IFERROR(INDEX([1]SuSa_2024!BV:BV,MATCH($B156,[1]SuSa_2024!$B:$B,0)),"0")</f>
        <v>0</v>
      </c>
      <c r="AS156" s="8" t="str">
        <f>IFERROR(INDEX([1]SuSa_2024!BW:BW,MATCH($B156,[1]SuSa_2024!$B:$B,0)),"0")</f>
        <v>0</v>
      </c>
      <c r="AT156" s="8" t="str">
        <f>IFERROR(INDEX([1]SuSa_2024!BX:BX,MATCH($B156,[1]SuSa_2024!$B:$B,0)),"0")</f>
        <v>0</v>
      </c>
      <c r="AU156" s="8" t="str">
        <f>IFERROR(INDEX([1]SuSa_2024!BY:BY,MATCH($B156,[1]SuSa_2024!$B:$B,0)),"0")</f>
        <v>0</v>
      </c>
      <c r="AV156" s="8" t="str">
        <f>IFERROR(INDEX([1]SuSa_2025!AR:AR,MATCH($B156,[1]SuSa_2025!$B:$B,0)),"0")</f>
        <v>0</v>
      </c>
      <c r="AW156" s="8" t="str">
        <f>IFERROR(INDEX([1]SuSa_2025!AS:AS,MATCH($B156,[1]SuSa_2025!$B:$B,0)),"0")</f>
        <v>0</v>
      </c>
      <c r="AX156" s="8" t="str">
        <f>IFERROR(INDEX([1]SuSa_2025!AT:AT,MATCH($B156,[1]SuSa_2025!$B:$B,0)),"0")</f>
        <v>0</v>
      </c>
      <c r="AY156" s="8" t="str">
        <f>IFERROR(INDEX([1]SuSa_2025!AU:AU,MATCH($B156,[1]SuSa_2025!$B:$B,0)),"0")</f>
        <v>0</v>
      </c>
      <c r="AZ156" s="8" t="str">
        <f>IFERROR(INDEX([1]SuSa_2025!AV:AV,MATCH($B156,[1]SuSa_2025!$B:$B,0)),"0")</f>
        <v>0</v>
      </c>
      <c r="BA156" s="8" t="str">
        <f>IFERROR(INDEX([1]SuSa_2025!AW:AW,MATCH($B156,[1]SuSa_2025!$B:$B,0)),"0")</f>
        <v>0</v>
      </c>
      <c r="BB156" s="8" t="str">
        <f>IFERROR(INDEX([1]SuSa_2025!AX:AX,MATCH($B156,[1]SuSa_2025!$B:$B,0)),"0")</f>
        <v>0</v>
      </c>
    </row>
    <row r="157" spans="1:54" outlineLevel="1" collapsed="1" x14ac:dyDescent="0.25">
      <c r="A157" s="5" t="s">
        <v>493</v>
      </c>
      <c r="B157" s="6" t="s">
        <v>496</v>
      </c>
      <c r="C157" t="s">
        <v>497</v>
      </c>
      <c r="E157" t="s">
        <v>498</v>
      </c>
      <c r="F157" s="7">
        <f t="shared" si="13"/>
        <v>0</v>
      </c>
      <c r="G157" s="7">
        <f t="shared" si="14"/>
        <v>185.53</v>
      </c>
      <c r="H157" s="7">
        <f t="shared" si="15"/>
        <v>0</v>
      </c>
      <c r="I157" s="7">
        <f t="shared" si="11"/>
        <v>0</v>
      </c>
      <c r="J157" s="8">
        <f t="shared" si="10"/>
        <v>0</v>
      </c>
      <c r="K157" s="8">
        <f t="shared" si="12"/>
        <v>0</v>
      </c>
      <c r="AB157" s="8">
        <v>185.53</v>
      </c>
      <c r="AC157" s="8">
        <v>185.53</v>
      </c>
      <c r="AD157" s="8">
        <v>185.53</v>
      </c>
      <c r="AE157" s="8">
        <v>185.53</v>
      </c>
      <c r="AF157" s="8">
        <v>185.53</v>
      </c>
      <c r="AG157" s="8">
        <v>185.53</v>
      </c>
      <c r="AH157" s="8">
        <v>185.53</v>
      </c>
      <c r="AI157" s="8">
        <v>185.53</v>
      </c>
      <c r="AJ157" s="8">
        <f>IFERROR(INDEX([1]SuSa_2024!BN:BN,MATCH($B157,[1]SuSa_2024!$B:$B,0)),"0")</f>
        <v>0</v>
      </c>
      <c r="AK157" s="8">
        <f>IFERROR(INDEX([1]SuSa_2024!BO:BO,MATCH($B157,[1]SuSa_2024!$B:$B,0)),"0")</f>
        <v>0</v>
      </c>
      <c r="AL157" s="8">
        <f>IFERROR(INDEX([1]SuSa_2024!BP:BP,MATCH($B157,[1]SuSa_2024!$B:$B,0)),"0")</f>
        <v>0</v>
      </c>
      <c r="AM157" s="8">
        <f>IFERROR(INDEX([1]SuSa_2024!BQ:BQ,MATCH($B157,[1]SuSa_2024!$B:$B,0)),"0")</f>
        <v>0</v>
      </c>
      <c r="AN157" s="8">
        <f>IFERROR(INDEX([1]SuSa_2024!BR:BR,MATCH($B157,[1]SuSa_2024!$B:$B,0)),"0")</f>
        <v>493.22</v>
      </c>
      <c r="AO157" s="8">
        <f>IFERROR(INDEX([1]SuSa_2024!BS:BS,MATCH($B157,[1]SuSa_2024!$B:$B,0)),"0")</f>
        <v>0</v>
      </c>
      <c r="AP157" s="8">
        <f>IFERROR(INDEX([1]SuSa_2024!BT:BT,MATCH($B157,[1]SuSa_2024!$B:$B,0)),"0")</f>
        <v>0</v>
      </c>
      <c r="AQ157" s="8">
        <f>IFERROR(INDEX([1]SuSa_2024!BU:BU,MATCH($B157,[1]SuSa_2024!$B:$B,0)),"0")</f>
        <v>0</v>
      </c>
      <c r="AR157" s="8">
        <f>IFERROR(INDEX([1]SuSa_2024!BV:BV,MATCH($B157,[1]SuSa_2024!$B:$B,0)),"0")</f>
        <v>0</v>
      </c>
      <c r="AS157" s="8">
        <f>IFERROR(INDEX([1]SuSa_2024!BW:BW,MATCH($B157,[1]SuSa_2024!$B:$B,0)),"0")</f>
        <v>0</v>
      </c>
      <c r="AT157" s="8">
        <f>IFERROR(INDEX([1]SuSa_2024!BX:BX,MATCH($B157,[1]SuSa_2024!$B:$B,0)),"0")</f>
        <v>0</v>
      </c>
      <c r="AU157" s="8">
        <f>IFERROR(INDEX([1]SuSa_2024!BY:BY,MATCH($B157,[1]SuSa_2024!$B:$B,0)),"0")</f>
        <v>0</v>
      </c>
      <c r="AV157" s="8">
        <f>IFERROR(INDEX([1]SuSa_2025!AR:AR,MATCH($B157,[1]SuSa_2025!$B:$B,0)),"0")</f>
        <v>0</v>
      </c>
      <c r="AW157" s="8">
        <f>IFERROR(INDEX([1]SuSa_2025!AS:AS,MATCH($B157,[1]SuSa_2025!$B:$B,0)),"0")</f>
        <v>0</v>
      </c>
      <c r="AX157" s="8">
        <f>IFERROR(INDEX([1]SuSa_2025!AT:AT,MATCH($B157,[1]SuSa_2025!$B:$B,0)),"0")</f>
        <v>0</v>
      </c>
      <c r="AY157" s="8">
        <f>IFERROR(INDEX([1]SuSa_2025!AU:AU,MATCH($B157,[1]SuSa_2025!$B:$B,0)),"0")</f>
        <v>0</v>
      </c>
      <c r="AZ157" s="8">
        <f>IFERROR(INDEX([1]SuSa_2025!AV:AV,MATCH($B157,[1]SuSa_2025!$B:$B,0)),"0")</f>
        <v>0</v>
      </c>
      <c r="BA157" s="8">
        <f>IFERROR(INDEX([1]SuSa_2025!AW:AW,MATCH($B157,[1]SuSa_2025!$B:$B,0)),"0")</f>
        <v>0</v>
      </c>
      <c r="BB157" s="8">
        <f>IFERROR(INDEX([1]SuSa_2025!AX:AX,MATCH($B157,[1]SuSa_2025!$B:$B,0)),"0")</f>
        <v>0</v>
      </c>
    </row>
    <row r="158" spans="1:54" outlineLevel="1" collapsed="1" x14ac:dyDescent="0.25">
      <c r="A158" s="5" t="s">
        <v>499</v>
      </c>
      <c r="B158" s="6" t="s">
        <v>500</v>
      </c>
      <c r="C158" t="s">
        <v>501</v>
      </c>
      <c r="E158" t="s">
        <v>498</v>
      </c>
      <c r="F158" s="7">
        <f t="shared" si="13"/>
        <v>331612.42</v>
      </c>
      <c r="G158" s="7">
        <f t="shared" si="14"/>
        <v>454719.29</v>
      </c>
      <c r="H158" s="7">
        <f t="shared" si="15"/>
        <v>588360.22</v>
      </c>
      <c r="I158" s="7">
        <f t="shared" si="11"/>
        <v>24500</v>
      </c>
      <c r="J158" s="8">
        <f t="shared" si="10"/>
        <v>165064.70999999996</v>
      </c>
      <c r="K158" s="8">
        <f t="shared" si="12"/>
        <v>447795.51</v>
      </c>
      <c r="S158" s="8">
        <v>9741</v>
      </c>
      <c r="T158" s="8">
        <v>19482</v>
      </c>
      <c r="U158" s="8">
        <v>29223</v>
      </c>
      <c r="V158" s="8">
        <v>92297.36</v>
      </c>
      <c r="W158" s="8">
        <v>331612.42</v>
      </c>
      <c r="X158" s="8">
        <v>47216.15</v>
      </c>
      <c r="Y158" s="8">
        <v>60774.06</v>
      </c>
      <c r="Z158" s="8">
        <v>74331.97</v>
      </c>
      <c r="AA158" s="8">
        <v>87889.88</v>
      </c>
      <c r="AB158" s="8">
        <v>245685.92</v>
      </c>
      <c r="AC158" s="8">
        <v>245271.83</v>
      </c>
      <c r="AD158" s="8">
        <v>280179.74</v>
      </c>
      <c r="AE158" s="8">
        <v>315087.65000000002</v>
      </c>
      <c r="AF158" s="8">
        <v>349995.56</v>
      </c>
      <c r="AG158" s="8">
        <v>384903.47</v>
      </c>
      <c r="AH158" s="8">
        <v>419811.38</v>
      </c>
      <c r="AI158" s="8">
        <v>454719.29</v>
      </c>
      <c r="AJ158" s="8">
        <f>IFERROR(INDEX([1]SuSa_2024!BN:BN,MATCH($B158,[1]SuSa_2024!$B:$B,0)),"0")</f>
        <v>25655.83</v>
      </c>
      <c r="AK158" s="8">
        <f>IFERROR(INDEX([1]SuSa_2024!BO:BO,MATCH($B158,[1]SuSa_2024!$B:$B,0)),"0")</f>
        <v>45672.95</v>
      </c>
      <c r="AL158" s="8">
        <f>IFERROR(INDEX([1]SuSa_2024!BP:BP,MATCH($B158,[1]SuSa_2024!$B:$B,0)),"0")</f>
        <v>65690.069999999992</v>
      </c>
      <c r="AM158" s="8">
        <f>IFERROR(INDEX([1]SuSa_2024!BQ:BQ,MATCH($B158,[1]SuSa_2024!$B:$B,0)),"0")</f>
        <v>394011.27</v>
      </c>
      <c r="AN158" s="8">
        <f>IFERROR(INDEX([1]SuSa_2024!BR:BR,MATCH($B158,[1]SuSa_2024!$B:$B,0)),"0")</f>
        <v>414028.39</v>
      </c>
      <c r="AO158" s="8">
        <f>IFERROR(INDEX([1]SuSa_2024!BS:BS,MATCH($B158,[1]SuSa_2024!$B:$B,0)),"0")</f>
        <v>434045.51</v>
      </c>
      <c r="AP158" s="8">
        <f>IFERROR(INDEX([1]SuSa_2024!BT:BT,MATCH($B158,[1]SuSa_2024!$B:$B,0)),"0")</f>
        <v>447795.51</v>
      </c>
      <c r="AQ158" s="8">
        <f>IFERROR(INDEX([1]SuSa_2024!BU:BU,MATCH($B158,[1]SuSa_2024!$B:$B,0)),"0")</f>
        <v>474079.75</v>
      </c>
      <c r="AR158" s="8">
        <f>IFERROR(INDEX([1]SuSa_2024!BV:BV,MATCH($B158,[1]SuSa_2024!$B:$B,0)),"0")</f>
        <v>500498.54</v>
      </c>
      <c r="AS158" s="8">
        <f>IFERROR(INDEX([1]SuSa_2024!BW:BW,MATCH($B158,[1]SuSa_2024!$B:$B,0)),"0")</f>
        <v>528865.66</v>
      </c>
      <c r="AT158" s="8">
        <f>IFERROR(INDEX([1]SuSa_2024!BX:BX,MATCH($B158,[1]SuSa_2024!$B:$B,0)),"0")</f>
        <v>557232.78</v>
      </c>
      <c r="AU158" s="8">
        <f>IFERROR(INDEX([1]SuSa_2024!BY:BY,MATCH($B158,[1]SuSa_2024!$B:$B,0)),"0")</f>
        <v>588360.22</v>
      </c>
      <c r="AV158" s="8">
        <f>IFERROR(INDEX([1]SuSa_2025!AR:AR,MATCH($B158,[1]SuSa_2025!$B:$B,0)),"0")</f>
        <v>3500</v>
      </c>
      <c r="AW158" s="8">
        <f>IFERROR(INDEX([1]SuSa_2025!AS:AS,MATCH($B158,[1]SuSa_2025!$B:$B,0)),"0")</f>
        <v>7000</v>
      </c>
      <c r="AX158" s="8">
        <f>IFERROR(INDEX([1]SuSa_2025!AT:AT,MATCH($B158,[1]SuSa_2025!$B:$B,0)),"0")</f>
        <v>10500</v>
      </c>
      <c r="AY158" s="8">
        <f>IFERROR(INDEX([1]SuSa_2025!AU:AU,MATCH($B158,[1]SuSa_2025!$B:$B,0)),"0")</f>
        <v>14000</v>
      </c>
      <c r="AZ158" s="8">
        <f>IFERROR(INDEX([1]SuSa_2025!AV:AV,MATCH($B158,[1]SuSa_2025!$B:$B,0)),"0")</f>
        <v>17500</v>
      </c>
      <c r="BA158" s="8">
        <f>IFERROR(INDEX([1]SuSa_2025!AW:AW,MATCH($B158,[1]SuSa_2025!$B:$B,0)),"0")</f>
        <v>21000</v>
      </c>
      <c r="BB158" s="8">
        <f>IFERROR(INDEX([1]SuSa_2025!AX:AX,MATCH($B158,[1]SuSa_2025!$B:$B,0)),"0")</f>
        <v>24500</v>
      </c>
    </row>
    <row r="159" spans="1:54" outlineLevel="1" collapsed="1" x14ac:dyDescent="0.25">
      <c r="A159" s="5" t="s">
        <v>502</v>
      </c>
      <c r="B159" s="6" t="s">
        <v>503</v>
      </c>
      <c r="C159" t="s">
        <v>504</v>
      </c>
      <c r="E159" t="s">
        <v>505</v>
      </c>
      <c r="F159" s="7">
        <f t="shared" si="13"/>
        <v>607419.77</v>
      </c>
      <c r="G159" s="7">
        <f t="shared" si="14"/>
        <v>685741.76</v>
      </c>
      <c r="H159" s="7">
        <f t="shared" si="15"/>
        <v>558592.18999999994</v>
      </c>
      <c r="I159" s="7">
        <f t="shared" si="11"/>
        <v>159138.52000000002</v>
      </c>
      <c r="J159" s="8">
        <f t="shared" si="10"/>
        <v>326674.58</v>
      </c>
      <c r="K159" s="8">
        <f t="shared" si="12"/>
        <v>391056.12999999995</v>
      </c>
      <c r="L159" s="8">
        <v>4828.22</v>
      </c>
      <c r="M159" s="8">
        <v>4917.09</v>
      </c>
      <c r="N159" s="8">
        <v>4917.09</v>
      </c>
      <c r="O159" s="8">
        <v>4917.09</v>
      </c>
      <c r="P159" s="8">
        <v>4917.09</v>
      </c>
      <c r="Q159" s="8">
        <v>4917.09</v>
      </c>
      <c r="R159" s="8">
        <v>4917.09</v>
      </c>
      <c r="S159" s="8">
        <v>55529.279999999999</v>
      </c>
      <c r="T159" s="8">
        <v>104717.97</v>
      </c>
      <c r="U159" s="8">
        <v>152199.79999999999</v>
      </c>
      <c r="V159" s="8">
        <v>199131.41</v>
      </c>
      <c r="W159" s="8">
        <v>607419.77</v>
      </c>
      <c r="X159" s="8">
        <v>47426.49</v>
      </c>
      <c r="Y159" s="8">
        <v>97555.49</v>
      </c>
      <c r="Z159" s="8">
        <v>146865.42000000001</v>
      </c>
      <c r="AA159" s="8">
        <v>202400.22</v>
      </c>
      <c r="AB159" s="8">
        <v>257779.7</v>
      </c>
      <c r="AC159" s="8">
        <v>315891.75</v>
      </c>
      <c r="AD159" s="8">
        <v>381579.23</v>
      </c>
      <c r="AE159" s="8">
        <v>438313.44</v>
      </c>
      <c r="AF159" s="8">
        <v>497317.48</v>
      </c>
      <c r="AG159" s="8">
        <v>559156.42000000004</v>
      </c>
      <c r="AH159" s="8">
        <v>622642.18000000005</v>
      </c>
      <c r="AI159" s="8">
        <v>685741.76</v>
      </c>
      <c r="AJ159" s="8">
        <f>IFERROR(INDEX([1]SuSa_2024!BN:BN,MATCH($B159,[1]SuSa_2024!$B:$B,0)),"0")</f>
        <v>67950.11</v>
      </c>
      <c r="AK159" s="8">
        <f>IFERROR(INDEX([1]SuSa_2024!BO:BO,MATCH($B159,[1]SuSa_2024!$B:$B,0)),"0")</f>
        <v>112339.47</v>
      </c>
      <c r="AL159" s="8">
        <f>IFERROR(INDEX([1]SuSa_2024!BP:BP,MATCH($B159,[1]SuSa_2024!$B:$B,0)),"0")</f>
        <v>172573.89</v>
      </c>
      <c r="AM159" s="8">
        <f>IFERROR(INDEX([1]SuSa_2024!BQ:BQ,MATCH($B159,[1]SuSa_2024!$B:$B,0)),"0")</f>
        <v>222837.06</v>
      </c>
      <c r="AN159" s="8">
        <f>IFERROR(INDEX([1]SuSa_2024!BR:BR,MATCH($B159,[1]SuSa_2024!$B:$B,0)),"0")</f>
        <v>286485.96999999997</v>
      </c>
      <c r="AO159" s="8">
        <f>IFERROR(INDEX([1]SuSa_2024!BS:BS,MATCH($B159,[1]SuSa_2024!$B:$B,0)),"0")</f>
        <v>340868.89999999997</v>
      </c>
      <c r="AP159" s="8">
        <f>IFERROR(INDEX([1]SuSa_2024!BT:BT,MATCH($B159,[1]SuSa_2024!$B:$B,0)),"0")</f>
        <v>391056.12999999995</v>
      </c>
      <c r="AQ159" s="8">
        <f>IFERROR(INDEX([1]SuSa_2024!BU:BU,MATCH($B159,[1]SuSa_2024!$B:$B,0)),"0")</f>
        <v>445148.27999999997</v>
      </c>
      <c r="AR159" s="8">
        <f>IFERROR(INDEX([1]SuSa_2024!BV:BV,MATCH($B159,[1]SuSa_2024!$B:$B,0)),"0")</f>
        <v>495700.89999999997</v>
      </c>
      <c r="AS159" s="8">
        <f>IFERROR(INDEX([1]SuSa_2024!BW:BW,MATCH($B159,[1]SuSa_2024!$B:$B,0)),"0")</f>
        <v>519619.67</v>
      </c>
      <c r="AT159" s="8">
        <f>IFERROR(INDEX([1]SuSa_2024!BX:BX,MATCH($B159,[1]SuSa_2024!$B:$B,0)),"0")</f>
        <v>543041.09</v>
      </c>
      <c r="AU159" s="8">
        <f>IFERROR(INDEX([1]SuSa_2024!BY:BY,MATCH($B159,[1]SuSa_2024!$B:$B,0)),"0")</f>
        <v>558592.18999999994</v>
      </c>
      <c r="AV159" s="8">
        <f>IFERROR(INDEX([1]SuSa_2025!AR:AR,MATCH($B159,[1]SuSa_2025!$B:$B,0)),"0")</f>
        <v>22382.9</v>
      </c>
      <c r="AW159" s="8">
        <f>IFERROR(INDEX([1]SuSa_2025!AS:AS,MATCH($B159,[1]SuSa_2025!$B:$B,0)),"0")</f>
        <v>43501.990000000005</v>
      </c>
      <c r="AX159" s="8">
        <f>IFERROR(INDEX([1]SuSa_2025!AT:AT,MATCH($B159,[1]SuSa_2025!$B:$B,0)),"0")</f>
        <v>66401.56</v>
      </c>
      <c r="AY159" s="8">
        <f>IFERROR(INDEX([1]SuSa_2025!AU:AU,MATCH($B159,[1]SuSa_2025!$B:$B,0)),"0")</f>
        <v>88971.47</v>
      </c>
      <c r="AZ159" s="8">
        <f>IFERROR(INDEX([1]SuSa_2025!AV:AV,MATCH($B159,[1]SuSa_2025!$B:$B,0)),"0")</f>
        <v>112310.27</v>
      </c>
      <c r="BA159" s="8">
        <f>IFERROR(INDEX([1]SuSa_2025!AW:AW,MATCH($B159,[1]SuSa_2025!$B:$B,0)),"0")</f>
        <v>134058.16</v>
      </c>
      <c r="BB159" s="8">
        <f>IFERROR(INDEX([1]SuSa_2025!AX:AX,MATCH($B159,[1]SuSa_2025!$B:$B,0)),"0")</f>
        <v>159138.52000000002</v>
      </c>
    </row>
    <row r="160" spans="1:54" outlineLevel="1" collapsed="1" x14ac:dyDescent="0.25">
      <c r="A160" s="5" t="s">
        <v>502</v>
      </c>
      <c r="B160" s="6" t="s">
        <v>506</v>
      </c>
      <c r="C160" t="s">
        <v>507</v>
      </c>
      <c r="F160" s="7">
        <f t="shared" si="13"/>
        <v>0</v>
      </c>
      <c r="G160" s="7">
        <f t="shared" si="14"/>
        <v>0</v>
      </c>
      <c r="H160" s="7" t="str">
        <f t="shared" si="15"/>
        <v>0</v>
      </c>
      <c r="I160" s="7" t="str">
        <f t="shared" si="11"/>
        <v>0</v>
      </c>
      <c r="J160" s="8">
        <f t="shared" ref="J160:J223" si="16">H160+I160-AP160</f>
        <v>0</v>
      </c>
      <c r="K160" s="8" t="str">
        <f t="shared" si="12"/>
        <v>0</v>
      </c>
      <c r="L160" s="8">
        <v>2273.71</v>
      </c>
      <c r="M160" s="8">
        <v>8084.93</v>
      </c>
      <c r="N160" s="8">
        <v>14550.61</v>
      </c>
      <c r="O160" s="8">
        <v>21016.29</v>
      </c>
      <c r="P160" s="8">
        <v>27488.15</v>
      </c>
      <c r="Q160" s="8">
        <v>33751.64</v>
      </c>
      <c r="R160" s="8">
        <v>40850.92</v>
      </c>
      <c r="S160" s="8">
        <v>40850.92</v>
      </c>
      <c r="T160" s="8">
        <v>40850.92</v>
      </c>
      <c r="U160" s="8">
        <v>40850.92</v>
      </c>
      <c r="V160" s="8">
        <v>40850.92</v>
      </c>
      <c r="W160" s="8">
        <v>0</v>
      </c>
      <c r="AJ160" s="8" t="str">
        <f>IFERROR(INDEX([1]SuSa_2024!BN:BN,MATCH($B160,[1]SuSa_2024!$B:$B,0)),"0")</f>
        <v>0</v>
      </c>
      <c r="AK160" s="8" t="str">
        <f>IFERROR(INDEX([1]SuSa_2024!BO:BO,MATCH($B160,[1]SuSa_2024!$B:$B,0)),"0")</f>
        <v>0</v>
      </c>
      <c r="AL160" s="8" t="str">
        <f>IFERROR(INDEX([1]SuSa_2024!BP:BP,MATCH($B160,[1]SuSa_2024!$B:$B,0)),"0")</f>
        <v>0</v>
      </c>
      <c r="AM160" s="8" t="str">
        <f>IFERROR(INDEX([1]SuSa_2024!BQ:BQ,MATCH($B160,[1]SuSa_2024!$B:$B,0)),"0")</f>
        <v>0</v>
      </c>
      <c r="AN160" s="8" t="str">
        <f>IFERROR(INDEX([1]SuSa_2024!BR:BR,MATCH($B160,[1]SuSa_2024!$B:$B,0)),"0")</f>
        <v>0</v>
      </c>
      <c r="AO160" s="8" t="str">
        <f>IFERROR(INDEX([1]SuSa_2024!BS:BS,MATCH($B160,[1]SuSa_2024!$B:$B,0)),"0")</f>
        <v>0</v>
      </c>
      <c r="AP160" s="8" t="str">
        <f>IFERROR(INDEX([1]SuSa_2024!BT:BT,MATCH($B160,[1]SuSa_2024!$B:$B,0)),"0")</f>
        <v>0</v>
      </c>
      <c r="AQ160" s="8" t="str">
        <f>IFERROR(INDEX([1]SuSa_2024!BU:BU,MATCH($B160,[1]SuSa_2024!$B:$B,0)),"0")</f>
        <v>0</v>
      </c>
      <c r="AR160" s="8" t="str">
        <f>IFERROR(INDEX([1]SuSa_2024!BV:BV,MATCH($B160,[1]SuSa_2024!$B:$B,0)),"0")</f>
        <v>0</v>
      </c>
      <c r="AS160" s="8" t="str">
        <f>IFERROR(INDEX([1]SuSa_2024!BW:BW,MATCH($B160,[1]SuSa_2024!$B:$B,0)),"0")</f>
        <v>0</v>
      </c>
      <c r="AT160" s="8" t="str">
        <f>IFERROR(INDEX([1]SuSa_2024!BX:BX,MATCH($B160,[1]SuSa_2024!$B:$B,0)),"0")</f>
        <v>0</v>
      </c>
      <c r="AU160" s="8" t="str">
        <f>IFERROR(INDEX([1]SuSa_2024!BY:BY,MATCH($B160,[1]SuSa_2024!$B:$B,0)),"0")</f>
        <v>0</v>
      </c>
      <c r="AV160" s="8" t="str">
        <f>IFERROR(INDEX([1]SuSa_2025!AR:AR,MATCH($B160,[1]SuSa_2025!$B:$B,0)),"0")</f>
        <v>0</v>
      </c>
      <c r="AW160" s="8" t="str">
        <f>IFERROR(INDEX([1]SuSa_2025!AS:AS,MATCH($B160,[1]SuSa_2025!$B:$B,0)),"0")</f>
        <v>0</v>
      </c>
      <c r="AX160" s="8" t="str">
        <f>IFERROR(INDEX([1]SuSa_2025!AT:AT,MATCH($B160,[1]SuSa_2025!$B:$B,0)),"0")</f>
        <v>0</v>
      </c>
      <c r="AY160" s="8" t="str">
        <f>IFERROR(INDEX([1]SuSa_2025!AU:AU,MATCH($B160,[1]SuSa_2025!$B:$B,0)),"0")</f>
        <v>0</v>
      </c>
      <c r="AZ160" s="8" t="str">
        <f>IFERROR(INDEX([1]SuSa_2025!AV:AV,MATCH($B160,[1]SuSa_2025!$B:$B,0)),"0")</f>
        <v>0</v>
      </c>
      <c r="BA160" s="8" t="str">
        <f>IFERROR(INDEX([1]SuSa_2025!AW:AW,MATCH($B160,[1]SuSa_2025!$B:$B,0)),"0")</f>
        <v>0</v>
      </c>
      <c r="BB160" s="8" t="str">
        <f>IFERROR(INDEX([1]SuSa_2025!AX:AX,MATCH($B160,[1]SuSa_2025!$B:$B,0)),"0")</f>
        <v>0</v>
      </c>
    </row>
    <row r="161" spans="1:54" outlineLevel="1" collapsed="1" x14ac:dyDescent="0.25">
      <c r="A161" s="5" t="s">
        <v>502</v>
      </c>
      <c r="B161" s="6" t="s">
        <v>508</v>
      </c>
      <c r="C161" t="s">
        <v>509</v>
      </c>
      <c r="F161" s="7">
        <f t="shared" si="13"/>
        <v>0</v>
      </c>
      <c r="G161" s="7">
        <f t="shared" si="14"/>
        <v>0</v>
      </c>
      <c r="H161" s="7" t="str">
        <f t="shared" si="15"/>
        <v>0</v>
      </c>
      <c r="I161" s="7" t="str">
        <f t="shared" si="11"/>
        <v>0</v>
      </c>
      <c r="J161" s="8">
        <f t="shared" si="16"/>
        <v>0</v>
      </c>
      <c r="K161" s="8" t="str">
        <f t="shared" si="12"/>
        <v>0</v>
      </c>
      <c r="L161" s="8">
        <v>3518.29</v>
      </c>
      <c r="M161" s="8">
        <v>18335.87</v>
      </c>
      <c r="N161" s="8">
        <v>32522.38</v>
      </c>
      <c r="O161" s="8">
        <v>46759.9</v>
      </c>
      <c r="P161" s="8">
        <v>61272.94</v>
      </c>
      <c r="Q161" s="8">
        <v>75424.7</v>
      </c>
      <c r="R161" s="8">
        <v>90283.8</v>
      </c>
      <c r="S161" s="8">
        <v>90283.8</v>
      </c>
      <c r="T161" s="8">
        <v>90283.8</v>
      </c>
      <c r="U161" s="8">
        <v>90283.8</v>
      </c>
      <c r="V161" s="8">
        <v>90283.8</v>
      </c>
      <c r="W161" s="8">
        <v>0</v>
      </c>
      <c r="AJ161" s="8" t="str">
        <f>IFERROR(INDEX([1]SuSa_2024!BN:BN,MATCH($B161,[1]SuSa_2024!$B:$B,0)),"0")</f>
        <v>0</v>
      </c>
      <c r="AK161" s="8" t="str">
        <f>IFERROR(INDEX([1]SuSa_2024!BO:BO,MATCH($B161,[1]SuSa_2024!$B:$B,0)),"0")</f>
        <v>0</v>
      </c>
      <c r="AL161" s="8" t="str">
        <f>IFERROR(INDEX([1]SuSa_2024!BP:BP,MATCH($B161,[1]SuSa_2024!$B:$B,0)),"0")</f>
        <v>0</v>
      </c>
      <c r="AM161" s="8" t="str">
        <f>IFERROR(INDEX([1]SuSa_2024!BQ:BQ,MATCH($B161,[1]SuSa_2024!$B:$B,0)),"0")</f>
        <v>0</v>
      </c>
      <c r="AN161" s="8" t="str">
        <f>IFERROR(INDEX([1]SuSa_2024!BR:BR,MATCH($B161,[1]SuSa_2024!$B:$B,0)),"0")</f>
        <v>0</v>
      </c>
      <c r="AO161" s="8" t="str">
        <f>IFERROR(INDEX([1]SuSa_2024!BS:BS,MATCH($B161,[1]SuSa_2024!$B:$B,0)),"0")</f>
        <v>0</v>
      </c>
      <c r="AP161" s="8" t="str">
        <f>IFERROR(INDEX([1]SuSa_2024!BT:BT,MATCH($B161,[1]SuSa_2024!$B:$B,0)),"0")</f>
        <v>0</v>
      </c>
      <c r="AQ161" s="8" t="str">
        <f>IFERROR(INDEX([1]SuSa_2024!BU:BU,MATCH($B161,[1]SuSa_2024!$B:$B,0)),"0")</f>
        <v>0</v>
      </c>
      <c r="AR161" s="8" t="str">
        <f>IFERROR(INDEX([1]SuSa_2024!BV:BV,MATCH($B161,[1]SuSa_2024!$B:$B,0)),"0")</f>
        <v>0</v>
      </c>
      <c r="AS161" s="8" t="str">
        <f>IFERROR(INDEX([1]SuSa_2024!BW:BW,MATCH($B161,[1]SuSa_2024!$B:$B,0)),"0")</f>
        <v>0</v>
      </c>
      <c r="AT161" s="8" t="str">
        <f>IFERROR(INDEX([1]SuSa_2024!BX:BX,MATCH($B161,[1]SuSa_2024!$B:$B,0)),"0")</f>
        <v>0</v>
      </c>
      <c r="AU161" s="8" t="str">
        <f>IFERROR(INDEX([1]SuSa_2024!BY:BY,MATCH($B161,[1]SuSa_2024!$B:$B,0)),"0")</f>
        <v>0</v>
      </c>
      <c r="AV161" s="8" t="str">
        <f>IFERROR(INDEX([1]SuSa_2025!AR:AR,MATCH($B161,[1]SuSa_2025!$B:$B,0)),"0")</f>
        <v>0</v>
      </c>
      <c r="AW161" s="8" t="str">
        <f>IFERROR(INDEX([1]SuSa_2025!AS:AS,MATCH($B161,[1]SuSa_2025!$B:$B,0)),"0")</f>
        <v>0</v>
      </c>
      <c r="AX161" s="8" t="str">
        <f>IFERROR(INDEX([1]SuSa_2025!AT:AT,MATCH($B161,[1]SuSa_2025!$B:$B,0)),"0")</f>
        <v>0</v>
      </c>
      <c r="AY161" s="8" t="str">
        <f>IFERROR(INDEX([1]SuSa_2025!AU:AU,MATCH($B161,[1]SuSa_2025!$B:$B,0)),"0")</f>
        <v>0</v>
      </c>
      <c r="AZ161" s="8" t="str">
        <f>IFERROR(INDEX([1]SuSa_2025!AV:AV,MATCH($B161,[1]SuSa_2025!$B:$B,0)),"0")</f>
        <v>0</v>
      </c>
      <c r="BA161" s="8" t="str">
        <f>IFERROR(INDEX([1]SuSa_2025!AW:AW,MATCH($B161,[1]SuSa_2025!$B:$B,0)),"0")</f>
        <v>0</v>
      </c>
      <c r="BB161" s="8" t="str">
        <f>IFERROR(INDEX([1]SuSa_2025!AX:AX,MATCH($B161,[1]SuSa_2025!$B:$B,0)),"0")</f>
        <v>0</v>
      </c>
    </row>
    <row r="162" spans="1:54" outlineLevel="1" collapsed="1" x14ac:dyDescent="0.25">
      <c r="A162" s="5" t="s">
        <v>502</v>
      </c>
      <c r="B162" s="6" t="s">
        <v>510</v>
      </c>
      <c r="C162" t="s">
        <v>511</v>
      </c>
      <c r="F162" s="7">
        <f t="shared" si="13"/>
        <v>0</v>
      </c>
      <c r="G162" s="7">
        <f t="shared" si="14"/>
        <v>0</v>
      </c>
      <c r="H162" s="7" t="str">
        <f t="shared" si="15"/>
        <v>0</v>
      </c>
      <c r="I162" s="7" t="str">
        <f t="shared" si="11"/>
        <v>0</v>
      </c>
      <c r="J162" s="8">
        <f t="shared" si="16"/>
        <v>0</v>
      </c>
      <c r="K162" s="8" t="str">
        <f t="shared" si="12"/>
        <v>0</v>
      </c>
      <c r="L162" s="8">
        <v>1013.44</v>
      </c>
      <c r="M162" s="8">
        <v>16271.72</v>
      </c>
      <c r="N162" s="8">
        <v>31591.8</v>
      </c>
      <c r="O162" s="8">
        <v>46815.5</v>
      </c>
      <c r="P162" s="8">
        <v>63437.39</v>
      </c>
      <c r="Q162" s="8">
        <v>79719.039999999994</v>
      </c>
      <c r="R162" s="8">
        <v>94987.62</v>
      </c>
      <c r="S162" s="8">
        <v>94987.62</v>
      </c>
      <c r="T162" s="8">
        <v>94987.62</v>
      </c>
      <c r="U162" s="8">
        <v>94987.62</v>
      </c>
      <c r="V162" s="8">
        <v>94987.62</v>
      </c>
      <c r="W162" s="8">
        <v>0</v>
      </c>
      <c r="AJ162" s="8" t="str">
        <f>IFERROR(INDEX([1]SuSa_2024!BN:BN,MATCH($B162,[1]SuSa_2024!$B:$B,0)),"0")</f>
        <v>0</v>
      </c>
      <c r="AK162" s="8" t="str">
        <f>IFERROR(INDEX([1]SuSa_2024!BO:BO,MATCH($B162,[1]SuSa_2024!$B:$B,0)),"0")</f>
        <v>0</v>
      </c>
      <c r="AL162" s="8" t="str">
        <f>IFERROR(INDEX([1]SuSa_2024!BP:BP,MATCH($B162,[1]SuSa_2024!$B:$B,0)),"0")</f>
        <v>0</v>
      </c>
      <c r="AM162" s="8" t="str">
        <f>IFERROR(INDEX([1]SuSa_2024!BQ:BQ,MATCH($B162,[1]SuSa_2024!$B:$B,0)),"0")</f>
        <v>0</v>
      </c>
      <c r="AN162" s="8" t="str">
        <f>IFERROR(INDEX([1]SuSa_2024!BR:BR,MATCH($B162,[1]SuSa_2024!$B:$B,0)),"0")</f>
        <v>0</v>
      </c>
      <c r="AO162" s="8" t="str">
        <f>IFERROR(INDEX([1]SuSa_2024!BS:BS,MATCH($B162,[1]SuSa_2024!$B:$B,0)),"0")</f>
        <v>0</v>
      </c>
      <c r="AP162" s="8" t="str">
        <f>IFERROR(INDEX([1]SuSa_2024!BT:BT,MATCH($B162,[1]SuSa_2024!$B:$B,0)),"0")</f>
        <v>0</v>
      </c>
      <c r="AQ162" s="8" t="str">
        <f>IFERROR(INDEX([1]SuSa_2024!BU:BU,MATCH($B162,[1]SuSa_2024!$B:$B,0)),"0")</f>
        <v>0</v>
      </c>
      <c r="AR162" s="8" t="str">
        <f>IFERROR(INDEX([1]SuSa_2024!BV:BV,MATCH($B162,[1]SuSa_2024!$B:$B,0)),"0")</f>
        <v>0</v>
      </c>
      <c r="AS162" s="8" t="str">
        <f>IFERROR(INDEX([1]SuSa_2024!BW:BW,MATCH($B162,[1]SuSa_2024!$B:$B,0)),"0")</f>
        <v>0</v>
      </c>
      <c r="AT162" s="8" t="str">
        <f>IFERROR(INDEX([1]SuSa_2024!BX:BX,MATCH($B162,[1]SuSa_2024!$B:$B,0)),"0")</f>
        <v>0</v>
      </c>
      <c r="AU162" s="8" t="str">
        <f>IFERROR(INDEX([1]SuSa_2024!BY:BY,MATCH($B162,[1]SuSa_2024!$B:$B,0)),"0")</f>
        <v>0</v>
      </c>
      <c r="AV162" s="8" t="str">
        <f>IFERROR(INDEX([1]SuSa_2025!AR:AR,MATCH($B162,[1]SuSa_2025!$B:$B,0)),"0")</f>
        <v>0</v>
      </c>
      <c r="AW162" s="8" t="str">
        <f>IFERROR(INDEX([1]SuSa_2025!AS:AS,MATCH($B162,[1]SuSa_2025!$B:$B,0)),"0")</f>
        <v>0</v>
      </c>
      <c r="AX162" s="8" t="str">
        <f>IFERROR(INDEX([1]SuSa_2025!AT:AT,MATCH($B162,[1]SuSa_2025!$B:$B,0)),"0")</f>
        <v>0</v>
      </c>
      <c r="AY162" s="8" t="str">
        <f>IFERROR(INDEX([1]SuSa_2025!AU:AU,MATCH($B162,[1]SuSa_2025!$B:$B,0)),"0")</f>
        <v>0</v>
      </c>
      <c r="AZ162" s="8" t="str">
        <f>IFERROR(INDEX([1]SuSa_2025!AV:AV,MATCH($B162,[1]SuSa_2025!$B:$B,0)),"0")</f>
        <v>0</v>
      </c>
      <c r="BA162" s="8" t="str">
        <f>IFERROR(INDEX([1]SuSa_2025!AW:AW,MATCH($B162,[1]SuSa_2025!$B:$B,0)),"0")</f>
        <v>0</v>
      </c>
      <c r="BB162" s="8" t="str">
        <f>IFERROR(INDEX([1]SuSa_2025!AX:AX,MATCH($B162,[1]SuSa_2025!$B:$B,0)),"0")</f>
        <v>0</v>
      </c>
    </row>
    <row r="163" spans="1:54" outlineLevel="1" collapsed="1" x14ac:dyDescent="0.25">
      <c r="A163" s="5" t="s">
        <v>502</v>
      </c>
      <c r="B163" s="6" t="s">
        <v>512</v>
      </c>
      <c r="C163" t="s">
        <v>513</v>
      </c>
      <c r="F163" s="7">
        <f t="shared" si="13"/>
        <v>0</v>
      </c>
      <c r="G163" s="7">
        <f t="shared" si="14"/>
        <v>0</v>
      </c>
      <c r="H163" s="7" t="str">
        <f t="shared" si="15"/>
        <v>0</v>
      </c>
      <c r="I163" s="7" t="str">
        <f t="shared" si="11"/>
        <v>0</v>
      </c>
      <c r="J163" s="8">
        <f t="shared" si="16"/>
        <v>0</v>
      </c>
      <c r="K163" s="8" t="str">
        <f t="shared" si="12"/>
        <v>0</v>
      </c>
      <c r="L163" s="8">
        <v>17476.07</v>
      </c>
      <c r="M163" s="8">
        <v>30052.69</v>
      </c>
      <c r="N163" s="8">
        <v>42316.52</v>
      </c>
      <c r="O163" s="8">
        <v>54527.55</v>
      </c>
      <c r="P163" s="8">
        <v>65763.53</v>
      </c>
      <c r="Q163" s="8">
        <v>77120.42</v>
      </c>
      <c r="R163" s="8">
        <v>90983.47</v>
      </c>
      <c r="S163" s="8">
        <v>90983.47</v>
      </c>
      <c r="T163" s="8">
        <v>90983.47</v>
      </c>
      <c r="U163" s="8">
        <v>90983.47</v>
      </c>
      <c r="V163" s="8">
        <v>90983.47</v>
      </c>
      <c r="W163" s="8">
        <v>0</v>
      </c>
      <c r="AJ163" s="8" t="str">
        <f>IFERROR(INDEX([1]SuSa_2024!BN:BN,MATCH($B163,[1]SuSa_2024!$B:$B,0)),"0")</f>
        <v>0</v>
      </c>
      <c r="AK163" s="8" t="str">
        <f>IFERROR(INDEX([1]SuSa_2024!BO:BO,MATCH($B163,[1]SuSa_2024!$B:$B,0)),"0")</f>
        <v>0</v>
      </c>
      <c r="AL163" s="8" t="str">
        <f>IFERROR(INDEX([1]SuSa_2024!BP:BP,MATCH($B163,[1]SuSa_2024!$B:$B,0)),"0")</f>
        <v>0</v>
      </c>
      <c r="AM163" s="8" t="str">
        <f>IFERROR(INDEX([1]SuSa_2024!BQ:BQ,MATCH($B163,[1]SuSa_2024!$B:$B,0)),"0")</f>
        <v>0</v>
      </c>
      <c r="AN163" s="8" t="str">
        <f>IFERROR(INDEX([1]SuSa_2024!BR:BR,MATCH($B163,[1]SuSa_2024!$B:$B,0)),"0")</f>
        <v>0</v>
      </c>
      <c r="AO163" s="8" t="str">
        <f>IFERROR(INDEX([1]SuSa_2024!BS:BS,MATCH($B163,[1]SuSa_2024!$B:$B,0)),"0")</f>
        <v>0</v>
      </c>
      <c r="AP163" s="8" t="str">
        <f>IFERROR(INDEX([1]SuSa_2024!BT:BT,MATCH($B163,[1]SuSa_2024!$B:$B,0)),"0")</f>
        <v>0</v>
      </c>
      <c r="AQ163" s="8" t="str">
        <f>IFERROR(INDEX([1]SuSa_2024!BU:BU,MATCH($B163,[1]SuSa_2024!$B:$B,0)),"0")</f>
        <v>0</v>
      </c>
      <c r="AR163" s="8" t="str">
        <f>IFERROR(INDEX([1]SuSa_2024!BV:BV,MATCH($B163,[1]SuSa_2024!$B:$B,0)),"0")</f>
        <v>0</v>
      </c>
      <c r="AS163" s="8" t="str">
        <f>IFERROR(INDEX([1]SuSa_2024!BW:BW,MATCH($B163,[1]SuSa_2024!$B:$B,0)),"0")</f>
        <v>0</v>
      </c>
      <c r="AT163" s="8" t="str">
        <f>IFERROR(INDEX([1]SuSa_2024!BX:BX,MATCH($B163,[1]SuSa_2024!$B:$B,0)),"0")</f>
        <v>0</v>
      </c>
      <c r="AU163" s="8" t="str">
        <f>IFERROR(INDEX([1]SuSa_2024!BY:BY,MATCH($B163,[1]SuSa_2024!$B:$B,0)),"0")</f>
        <v>0</v>
      </c>
      <c r="AV163" s="8" t="str">
        <f>IFERROR(INDEX([1]SuSa_2025!AR:AR,MATCH($B163,[1]SuSa_2025!$B:$B,0)),"0")</f>
        <v>0</v>
      </c>
      <c r="AW163" s="8" t="str">
        <f>IFERROR(INDEX([1]SuSa_2025!AS:AS,MATCH($B163,[1]SuSa_2025!$B:$B,0)),"0")</f>
        <v>0</v>
      </c>
      <c r="AX163" s="8" t="str">
        <f>IFERROR(INDEX([1]SuSa_2025!AT:AT,MATCH($B163,[1]SuSa_2025!$B:$B,0)),"0")</f>
        <v>0</v>
      </c>
      <c r="AY163" s="8" t="str">
        <f>IFERROR(INDEX([1]SuSa_2025!AU:AU,MATCH($B163,[1]SuSa_2025!$B:$B,0)),"0")</f>
        <v>0</v>
      </c>
      <c r="AZ163" s="8" t="str">
        <f>IFERROR(INDEX([1]SuSa_2025!AV:AV,MATCH($B163,[1]SuSa_2025!$B:$B,0)),"0")</f>
        <v>0</v>
      </c>
      <c r="BA163" s="8" t="str">
        <f>IFERROR(INDEX([1]SuSa_2025!AW:AW,MATCH($B163,[1]SuSa_2025!$B:$B,0)),"0")</f>
        <v>0</v>
      </c>
      <c r="BB163" s="8" t="str">
        <f>IFERROR(INDEX([1]SuSa_2025!AX:AX,MATCH($B163,[1]SuSa_2025!$B:$B,0)),"0")</f>
        <v>0</v>
      </c>
    </row>
    <row r="164" spans="1:54" outlineLevel="1" collapsed="1" x14ac:dyDescent="0.25">
      <c r="A164" s="5" t="s">
        <v>502</v>
      </c>
      <c r="B164" s="6" t="s">
        <v>514</v>
      </c>
      <c r="C164" t="s">
        <v>515</v>
      </c>
      <c r="F164" s="7">
        <f t="shared" si="13"/>
        <v>0</v>
      </c>
      <c r="G164" s="7">
        <f t="shared" si="14"/>
        <v>89.73</v>
      </c>
      <c r="H164" s="7">
        <f t="shared" si="15"/>
        <v>0</v>
      </c>
      <c r="I164" s="7" t="str">
        <f t="shared" si="11"/>
        <v>0</v>
      </c>
      <c r="J164" s="8">
        <f t="shared" si="16"/>
        <v>0</v>
      </c>
      <c r="K164" s="8">
        <f t="shared" si="12"/>
        <v>0</v>
      </c>
      <c r="L164" s="8">
        <v>1968.11</v>
      </c>
      <c r="M164" s="8">
        <v>4944.2</v>
      </c>
      <c r="N164" s="8">
        <v>8017.7</v>
      </c>
      <c r="O164" s="8">
        <v>12179.74</v>
      </c>
      <c r="P164" s="8">
        <v>15565.78</v>
      </c>
      <c r="Q164" s="8">
        <v>18962.96</v>
      </c>
      <c r="R164" s="8">
        <v>22411.05</v>
      </c>
      <c r="S164" s="8">
        <v>22411.05</v>
      </c>
      <c r="T164" s="8">
        <v>22411.05</v>
      </c>
      <c r="U164" s="8">
        <v>22411.05</v>
      </c>
      <c r="V164" s="8">
        <v>22411.05</v>
      </c>
      <c r="W164" s="8">
        <v>0</v>
      </c>
      <c r="AG164" s="8">
        <v>89.73</v>
      </c>
      <c r="AH164" s="8">
        <v>89.73</v>
      </c>
      <c r="AI164" s="8">
        <v>89.73</v>
      </c>
      <c r="AJ164" s="8">
        <f>IFERROR(INDEX([1]SuSa_2024!BN:BN,MATCH($B164,[1]SuSa_2024!$B:$B,0)),"0")</f>
        <v>0</v>
      </c>
      <c r="AK164" s="8">
        <f>IFERROR(INDEX([1]SuSa_2024!BO:BO,MATCH($B164,[1]SuSa_2024!$B:$B,0)),"0")</f>
        <v>0</v>
      </c>
      <c r="AL164" s="8">
        <f>IFERROR(INDEX([1]SuSa_2024!BP:BP,MATCH($B164,[1]SuSa_2024!$B:$B,0)),"0")</f>
        <v>0</v>
      </c>
      <c r="AM164" s="8">
        <f>IFERROR(INDEX([1]SuSa_2024!BQ:BQ,MATCH($B164,[1]SuSa_2024!$B:$B,0)),"0")</f>
        <v>0</v>
      </c>
      <c r="AN164" s="8">
        <f>IFERROR(INDEX([1]SuSa_2024!BR:BR,MATCH($B164,[1]SuSa_2024!$B:$B,0)),"0")</f>
        <v>0</v>
      </c>
      <c r="AO164" s="8">
        <f>IFERROR(INDEX([1]SuSa_2024!BS:BS,MATCH($B164,[1]SuSa_2024!$B:$B,0)),"0")</f>
        <v>0</v>
      </c>
      <c r="AP164" s="8">
        <f>IFERROR(INDEX([1]SuSa_2024!BT:BT,MATCH($B164,[1]SuSa_2024!$B:$B,0)),"0")</f>
        <v>0</v>
      </c>
      <c r="AQ164" s="8">
        <f>IFERROR(INDEX([1]SuSa_2024!BU:BU,MATCH($B164,[1]SuSa_2024!$B:$B,0)),"0")</f>
        <v>0</v>
      </c>
      <c r="AR164" s="8">
        <f>IFERROR(INDEX([1]SuSa_2024!BV:BV,MATCH($B164,[1]SuSa_2024!$B:$B,0)),"0")</f>
        <v>0</v>
      </c>
      <c r="AS164" s="8">
        <f>IFERROR(INDEX([1]SuSa_2024!BW:BW,MATCH($B164,[1]SuSa_2024!$B:$B,0)),"0")</f>
        <v>0</v>
      </c>
      <c r="AT164" s="8">
        <f>IFERROR(INDEX([1]SuSa_2024!BX:BX,MATCH($B164,[1]SuSa_2024!$B:$B,0)),"0")</f>
        <v>0</v>
      </c>
      <c r="AU164" s="8">
        <f>IFERROR(INDEX([1]SuSa_2024!BY:BY,MATCH($B164,[1]SuSa_2024!$B:$B,0)),"0")</f>
        <v>0</v>
      </c>
      <c r="AV164" s="8" t="str">
        <f>IFERROR(INDEX([1]SuSa_2025!AR:AR,MATCH($B164,[1]SuSa_2025!$B:$B,0)),"0")</f>
        <v>0</v>
      </c>
      <c r="AW164" s="8" t="str">
        <f>IFERROR(INDEX([1]SuSa_2025!AS:AS,MATCH($B164,[1]SuSa_2025!$B:$B,0)),"0")</f>
        <v>0</v>
      </c>
      <c r="AX164" s="8" t="str">
        <f>IFERROR(INDEX([1]SuSa_2025!AT:AT,MATCH($B164,[1]SuSa_2025!$B:$B,0)),"0")</f>
        <v>0</v>
      </c>
      <c r="AY164" s="8" t="str">
        <f>IFERROR(INDEX([1]SuSa_2025!AU:AU,MATCH($B164,[1]SuSa_2025!$B:$B,0)),"0")</f>
        <v>0</v>
      </c>
      <c r="AZ164" s="8" t="str">
        <f>IFERROR(INDEX([1]SuSa_2025!AV:AV,MATCH($B164,[1]SuSa_2025!$B:$B,0)),"0")</f>
        <v>0</v>
      </c>
      <c r="BA164" s="8" t="str">
        <f>IFERROR(INDEX([1]SuSa_2025!AW:AW,MATCH($B164,[1]SuSa_2025!$B:$B,0)),"0")</f>
        <v>0</v>
      </c>
      <c r="BB164" s="8" t="str">
        <f>IFERROR(INDEX([1]SuSa_2025!AX:AX,MATCH($B164,[1]SuSa_2025!$B:$B,0)),"0")</f>
        <v>0</v>
      </c>
    </row>
    <row r="165" spans="1:54" outlineLevel="1" collapsed="1" x14ac:dyDescent="0.25">
      <c r="A165" s="5" t="s">
        <v>502</v>
      </c>
      <c r="B165" s="6" t="s">
        <v>516</v>
      </c>
      <c r="C165" t="s">
        <v>517</v>
      </c>
      <c r="F165" s="7">
        <f t="shared" si="13"/>
        <v>0</v>
      </c>
      <c r="G165" s="7">
        <f t="shared" si="14"/>
        <v>0</v>
      </c>
      <c r="H165" s="7" t="str">
        <f t="shared" si="15"/>
        <v>0</v>
      </c>
      <c r="I165" s="7" t="str">
        <f t="shared" si="11"/>
        <v>0</v>
      </c>
      <c r="J165" s="8">
        <f t="shared" si="16"/>
        <v>0</v>
      </c>
      <c r="K165" s="8" t="str">
        <f t="shared" si="12"/>
        <v>0</v>
      </c>
      <c r="L165" s="8">
        <v>9094.2999999999993</v>
      </c>
      <c r="M165" s="8">
        <v>733.96</v>
      </c>
      <c r="N165" s="8">
        <v>733.96</v>
      </c>
      <c r="O165" s="8">
        <v>733.96</v>
      </c>
      <c r="P165" s="8">
        <v>733.96</v>
      </c>
      <c r="Q165" s="8">
        <v>733.96</v>
      </c>
      <c r="R165" s="8">
        <v>733.96</v>
      </c>
      <c r="S165" s="8">
        <v>733.96</v>
      </c>
      <c r="T165" s="8">
        <v>733.96</v>
      </c>
      <c r="U165" s="8">
        <v>733.96</v>
      </c>
      <c r="V165" s="8">
        <v>733.96</v>
      </c>
      <c r="W165" s="8">
        <v>0</v>
      </c>
      <c r="AJ165" s="8" t="str">
        <f>IFERROR(INDEX([1]SuSa_2024!BN:BN,MATCH($B165,[1]SuSa_2024!$B:$B,0)),"0")</f>
        <v>0</v>
      </c>
      <c r="AK165" s="8" t="str">
        <f>IFERROR(INDEX([1]SuSa_2024!BO:BO,MATCH($B165,[1]SuSa_2024!$B:$B,0)),"0")</f>
        <v>0</v>
      </c>
      <c r="AL165" s="8" t="str">
        <f>IFERROR(INDEX([1]SuSa_2024!BP:BP,MATCH($B165,[1]SuSa_2024!$B:$B,0)),"0")</f>
        <v>0</v>
      </c>
      <c r="AM165" s="8" t="str">
        <f>IFERROR(INDEX([1]SuSa_2024!BQ:BQ,MATCH($B165,[1]SuSa_2024!$B:$B,0)),"0")</f>
        <v>0</v>
      </c>
      <c r="AN165" s="8" t="str">
        <f>IFERROR(INDEX([1]SuSa_2024!BR:BR,MATCH($B165,[1]SuSa_2024!$B:$B,0)),"0")</f>
        <v>0</v>
      </c>
      <c r="AO165" s="8" t="str">
        <f>IFERROR(INDEX([1]SuSa_2024!BS:BS,MATCH($B165,[1]SuSa_2024!$B:$B,0)),"0")</f>
        <v>0</v>
      </c>
      <c r="AP165" s="8" t="str">
        <f>IFERROR(INDEX([1]SuSa_2024!BT:BT,MATCH($B165,[1]SuSa_2024!$B:$B,0)),"0")</f>
        <v>0</v>
      </c>
      <c r="AQ165" s="8" t="str">
        <f>IFERROR(INDEX([1]SuSa_2024!BU:BU,MATCH($B165,[1]SuSa_2024!$B:$B,0)),"0")</f>
        <v>0</v>
      </c>
      <c r="AR165" s="8" t="str">
        <f>IFERROR(INDEX([1]SuSa_2024!BV:BV,MATCH($B165,[1]SuSa_2024!$B:$B,0)),"0")</f>
        <v>0</v>
      </c>
      <c r="AS165" s="8" t="str">
        <f>IFERROR(INDEX([1]SuSa_2024!BW:BW,MATCH($B165,[1]SuSa_2024!$B:$B,0)),"0")</f>
        <v>0</v>
      </c>
      <c r="AT165" s="8" t="str">
        <f>IFERROR(INDEX([1]SuSa_2024!BX:BX,MATCH($B165,[1]SuSa_2024!$B:$B,0)),"0")</f>
        <v>0</v>
      </c>
      <c r="AU165" s="8" t="str">
        <f>IFERROR(INDEX([1]SuSa_2024!BY:BY,MATCH($B165,[1]SuSa_2024!$B:$B,0)),"0")</f>
        <v>0</v>
      </c>
      <c r="AV165" s="8" t="str">
        <f>IFERROR(INDEX([1]SuSa_2025!AR:AR,MATCH($B165,[1]SuSa_2025!$B:$B,0)),"0")</f>
        <v>0</v>
      </c>
      <c r="AW165" s="8" t="str">
        <f>IFERROR(INDEX([1]SuSa_2025!AS:AS,MATCH($B165,[1]SuSa_2025!$B:$B,0)),"0")</f>
        <v>0</v>
      </c>
      <c r="AX165" s="8" t="str">
        <f>IFERROR(INDEX([1]SuSa_2025!AT:AT,MATCH($B165,[1]SuSa_2025!$B:$B,0)),"0")</f>
        <v>0</v>
      </c>
      <c r="AY165" s="8" t="str">
        <f>IFERROR(INDEX([1]SuSa_2025!AU:AU,MATCH($B165,[1]SuSa_2025!$B:$B,0)),"0")</f>
        <v>0</v>
      </c>
      <c r="AZ165" s="8" t="str">
        <f>IFERROR(INDEX([1]SuSa_2025!AV:AV,MATCH($B165,[1]SuSa_2025!$B:$B,0)),"0")</f>
        <v>0</v>
      </c>
      <c r="BA165" s="8" t="str">
        <f>IFERROR(INDEX([1]SuSa_2025!AW:AW,MATCH($B165,[1]SuSa_2025!$B:$B,0)),"0")</f>
        <v>0</v>
      </c>
      <c r="BB165" s="8" t="str">
        <f>IFERROR(INDEX([1]SuSa_2025!AX:AX,MATCH($B165,[1]SuSa_2025!$B:$B,0)),"0")</f>
        <v>0</v>
      </c>
    </row>
    <row r="166" spans="1:54" outlineLevel="1" collapsed="1" x14ac:dyDescent="0.25">
      <c r="A166" s="5" t="s">
        <v>502</v>
      </c>
      <c r="B166" s="6" t="s">
        <v>518</v>
      </c>
      <c r="C166" t="s">
        <v>519</v>
      </c>
      <c r="F166" s="7">
        <f t="shared" si="13"/>
        <v>0</v>
      </c>
      <c r="G166" s="7">
        <f t="shared" si="14"/>
        <v>0</v>
      </c>
      <c r="H166" s="7" t="str">
        <f t="shared" si="15"/>
        <v>0</v>
      </c>
      <c r="I166" s="7" t="str">
        <f t="shared" si="11"/>
        <v>0</v>
      </c>
      <c r="J166" s="8">
        <f t="shared" si="16"/>
        <v>0</v>
      </c>
      <c r="K166" s="8" t="str">
        <f t="shared" si="12"/>
        <v>0</v>
      </c>
      <c r="L166" s="8">
        <v>8668.66</v>
      </c>
      <c r="M166" s="8">
        <v>8668.66</v>
      </c>
      <c r="N166" s="8">
        <v>8668.66</v>
      </c>
      <c r="O166" s="8">
        <v>8668.66</v>
      </c>
      <c r="P166" s="8">
        <v>8668.66</v>
      </c>
      <c r="Q166" s="8">
        <v>8668.66</v>
      </c>
      <c r="R166" s="8">
        <v>8668.66</v>
      </c>
      <c r="S166" s="8">
        <v>8668.66</v>
      </c>
      <c r="T166" s="8">
        <v>8668.66</v>
      </c>
      <c r="U166" s="8">
        <v>8668.66</v>
      </c>
      <c r="V166" s="8">
        <v>8668.66</v>
      </c>
      <c r="W166" s="8">
        <v>0</v>
      </c>
      <c r="AJ166" s="8" t="str">
        <f>IFERROR(INDEX([1]SuSa_2024!BN:BN,MATCH($B166,[1]SuSa_2024!$B:$B,0)),"0")</f>
        <v>0</v>
      </c>
      <c r="AK166" s="8" t="str">
        <f>IFERROR(INDEX([1]SuSa_2024!BO:BO,MATCH($B166,[1]SuSa_2024!$B:$B,0)),"0")</f>
        <v>0</v>
      </c>
      <c r="AL166" s="8" t="str">
        <f>IFERROR(INDEX([1]SuSa_2024!BP:BP,MATCH($B166,[1]SuSa_2024!$B:$B,0)),"0")</f>
        <v>0</v>
      </c>
      <c r="AM166" s="8" t="str">
        <f>IFERROR(INDEX([1]SuSa_2024!BQ:BQ,MATCH($B166,[1]SuSa_2024!$B:$B,0)),"0")</f>
        <v>0</v>
      </c>
      <c r="AN166" s="8" t="str">
        <f>IFERROR(INDEX([1]SuSa_2024!BR:BR,MATCH($B166,[1]SuSa_2024!$B:$B,0)),"0")</f>
        <v>0</v>
      </c>
      <c r="AO166" s="8" t="str">
        <f>IFERROR(INDEX([1]SuSa_2024!BS:BS,MATCH($B166,[1]SuSa_2024!$B:$B,0)),"0")</f>
        <v>0</v>
      </c>
      <c r="AP166" s="8" t="str">
        <f>IFERROR(INDEX([1]SuSa_2024!BT:BT,MATCH($B166,[1]SuSa_2024!$B:$B,0)),"0")</f>
        <v>0</v>
      </c>
      <c r="AQ166" s="8" t="str">
        <f>IFERROR(INDEX([1]SuSa_2024!BU:BU,MATCH($B166,[1]SuSa_2024!$B:$B,0)),"0")</f>
        <v>0</v>
      </c>
      <c r="AR166" s="8" t="str">
        <f>IFERROR(INDEX([1]SuSa_2024!BV:BV,MATCH($B166,[1]SuSa_2024!$B:$B,0)),"0")</f>
        <v>0</v>
      </c>
      <c r="AS166" s="8" t="str">
        <f>IFERROR(INDEX([1]SuSa_2024!BW:BW,MATCH($B166,[1]SuSa_2024!$B:$B,0)),"0")</f>
        <v>0</v>
      </c>
      <c r="AT166" s="8" t="str">
        <f>IFERROR(INDEX([1]SuSa_2024!BX:BX,MATCH($B166,[1]SuSa_2024!$B:$B,0)),"0")</f>
        <v>0</v>
      </c>
      <c r="AU166" s="8" t="str">
        <f>IFERROR(INDEX([1]SuSa_2024!BY:BY,MATCH($B166,[1]SuSa_2024!$B:$B,0)),"0")</f>
        <v>0</v>
      </c>
      <c r="AV166" s="8" t="str">
        <f>IFERROR(INDEX([1]SuSa_2025!AR:AR,MATCH($B166,[1]SuSa_2025!$B:$B,0)),"0")</f>
        <v>0</v>
      </c>
      <c r="AW166" s="8" t="str">
        <f>IFERROR(INDEX([1]SuSa_2025!AS:AS,MATCH($B166,[1]SuSa_2025!$B:$B,0)),"0")</f>
        <v>0</v>
      </c>
      <c r="AX166" s="8" t="str">
        <f>IFERROR(INDEX([1]SuSa_2025!AT:AT,MATCH($B166,[1]SuSa_2025!$B:$B,0)),"0")</f>
        <v>0</v>
      </c>
      <c r="AY166" s="8" t="str">
        <f>IFERROR(INDEX([1]SuSa_2025!AU:AU,MATCH($B166,[1]SuSa_2025!$B:$B,0)),"0")</f>
        <v>0</v>
      </c>
      <c r="AZ166" s="8" t="str">
        <f>IFERROR(INDEX([1]SuSa_2025!AV:AV,MATCH($B166,[1]SuSa_2025!$B:$B,0)),"0")</f>
        <v>0</v>
      </c>
      <c r="BA166" s="8" t="str">
        <f>IFERROR(INDEX([1]SuSa_2025!AW:AW,MATCH($B166,[1]SuSa_2025!$B:$B,0)),"0")</f>
        <v>0</v>
      </c>
      <c r="BB166" s="8" t="str">
        <f>IFERROR(INDEX([1]SuSa_2025!AX:AX,MATCH($B166,[1]SuSa_2025!$B:$B,0)),"0")</f>
        <v>0</v>
      </c>
    </row>
    <row r="167" spans="1:54" outlineLevel="1" collapsed="1" x14ac:dyDescent="0.25">
      <c r="A167" s="5" t="s">
        <v>502</v>
      </c>
      <c r="B167" s="6" t="s">
        <v>520</v>
      </c>
      <c r="C167" t="s">
        <v>521</v>
      </c>
      <c r="F167" s="7">
        <f t="shared" si="13"/>
        <v>0</v>
      </c>
      <c r="G167" s="7">
        <f t="shared" si="14"/>
        <v>0</v>
      </c>
      <c r="H167" s="7" t="str">
        <f t="shared" si="15"/>
        <v>0</v>
      </c>
      <c r="I167" s="7" t="str">
        <f t="shared" si="11"/>
        <v>0</v>
      </c>
      <c r="J167" s="8">
        <f t="shared" si="16"/>
        <v>0</v>
      </c>
      <c r="K167" s="8" t="str">
        <f t="shared" si="12"/>
        <v>0</v>
      </c>
      <c r="L167" s="8">
        <v>3317.85</v>
      </c>
      <c r="M167" s="8">
        <v>2235.85</v>
      </c>
      <c r="N167" s="8">
        <v>2235.85</v>
      </c>
      <c r="O167" s="8">
        <v>2235.85</v>
      </c>
      <c r="P167" s="8">
        <v>2235.85</v>
      </c>
      <c r="Q167" s="8">
        <v>2235.85</v>
      </c>
      <c r="R167" s="8">
        <v>2235.85</v>
      </c>
      <c r="S167" s="8">
        <v>2235.85</v>
      </c>
      <c r="T167" s="8">
        <v>2235.85</v>
      </c>
      <c r="U167" s="8">
        <v>2235.85</v>
      </c>
      <c r="V167" s="8">
        <v>2235.85</v>
      </c>
      <c r="W167" s="8">
        <v>0</v>
      </c>
      <c r="AJ167" s="8" t="str">
        <f>IFERROR(INDEX([1]SuSa_2024!BN:BN,MATCH($B167,[1]SuSa_2024!$B:$B,0)),"0")</f>
        <v>0</v>
      </c>
      <c r="AK167" s="8" t="str">
        <f>IFERROR(INDEX([1]SuSa_2024!BO:BO,MATCH($B167,[1]SuSa_2024!$B:$B,0)),"0")</f>
        <v>0</v>
      </c>
      <c r="AL167" s="8" t="str">
        <f>IFERROR(INDEX([1]SuSa_2024!BP:BP,MATCH($B167,[1]SuSa_2024!$B:$B,0)),"0")</f>
        <v>0</v>
      </c>
      <c r="AM167" s="8" t="str">
        <f>IFERROR(INDEX([1]SuSa_2024!BQ:BQ,MATCH($B167,[1]SuSa_2024!$B:$B,0)),"0")</f>
        <v>0</v>
      </c>
      <c r="AN167" s="8" t="str">
        <f>IFERROR(INDEX([1]SuSa_2024!BR:BR,MATCH($B167,[1]SuSa_2024!$B:$B,0)),"0")</f>
        <v>0</v>
      </c>
      <c r="AO167" s="8" t="str">
        <f>IFERROR(INDEX([1]SuSa_2024!BS:BS,MATCH($B167,[1]SuSa_2024!$B:$B,0)),"0")</f>
        <v>0</v>
      </c>
      <c r="AP167" s="8" t="str">
        <f>IFERROR(INDEX([1]SuSa_2024!BT:BT,MATCH($B167,[1]SuSa_2024!$B:$B,0)),"0")</f>
        <v>0</v>
      </c>
      <c r="AQ167" s="8" t="str">
        <f>IFERROR(INDEX([1]SuSa_2024!BU:BU,MATCH($B167,[1]SuSa_2024!$B:$B,0)),"0")</f>
        <v>0</v>
      </c>
      <c r="AR167" s="8" t="str">
        <f>IFERROR(INDEX([1]SuSa_2024!BV:BV,MATCH($B167,[1]SuSa_2024!$B:$B,0)),"0")</f>
        <v>0</v>
      </c>
      <c r="AS167" s="8" t="str">
        <f>IFERROR(INDEX([1]SuSa_2024!BW:BW,MATCH($B167,[1]SuSa_2024!$B:$B,0)),"0")</f>
        <v>0</v>
      </c>
      <c r="AT167" s="8" t="str">
        <f>IFERROR(INDEX([1]SuSa_2024!BX:BX,MATCH($B167,[1]SuSa_2024!$B:$B,0)),"0")</f>
        <v>0</v>
      </c>
      <c r="AU167" s="8" t="str">
        <f>IFERROR(INDEX([1]SuSa_2024!BY:BY,MATCH($B167,[1]SuSa_2024!$B:$B,0)),"0")</f>
        <v>0</v>
      </c>
      <c r="AV167" s="8" t="str">
        <f>IFERROR(INDEX([1]SuSa_2025!AR:AR,MATCH($B167,[1]SuSa_2025!$B:$B,0)),"0")</f>
        <v>0</v>
      </c>
      <c r="AW167" s="8" t="str">
        <f>IFERROR(INDEX([1]SuSa_2025!AS:AS,MATCH($B167,[1]SuSa_2025!$B:$B,0)),"0")</f>
        <v>0</v>
      </c>
      <c r="AX167" s="8" t="str">
        <f>IFERROR(INDEX([1]SuSa_2025!AT:AT,MATCH($B167,[1]SuSa_2025!$B:$B,0)),"0")</f>
        <v>0</v>
      </c>
      <c r="AY167" s="8" t="str">
        <f>IFERROR(INDEX([1]SuSa_2025!AU:AU,MATCH($B167,[1]SuSa_2025!$B:$B,0)),"0")</f>
        <v>0</v>
      </c>
      <c r="AZ167" s="8" t="str">
        <f>IFERROR(INDEX([1]SuSa_2025!AV:AV,MATCH($B167,[1]SuSa_2025!$B:$B,0)),"0")</f>
        <v>0</v>
      </c>
      <c r="BA167" s="8" t="str">
        <f>IFERROR(INDEX([1]SuSa_2025!AW:AW,MATCH($B167,[1]SuSa_2025!$B:$B,0)),"0")</f>
        <v>0</v>
      </c>
      <c r="BB167" s="8" t="str">
        <f>IFERROR(INDEX([1]SuSa_2025!AX:AX,MATCH($B167,[1]SuSa_2025!$B:$B,0)),"0")</f>
        <v>0</v>
      </c>
    </row>
    <row r="168" spans="1:54" outlineLevel="1" collapsed="1" x14ac:dyDescent="0.25">
      <c r="A168" s="5" t="s">
        <v>522</v>
      </c>
      <c r="B168" s="6" t="s">
        <v>523</v>
      </c>
      <c r="C168" t="s">
        <v>524</v>
      </c>
      <c r="E168" t="s">
        <v>505</v>
      </c>
      <c r="F168" s="7">
        <f t="shared" si="13"/>
        <v>14826.22</v>
      </c>
      <c r="G168" s="7">
        <f t="shared" si="14"/>
        <v>8557.24</v>
      </c>
      <c r="H168" s="7">
        <f t="shared" si="15"/>
        <v>14641.84</v>
      </c>
      <c r="I168" s="7">
        <f t="shared" si="11"/>
        <v>4704.2700000000004</v>
      </c>
      <c r="J168" s="8">
        <f t="shared" si="16"/>
        <v>13641.27</v>
      </c>
      <c r="K168" s="8">
        <f t="shared" si="12"/>
        <v>5704.84</v>
      </c>
      <c r="L168" s="8">
        <v>198.09</v>
      </c>
      <c r="M168" s="8">
        <v>396.18</v>
      </c>
      <c r="N168" s="8">
        <v>594.27</v>
      </c>
      <c r="O168" s="8">
        <v>792.36</v>
      </c>
      <c r="P168" s="8">
        <v>990.45</v>
      </c>
      <c r="Q168" s="8">
        <v>3650.17</v>
      </c>
      <c r="R168" s="8">
        <v>4258.53</v>
      </c>
      <c r="S168" s="8">
        <v>4866.8900000000003</v>
      </c>
      <c r="T168" s="8">
        <v>7300.36</v>
      </c>
      <c r="U168" s="8">
        <v>8517.07</v>
      </c>
      <c r="V168" s="8">
        <v>9189.43</v>
      </c>
      <c r="W168" s="8">
        <v>14826.22</v>
      </c>
      <c r="X168" s="8">
        <v>202.79</v>
      </c>
      <c r="Y168" s="8">
        <v>405.58</v>
      </c>
      <c r="Z168" s="8">
        <v>608.37</v>
      </c>
      <c r="AA168" s="8">
        <v>2852.44</v>
      </c>
      <c r="AB168" s="8">
        <v>3565.55</v>
      </c>
      <c r="AC168" s="8">
        <v>4278.66</v>
      </c>
      <c r="AD168" s="8">
        <v>4991.7700000000004</v>
      </c>
      <c r="AE168" s="8">
        <v>5704.88</v>
      </c>
      <c r="AF168" s="8">
        <v>6417.99</v>
      </c>
      <c r="AG168" s="8">
        <v>7131.1</v>
      </c>
      <c r="AH168" s="8">
        <v>7844.21</v>
      </c>
      <c r="AI168" s="8">
        <v>8557.24</v>
      </c>
      <c r="AJ168" s="8">
        <f>IFERROR(INDEX([1]SuSa_2024!BN:BN,MATCH($B168,[1]SuSa_2024!$B:$B,0)),"0")</f>
        <v>0</v>
      </c>
      <c r="AK168" s="8">
        <f>IFERROR(INDEX([1]SuSa_2024!BO:BO,MATCH($B168,[1]SuSa_2024!$B:$B,0)),"0")</f>
        <v>0</v>
      </c>
      <c r="AL168" s="8">
        <f>IFERROR(INDEX([1]SuSa_2024!BP:BP,MATCH($B168,[1]SuSa_2024!$B:$B,0)),"0")</f>
        <v>2852.42</v>
      </c>
      <c r="AM168" s="8">
        <f>IFERROR(INDEX([1]SuSa_2024!BQ:BQ,MATCH($B168,[1]SuSa_2024!$B:$B,0)),"0")</f>
        <v>2852.42</v>
      </c>
      <c r="AN168" s="8">
        <f>IFERROR(INDEX([1]SuSa_2024!BR:BR,MATCH($B168,[1]SuSa_2024!$B:$B,0)),"0")</f>
        <v>5704.84</v>
      </c>
      <c r="AO168" s="8">
        <f>IFERROR(INDEX([1]SuSa_2024!BS:BS,MATCH($B168,[1]SuSa_2024!$B:$B,0)),"0")</f>
        <v>5704.84</v>
      </c>
      <c r="AP168" s="8">
        <f>IFERROR(INDEX([1]SuSa_2024!BT:BT,MATCH($B168,[1]SuSa_2024!$B:$B,0)),"0")</f>
        <v>5704.84</v>
      </c>
      <c r="AQ168" s="8">
        <f>IFERROR(INDEX([1]SuSa_2024!BU:BU,MATCH($B168,[1]SuSa_2024!$B:$B,0)),"0")</f>
        <v>8557.26</v>
      </c>
      <c r="AR168" s="8">
        <f>IFERROR(INDEX([1]SuSa_2024!BV:BV,MATCH($B168,[1]SuSa_2024!$B:$B,0)),"0")</f>
        <v>8557.26</v>
      </c>
      <c r="AS168" s="8">
        <f>IFERROR(INDEX([1]SuSa_2024!BW:BW,MATCH($B168,[1]SuSa_2024!$B:$B,0)),"0")</f>
        <v>8557.26</v>
      </c>
      <c r="AT168" s="8">
        <f>IFERROR(INDEX([1]SuSa_2024!BX:BX,MATCH($B168,[1]SuSa_2024!$B:$B,0)),"0")</f>
        <v>11409.68</v>
      </c>
      <c r="AU168" s="8">
        <f>IFERROR(INDEX([1]SuSa_2024!BY:BY,MATCH($B168,[1]SuSa_2024!$B:$B,0)),"0")</f>
        <v>14641.84</v>
      </c>
      <c r="AV168" s="8">
        <f>IFERROR(INDEX([1]SuSa_2025!AR:AR,MATCH($B168,[1]SuSa_2025!$B:$B,0)),"0")</f>
        <v>3042.29</v>
      </c>
      <c r="AW168" s="8">
        <f>IFERROR(INDEX([1]SuSa_2025!AS:AS,MATCH($B168,[1]SuSa_2025!$B:$B,0)),"0")</f>
        <v>3042.29</v>
      </c>
      <c r="AX168" s="8">
        <f>IFERROR(INDEX([1]SuSa_2025!AT:AT,MATCH($B168,[1]SuSa_2025!$B:$B,0)),"0")</f>
        <v>3042.29</v>
      </c>
      <c r="AY168" s="8">
        <f>IFERROR(INDEX([1]SuSa_2025!AU:AU,MATCH($B168,[1]SuSa_2025!$B:$B,0)),"0")</f>
        <v>3042.29</v>
      </c>
      <c r="AZ168" s="8">
        <f>IFERROR(INDEX([1]SuSa_2025!AV:AV,MATCH($B168,[1]SuSa_2025!$B:$B,0)),"0")</f>
        <v>4704.2700000000004</v>
      </c>
      <c r="BA168" s="8">
        <f>IFERROR(INDEX([1]SuSa_2025!AW:AW,MATCH($B168,[1]SuSa_2025!$B:$B,0)),"0")</f>
        <v>4704.2700000000004</v>
      </c>
      <c r="BB168" s="8">
        <f>IFERROR(INDEX([1]SuSa_2025!AX:AX,MATCH($B168,[1]SuSa_2025!$B:$B,0)),"0")</f>
        <v>4704.2700000000004</v>
      </c>
    </row>
    <row r="169" spans="1:54" outlineLevel="1" collapsed="1" x14ac:dyDescent="0.25">
      <c r="A169" s="5" t="s">
        <v>525</v>
      </c>
      <c r="B169" s="6" t="s">
        <v>526</v>
      </c>
      <c r="C169" t="s">
        <v>527</v>
      </c>
      <c r="F169" s="22">
        <f t="shared" si="13"/>
        <v>15480</v>
      </c>
      <c r="G169" s="7">
        <f t="shared" si="14"/>
        <v>15480</v>
      </c>
      <c r="H169" s="7">
        <f t="shared" si="15"/>
        <v>2856</v>
      </c>
      <c r="I169" s="7">
        <f t="shared" si="11"/>
        <v>1456</v>
      </c>
      <c r="J169" s="8">
        <f t="shared" si="16"/>
        <v>-3428</v>
      </c>
      <c r="K169" s="8">
        <f t="shared" si="12"/>
        <v>7740</v>
      </c>
      <c r="W169" s="8">
        <v>15480</v>
      </c>
      <c r="X169" s="8">
        <v>1290</v>
      </c>
      <c r="Y169" s="8">
        <v>2580</v>
      </c>
      <c r="Z169" s="8">
        <v>3870</v>
      </c>
      <c r="AA169" s="8">
        <v>5160</v>
      </c>
      <c r="AB169" s="8">
        <v>6450</v>
      </c>
      <c r="AC169" s="8">
        <v>7740</v>
      </c>
      <c r="AD169" s="8">
        <v>9030</v>
      </c>
      <c r="AE169" s="8">
        <v>10320</v>
      </c>
      <c r="AF169" s="8">
        <v>11610</v>
      </c>
      <c r="AG169" s="8">
        <v>12900</v>
      </c>
      <c r="AH169" s="8">
        <v>14190</v>
      </c>
      <c r="AI169" s="8">
        <v>15480</v>
      </c>
      <c r="AJ169" s="8">
        <f>IFERROR(INDEX([1]SuSa_2024!BN:BN,MATCH($B169,[1]SuSa_2024!$B:$B,0)),"0")</f>
        <v>1290</v>
      </c>
      <c r="AK169" s="8">
        <f>IFERROR(INDEX([1]SuSa_2024!BO:BO,MATCH($B169,[1]SuSa_2024!$B:$B,0)),"0")</f>
        <v>2580</v>
      </c>
      <c r="AL169" s="8">
        <f>IFERROR(INDEX([1]SuSa_2024!BP:BP,MATCH($B169,[1]SuSa_2024!$B:$B,0)),"0")</f>
        <v>3870</v>
      </c>
      <c r="AM169" s="8">
        <f>IFERROR(INDEX([1]SuSa_2024!BQ:BQ,MATCH($B169,[1]SuSa_2024!$B:$B,0)),"0")</f>
        <v>5160</v>
      </c>
      <c r="AN169" s="8">
        <f>IFERROR(INDEX([1]SuSa_2024!BR:BR,MATCH($B169,[1]SuSa_2024!$B:$B,0)),"0")</f>
        <v>6450</v>
      </c>
      <c r="AO169" s="8">
        <f>IFERROR(INDEX([1]SuSa_2024!BS:BS,MATCH($B169,[1]SuSa_2024!$B:$B,0)),"0")</f>
        <v>7740</v>
      </c>
      <c r="AP169" s="8">
        <f>IFERROR(INDEX([1]SuSa_2024!BT:BT,MATCH($B169,[1]SuSa_2024!$B:$B,0)),"0")</f>
        <v>7740</v>
      </c>
      <c r="AQ169" s="8">
        <f>IFERROR(INDEX([1]SuSa_2024!BU:BU,MATCH($B169,[1]SuSa_2024!$B:$B,0)),"0")</f>
        <v>10320</v>
      </c>
      <c r="AR169" s="8">
        <f>IFERROR(INDEX([1]SuSa_2024!BV:BV,MATCH($B169,[1]SuSa_2024!$B:$B,0)),"0")</f>
        <v>11610</v>
      </c>
      <c r="AS169" s="8">
        <f>IFERROR(INDEX([1]SuSa_2024!BW:BW,MATCH($B169,[1]SuSa_2024!$B:$B,0)),"0")</f>
        <v>12900</v>
      </c>
      <c r="AT169" s="8">
        <f>IFERROR(INDEX([1]SuSa_2024!BX:BX,MATCH($B169,[1]SuSa_2024!$B:$B,0)),"0")</f>
        <v>14190</v>
      </c>
      <c r="AU169" s="8">
        <f>IFERROR(INDEX([1]SuSa_2024!BY:BY,MATCH($B169,[1]SuSa_2024!$B:$B,0)),"0")</f>
        <v>2856</v>
      </c>
      <c r="AV169" s="8">
        <f>IFERROR(INDEX([1]SuSa_2025!AR:AR,MATCH($B169,[1]SuSa_2025!$B:$B,0)),"0")</f>
        <v>208</v>
      </c>
      <c r="AW169" s="8">
        <f>IFERROR(INDEX([1]SuSa_2025!AS:AS,MATCH($B169,[1]SuSa_2025!$B:$B,0)),"0")</f>
        <v>416</v>
      </c>
      <c r="AX169" s="8">
        <f>IFERROR(INDEX([1]SuSa_2025!AT:AT,MATCH($B169,[1]SuSa_2025!$B:$B,0)),"0")</f>
        <v>624</v>
      </c>
      <c r="AY169" s="8">
        <f>IFERROR(INDEX([1]SuSa_2025!AU:AU,MATCH($B169,[1]SuSa_2025!$B:$B,0)),"0")</f>
        <v>832</v>
      </c>
      <c r="AZ169" s="8">
        <f>IFERROR(INDEX([1]SuSa_2025!AV:AV,MATCH($B169,[1]SuSa_2025!$B:$B,0)),"0")</f>
        <v>1040</v>
      </c>
      <c r="BA169" s="8">
        <f>IFERROR(INDEX([1]SuSa_2025!AW:AW,MATCH($B169,[1]SuSa_2025!$B:$B,0)),"0")</f>
        <v>1248</v>
      </c>
      <c r="BB169" s="8">
        <f>IFERROR(INDEX([1]SuSa_2025!AX:AX,MATCH($B169,[1]SuSa_2025!$B:$B,0)),"0")</f>
        <v>1456</v>
      </c>
    </row>
    <row r="170" spans="1:54" outlineLevel="1" collapsed="1" x14ac:dyDescent="0.25">
      <c r="A170" s="5" t="s">
        <v>528</v>
      </c>
      <c r="B170" s="6" t="s">
        <v>529</v>
      </c>
      <c r="C170" t="s">
        <v>530</v>
      </c>
      <c r="E170" t="s">
        <v>463</v>
      </c>
      <c r="F170" s="7">
        <f t="shared" si="13"/>
        <v>6271.89</v>
      </c>
      <c r="G170" s="7">
        <f t="shared" si="14"/>
        <v>10459.040000000001</v>
      </c>
      <c r="H170" s="7">
        <f t="shared" si="15"/>
        <v>6049.130000000001</v>
      </c>
      <c r="I170" s="7">
        <f t="shared" si="11"/>
        <v>1657.9599999999998</v>
      </c>
      <c r="J170" s="8">
        <f t="shared" si="16"/>
        <v>3525.3100000000013</v>
      </c>
      <c r="K170" s="8">
        <f t="shared" si="12"/>
        <v>4181.78</v>
      </c>
      <c r="L170" s="8">
        <v>536.20000000000005</v>
      </c>
      <c r="M170" s="8">
        <v>690.36</v>
      </c>
      <c r="N170" s="8">
        <v>966.96</v>
      </c>
      <c r="O170" s="8">
        <v>1203.24</v>
      </c>
      <c r="P170" s="8">
        <v>1529.93</v>
      </c>
      <c r="Q170" s="8">
        <v>1834.44</v>
      </c>
      <c r="R170" s="8">
        <v>2263.23</v>
      </c>
      <c r="S170" s="8">
        <v>3012.67</v>
      </c>
      <c r="T170" s="8">
        <v>3308.86</v>
      </c>
      <c r="U170" s="8">
        <v>3681.16</v>
      </c>
      <c r="V170" s="8">
        <v>3893.68</v>
      </c>
      <c r="W170" s="8">
        <v>6271.89</v>
      </c>
      <c r="X170" s="8">
        <v>463.77</v>
      </c>
      <c r="Y170" s="8">
        <v>522.79</v>
      </c>
      <c r="Z170" s="8">
        <v>611.82000000000005</v>
      </c>
      <c r="AA170" s="8">
        <v>786.91</v>
      </c>
      <c r="AB170" s="8">
        <v>1452.99</v>
      </c>
      <c r="AC170" s="8">
        <v>1509.94</v>
      </c>
      <c r="AD170" s="8">
        <v>2018.45</v>
      </c>
      <c r="AE170" s="8">
        <v>4517.67</v>
      </c>
      <c r="AF170" s="8">
        <v>7184.53</v>
      </c>
      <c r="AG170" s="8">
        <v>9044.0400000000009</v>
      </c>
      <c r="AH170" s="8">
        <v>10155.77</v>
      </c>
      <c r="AI170" s="8">
        <v>10459.040000000001</v>
      </c>
      <c r="AJ170" s="8">
        <f>IFERROR(INDEX([1]SuSa_2024!BN:BN,MATCH($B170,[1]SuSa_2024!$B:$B,0)),"0")</f>
        <v>628.24</v>
      </c>
      <c r="AK170" s="8">
        <f>IFERROR(INDEX([1]SuSa_2024!BO:BO,MATCH($B170,[1]SuSa_2024!$B:$B,0)),"0")</f>
        <v>1924.22</v>
      </c>
      <c r="AL170" s="8">
        <f>IFERROR(INDEX([1]SuSa_2024!BP:BP,MATCH($B170,[1]SuSa_2024!$B:$B,0)),"0")</f>
        <v>2655.31</v>
      </c>
      <c r="AM170" s="8">
        <f>IFERROR(INDEX([1]SuSa_2024!BQ:BQ,MATCH($B170,[1]SuSa_2024!$B:$B,0)),"0")</f>
        <v>3387.31</v>
      </c>
      <c r="AN170" s="8">
        <f>IFERROR(INDEX([1]SuSa_2024!BR:BR,MATCH($B170,[1]SuSa_2024!$B:$B,0)),"0")</f>
        <v>2677.56</v>
      </c>
      <c r="AO170" s="8">
        <f>IFERROR(INDEX([1]SuSa_2024!BS:BS,MATCH($B170,[1]SuSa_2024!$B:$B,0)),"0")</f>
        <v>3462.62</v>
      </c>
      <c r="AP170" s="8">
        <f>IFERROR(INDEX([1]SuSa_2024!BT:BT,MATCH($B170,[1]SuSa_2024!$B:$B,0)),"0")</f>
        <v>4181.78</v>
      </c>
      <c r="AQ170" s="8">
        <f>IFERROR(INDEX([1]SuSa_2024!BU:BU,MATCH($B170,[1]SuSa_2024!$B:$B,0)),"0")</f>
        <v>4320.55</v>
      </c>
      <c r="AR170" s="8">
        <f>IFERROR(INDEX([1]SuSa_2024!BV:BV,MATCH($B170,[1]SuSa_2024!$B:$B,0)),"0")</f>
        <v>4320.55</v>
      </c>
      <c r="AS170" s="8">
        <f>IFERROR(INDEX([1]SuSa_2024!BW:BW,MATCH($B170,[1]SuSa_2024!$B:$B,0)),"0")</f>
        <v>4320.55</v>
      </c>
      <c r="AT170" s="8">
        <f>IFERROR(INDEX([1]SuSa_2024!BX:BX,MATCH($B170,[1]SuSa_2024!$B:$B,0)),"0")</f>
        <v>4547.4400000000005</v>
      </c>
      <c r="AU170" s="8">
        <f>IFERROR(INDEX([1]SuSa_2024!BY:BY,MATCH($B170,[1]SuSa_2024!$B:$B,0)),"0")</f>
        <v>6049.130000000001</v>
      </c>
      <c r="AV170" s="8">
        <f>IFERROR(INDEX([1]SuSa_2025!AR:AR,MATCH($B170,[1]SuSa_2025!$B:$B,0)),"0")</f>
        <v>201.68</v>
      </c>
      <c r="AW170" s="8">
        <f>IFERROR(INDEX([1]SuSa_2025!AS:AS,MATCH($B170,[1]SuSa_2025!$B:$B,0)),"0")</f>
        <v>378.15</v>
      </c>
      <c r="AX170" s="8">
        <f>IFERROR(INDEX([1]SuSa_2025!AT:AT,MATCH($B170,[1]SuSa_2025!$B:$B,0)),"0")</f>
        <v>220.70999999999998</v>
      </c>
      <c r="AY170" s="8">
        <f>IFERROR(INDEX([1]SuSa_2025!AU:AU,MATCH($B170,[1]SuSa_2025!$B:$B,0)),"0")</f>
        <v>775.6099999999999</v>
      </c>
      <c r="AZ170" s="8">
        <f>IFERROR(INDEX([1]SuSa_2025!AV:AV,MATCH($B170,[1]SuSa_2025!$B:$B,0)),"0")</f>
        <v>1027.7099999999998</v>
      </c>
      <c r="BA170" s="8">
        <f>IFERROR(INDEX([1]SuSa_2025!AW:AW,MATCH($B170,[1]SuSa_2025!$B:$B,0)),"0")</f>
        <v>1330.2299999999998</v>
      </c>
      <c r="BB170" s="8">
        <f>IFERROR(INDEX([1]SuSa_2025!AX:AX,MATCH($B170,[1]SuSa_2025!$B:$B,0)),"0")</f>
        <v>1657.9599999999998</v>
      </c>
    </row>
    <row r="171" spans="1:54" outlineLevel="1" collapsed="1" x14ac:dyDescent="0.25">
      <c r="A171" s="5" t="s">
        <v>531</v>
      </c>
      <c r="B171" s="6" t="s">
        <v>532</v>
      </c>
      <c r="C171" t="s">
        <v>533</v>
      </c>
      <c r="E171" t="s">
        <v>463</v>
      </c>
      <c r="F171" s="7">
        <f t="shared" si="13"/>
        <v>15215.92</v>
      </c>
      <c r="G171" s="7">
        <f t="shared" si="14"/>
        <v>5620.65</v>
      </c>
      <c r="H171" s="7">
        <f t="shared" si="15"/>
        <v>212.93</v>
      </c>
      <c r="I171" s="7">
        <f t="shared" si="11"/>
        <v>0</v>
      </c>
      <c r="J171" s="8">
        <f t="shared" si="16"/>
        <v>0</v>
      </c>
      <c r="K171" s="8">
        <f t="shared" si="12"/>
        <v>212.93</v>
      </c>
      <c r="O171" s="8">
        <v>392.08</v>
      </c>
      <c r="P171" s="8">
        <v>7815.27</v>
      </c>
      <c r="Q171" s="8">
        <v>7815.27</v>
      </c>
      <c r="R171" s="8">
        <v>7815.27</v>
      </c>
      <c r="S171" s="8">
        <v>7432.08</v>
      </c>
      <c r="T171" s="8">
        <v>8280.16</v>
      </c>
      <c r="U171" s="8">
        <v>8508.9699999999993</v>
      </c>
      <c r="V171" s="8">
        <v>8508.9699999999993</v>
      </c>
      <c r="W171" s="8">
        <v>15215.92</v>
      </c>
      <c r="X171" s="8">
        <v>1350</v>
      </c>
      <c r="Y171" s="8">
        <v>1960.05</v>
      </c>
      <c r="Z171" s="8">
        <v>1960.05</v>
      </c>
      <c r="AA171" s="8">
        <v>1960.05</v>
      </c>
      <c r="AB171" s="8">
        <v>2860.05</v>
      </c>
      <c r="AC171" s="8">
        <v>2860.05</v>
      </c>
      <c r="AD171" s="8">
        <v>2860.05</v>
      </c>
      <c r="AE171" s="8">
        <v>2860.05</v>
      </c>
      <c r="AF171" s="8">
        <v>2860.05</v>
      </c>
      <c r="AG171" s="8">
        <v>2860.05</v>
      </c>
      <c r="AH171" s="8">
        <v>5620.65</v>
      </c>
      <c r="AI171" s="8">
        <v>5620.65</v>
      </c>
      <c r="AJ171" s="8">
        <f>IFERROR(INDEX([1]SuSa_2024!BN:BN,MATCH($B171,[1]SuSa_2024!$B:$B,0)),"0")</f>
        <v>0</v>
      </c>
      <c r="AK171" s="8">
        <f>IFERROR(INDEX([1]SuSa_2024!BO:BO,MATCH($B171,[1]SuSa_2024!$B:$B,0)),"0")</f>
        <v>0</v>
      </c>
      <c r="AL171" s="8">
        <f>IFERROR(INDEX([1]SuSa_2024!BP:BP,MATCH($B171,[1]SuSa_2024!$B:$B,0)),"0")</f>
        <v>0</v>
      </c>
      <c r="AM171" s="8">
        <f>IFERROR(INDEX([1]SuSa_2024!BQ:BQ,MATCH($B171,[1]SuSa_2024!$B:$B,0)),"0")</f>
        <v>0</v>
      </c>
      <c r="AN171" s="8">
        <f>IFERROR(INDEX([1]SuSa_2024!BR:BR,MATCH($B171,[1]SuSa_2024!$B:$B,0)),"0")</f>
        <v>187.74</v>
      </c>
      <c r="AO171" s="8">
        <f>IFERROR(INDEX([1]SuSa_2024!BS:BS,MATCH($B171,[1]SuSa_2024!$B:$B,0)),"0")</f>
        <v>212.93</v>
      </c>
      <c r="AP171" s="8">
        <f>IFERROR(INDEX([1]SuSa_2024!BT:BT,MATCH($B171,[1]SuSa_2024!$B:$B,0)),"0")</f>
        <v>212.93</v>
      </c>
      <c r="AQ171" s="8">
        <f>IFERROR(INDEX([1]SuSa_2024!BU:BU,MATCH($B171,[1]SuSa_2024!$B:$B,0)),"0")</f>
        <v>212.93</v>
      </c>
      <c r="AR171" s="8">
        <f>IFERROR(INDEX([1]SuSa_2024!BV:BV,MATCH($B171,[1]SuSa_2024!$B:$B,0)),"0")</f>
        <v>212.93</v>
      </c>
      <c r="AS171" s="8">
        <f>IFERROR(INDEX([1]SuSa_2024!BW:BW,MATCH($B171,[1]SuSa_2024!$B:$B,0)),"0")</f>
        <v>212.93</v>
      </c>
      <c r="AT171" s="8">
        <f>IFERROR(INDEX([1]SuSa_2024!BX:BX,MATCH($B171,[1]SuSa_2024!$B:$B,0)),"0")</f>
        <v>212.93</v>
      </c>
      <c r="AU171" s="8">
        <f>IFERROR(INDEX([1]SuSa_2024!BY:BY,MATCH($B171,[1]SuSa_2024!$B:$B,0)),"0")</f>
        <v>212.93</v>
      </c>
      <c r="AV171" s="8">
        <f>IFERROR(INDEX([1]SuSa_2025!AR:AR,MATCH($B171,[1]SuSa_2025!$B:$B,0)),"0")</f>
        <v>0</v>
      </c>
      <c r="AW171" s="8">
        <f>IFERROR(INDEX([1]SuSa_2025!AS:AS,MATCH($B171,[1]SuSa_2025!$B:$B,0)),"0")</f>
        <v>0</v>
      </c>
      <c r="AX171" s="8">
        <f>IFERROR(INDEX([1]SuSa_2025!AT:AT,MATCH($B171,[1]SuSa_2025!$B:$B,0)),"0")</f>
        <v>0</v>
      </c>
      <c r="AY171" s="8">
        <f>IFERROR(INDEX([1]SuSa_2025!AU:AU,MATCH($B171,[1]SuSa_2025!$B:$B,0)),"0")</f>
        <v>0</v>
      </c>
      <c r="AZ171" s="8">
        <f>IFERROR(INDEX([1]SuSa_2025!AV:AV,MATCH($B171,[1]SuSa_2025!$B:$B,0)),"0")</f>
        <v>0</v>
      </c>
      <c r="BA171" s="8">
        <f>IFERROR(INDEX([1]SuSa_2025!AW:AW,MATCH($B171,[1]SuSa_2025!$B:$B,0)),"0")</f>
        <v>0</v>
      </c>
      <c r="BB171" s="8">
        <f>IFERROR(INDEX([1]SuSa_2025!AX:AX,MATCH($B171,[1]SuSa_2025!$B:$B,0)),"0")</f>
        <v>0</v>
      </c>
    </row>
    <row r="172" spans="1:54" outlineLevel="1" collapsed="1" x14ac:dyDescent="0.25">
      <c r="A172" s="5" t="s">
        <v>534</v>
      </c>
      <c r="B172" s="6" t="s">
        <v>535</v>
      </c>
      <c r="C172" t="s">
        <v>536</v>
      </c>
      <c r="E172" t="s">
        <v>505</v>
      </c>
      <c r="F172" s="7">
        <f t="shared" si="13"/>
        <v>1651.38</v>
      </c>
      <c r="G172" s="7">
        <f t="shared" si="14"/>
        <v>1243.74</v>
      </c>
      <c r="H172" s="7">
        <f t="shared" si="15"/>
        <v>456.75</v>
      </c>
      <c r="I172" s="7">
        <f t="shared" si="11"/>
        <v>0</v>
      </c>
      <c r="J172" s="8">
        <f t="shared" si="16"/>
        <v>456.75</v>
      </c>
      <c r="K172" s="8">
        <f t="shared" si="12"/>
        <v>0</v>
      </c>
      <c r="S172" s="8">
        <v>375.86</v>
      </c>
      <c r="T172" s="8">
        <v>760.74</v>
      </c>
      <c r="U172" s="8">
        <v>1057.6199999999999</v>
      </c>
      <c r="V172" s="8">
        <v>1354.5</v>
      </c>
      <c r="W172" s="8">
        <v>1651.38</v>
      </c>
      <c r="X172" s="8">
        <v>147.16</v>
      </c>
      <c r="Y172" s="8">
        <v>294.32</v>
      </c>
      <c r="Z172" s="8">
        <v>588.64</v>
      </c>
      <c r="AA172" s="8">
        <v>882.96</v>
      </c>
      <c r="AB172" s="8">
        <v>1685.22</v>
      </c>
      <c r="AC172" s="8">
        <v>1243.74</v>
      </c>
      <c r="AD172" s="8">
        <v>1243.74</v>
      </c>
      <c r="AE172" s="8">
        <v>1243.74</v>
      </c>
      <c r="AF172" s="8">
        <v>1243.74</v>
      </c>
      <c r="AG172" s="8">
        <v>1243.74</v>
      </c>
      <c r="AH172" s="8">
        <v>1243.74</v>
      </c>
      <c r="AI172" s="8">
        <v>1243.74</v>
      </c>
      <c r="AJ172" s="8">
        <f>IFERROR(INDEX([1]SuSa_2024!BN:BN,MATCH($B172,[1]SuSa_2024!$B:$B,0)),"0")</f>
        <v>0</v>
      </c>
      <c r="AK172" s="8">
        <f>IFERROR(INDEX([1]SuSa_2024!BO:BO,MATCH($B172,[1]SuSa_2024!$B:$B,0)),"0")</f>
        <v>0</v>
      </c>
      <c r="AL172" s="8">
        <f>IFERROR(INDEX([1]SuSa_2024!BP:BP,MATCH($B172,[1]SuSa_2024!$B:$B,0)),"0")</f>
        <v>0</v>
      </c>
      <c r="AM172" s="8">
        <f>IFERROR(INDEX([1]SuSa_2024!BQ:BQ,MATCH($B172,[1]SuSa_2024!$B:$B,0)),"0")</f>
        <v>0</v>
      </c>
      <c r="AN172" s="8">
        <f>IFERROR(INDEX([1]SuSa_2024!BR:BR,MATCH($B172,[1]SuSa_2024!$B:$B,0)),"0")</f>
        <v>0</v>
      </c>
      <c r="AO172" s="8">
        <f>IFERROR(INDEX([1]SuSa_2024!BS:BS,MATCH($B172,[1]SuSa_2024!$B:$B,0)),"0")</f>
        <v>0</v>
      </c>
      <c r="AP172" s="8">
        <f>IFERROR(INDEX([1]SuSa_2024!BT:BT,MATCH($B172,[1]SuSa_2024!$B:$B,0)),"0")</f>
        <v>0</v>
      </c>
      <c r="AQ172" s="8">
        <f>IFERROR(INDEX([1]SuSa_2024!BU:BU,MATCH($B172,[1]SuSa_2024!$B:$B,0)),"0")</f>
        <v>0</v>
      </c>
      <c r="AR172" s="8">
        <f>IFERROR(INDEX([1]SuSa_2024!BV:BV,MATCH($B172,[1]SuSa_2024!$B:$B,0)),"0")</f>
        <v>0</v>
      </c>
      <c r="AS172" s="8">
        <f>IFERROR(INDEX([1]SuSa_2024!BW:BW,MATCH($B172,[1]SuSa_2024!$B:$B,0)),"0")</f>
        <v>152.25</v>
      </c>
      <c r="AT172" s="8">
        <f>IFERROR(INDEX([1]SuSa_2024!BX:BX,MATCH($B172,[1]SuSa_2024!$B:$B,0)),"0")</f>
        <v>304.5</v>
      </c>
      <c r="AU172" s="8">
        <f>IFERROR(INDEX([1]SuSa_2024!BY:BY,MATCH($B172,[1]SuSa_2024!$B:$B,0)),"0")</f>
        <v>456.75</v>
      </c>
      <c r="AV172" s="8">
        <f>IFERROR(INDEX([1]SuSa_2025!AR:AR,MATCH($B172,[1]SuSa_2025!$B:$B,0)),"0")</f>
        <v>0</v>
      </c>
      <c r="AW172" s="8">
        <f>IFERROR(INDEX([1]SuSa_2025!AS:AS,MATCH($B172,[1]SuSa_2025!$B:$B,0)),"0")</f>
        <v>0</v>
      </c>
      <c r="AX172" s="8">
        <f>IFERROR(INDEX([1]SuSa_2025!AT:AT,MATCH($B172,[1]SuSa_2025!$B:$B,0)),"0")</f>
        <v>0</v>
      </c>
      <c r="AY172" s="8">
        <f>IFERROR(INDEX([1]SuSa_2025!AU:AU,MATCH($B172,[1]SuSa_2025!$B:$B,0)),"0")</f>
        <v>0</v>
      </c>
      <c r="AZ172" s="8">
        <f>IFERROR(INDEX([1]SuSa_2025!AV:AV,MATCH($B172,[1]SuSa_2025!$B:$B,0)),"0")</f>
        <v>0</v>
      </c>
      <c r="BA172" s="8">
        <f>IFERROR(INDEX([1]SuSa_2025!AW:AW,MATCH($B172,[1]SuSa_2025!$B:$B,0)),"0")</f>
        <v>0</v>
      </c>
      <c r="BB172" s="8">
        <f>IFERROR(INDEX([1]SuSa_2025!AX:AX,MATCH($B172,[1]SuSa_2025!$B:$B,0)),"0")</f>
        <v>0</v>
      </c>
    </row>
    <row r="173" spans="1:54" outlineLevel="1" collapsed="1" x14ac:dyDescent="0.25">
      <c r="A173" s="5" t="s">
        <v>537</v>
      </c>
      <c r="B173" s="6" t="s">
        <v>538</v>
      </c>
      <c r="C173" t="s">
        <v>539</v>
      </c>
      <c r="E173" t="s">
        <v>463</v>
      </c>
      <c r="F173" s="7">
        <f t="shared" si="13"/>
        <v>1386.92</v>
      </c>
      <c r="G173" s="7">
        <f t="shared" si="14"/>
        <v>1650.54</v>
      </c>
      <c r="H173" s="7">
        <f t="shared" si="15"/>
        <v>236.9</v>
      </c>
      <c r="I173" s="7">
        <f t="shared" si="11"/>
        <v>0</v>
      </c>
      <c r="J173" s="8">
        <f t="shared" si="16"/>
        <v>0</v>
      </c>
      <c r="K173" s="8">
        <f t="shared" si="12"/>
        <v>236.9</v>
      </c>
      <c r="N173" s="8">
        <v>106.51</v>
      </c>
      <c r="O173" s="8">
        <v>106.51</v>
      </c>
      <c r="P173" s="8">
        <v>106.51</v>
      </c>
      <c r="Q173" s="8">
        <v>106.51</v>
      </c>
      <c r="R173" s="8">
        <v>640.11</v>
      </c>
      <c r="S173" s="8">
        <v>640.11</v>
      </c>
      <c r="T173" s="8">
        <v>640.11</v>
      </c>
      <c r="U173" s="8">
        <v>1086.92</v>
      </c>
      <c r="V173" s="8">
        <v>1086.92</v>
      </c>
      <c r="W173" s="8">
        <v>1386.92</v>
      </c>
      <c r="X173" s="8">
        <v>80</v>
      </c>
      <c r="Y173" s="8">
        <v>80</v>
      </c>
      <c r="Z173" s="8">
        <v>177.9</v>
      </c>
      <c r="AA173" s="8">
        <v>260.17</v>
      </c>
      <c r="AB173" s="8">
        <v>260.17</v>
      </c>
      <c r="AC173" s="8">
        <v>260.17</v>
      </c>
      <c r="AD173" s="8">
        <v>288.92</v>
      </c>
      <c r="AE173" s="8">
        <v>488.92</v>
      </c>
      <c r="AF173" s="8">
        <v>488.92</v>
      </c>
      <c r="AG173" s="8">
        <v>749</v>
      </c>
      <c r="AH173" s="8">
        <v>1277.2</v>
      </c>
      <c r="AI173" s="8">
        <v>1650.54</v>
      </c>
      <c r="AJ173" s="8">
        <f>IFERROR(INDEX([1]SuSa_2024!BN:BN,MATCH($B173,[1]SuSa_2024!$B:$B,0)),"0")</f>
        <v>238.55</v>
      </c>
      <c r="AK173" s="8">
        <f>IFERROR(INDEX([1]SuSa_2024!BO:BO,MATCH($B173,[1]SuSa_2024!$B:$B,0)),"0")</f>
        <v>238.55</v>
      </c>
      <c r="AL173" s="8">
        <f>IFERROR(INDEX([1]SuSa_2024!BP:BP,MATCH($B173,[1]SuSa_2024!$B:$B,0)),"0")</f>
        <v>104.65</v>
      </c>
      <c r="AM173" s="8">
        <f>IFERROR(INDEX([1]SuSa_2024!BQ:BQ,MATCH($B173,[1]SuSa_2024!$B:$B,0)),"0")</f>
        <v>165.24</v>
      </c>
      <c r="AN173" s="8">
        <f>IFERROR(INDEX([1]SuSa_2024!BR:BR,MATCH($B173,[1]SuSa_2024!$B:$B,0)),"0")</f>
        <v>165.24</v>
      </c>
      <c r="AO173" s="8">
        <f>IFERROR(INDEX([1]SuSa_2024!BS:BS,MATCH($B173,[1]SuSa_2024!$B:$B,0)),"0")</f>
        <v>200.4</v>
      </c>
      <c r="AP173" s="8">
        <f>IFERROR(INDEX([1]SuSa_2024!BT:BT,MATCH($B173,[1]SuSa_2024!$B:$B,0)),"0")</f>
        <v>236.9</v>
      </c>
      <c r="AQ173" s="8">
        <f>IFERROR(INDEX([1]SuSa_2024!BU:BU,MATCH($B173,[1]SuSa_2024!$B:$B,0)),"0")</f>
        <v>236.9</v>
      </c>
      <c r="AR173" s="8">
        <f>IFERROR(INDEX([1]SuSa_2024!BV:BV,MATCH($B173,[1]SuSa_2024!$B:$B,0)),"0")</f>
        <v>236.9</v>
      </c>
      <c r="AS173" s="8">
        <f>IFERROR(INDEX([1]SuSa_2024!BW:BW,MATCH($B173,[1]SuSa_2024!$B:$B,0)),"0")</f>
        <v>236.9</v>
      </c>
      <c r="AT173" s="8">
        <f>IFERROR(INDEX([1]SuSa_2024!BX:BX,MATCH($B173,[1]SuSa_2024!$B:$B,0)),"0")</f>
        <v>236.9</v>
      </c>
      <c r="AU173" s="8">
        <f>IFERROR(INDEX([1]SuSa_2024!BY:BY,MATCH($B173,[1]SuSa_2024!$B:$B,0)),"0")</f>
        <v>236.9</v>
      </c>
      <c r="AV173" s="8">
        <f>IFERROR(INDEX([1]SuSa_2025!AR:AR,MATCH($B173,[1]SuSa_2025!$B:$B,0)),"0")</f>
        <v>0</v>
      </c>
      <c r="AW173" s="8">
        <f>IFERROR(INDEX([1]SuSa_2025!AS:AS,MATCH($B173,[1]SuSa_2025!$B:$B,0)),"0")</f>
        <v>0</v>
      </c>
      <c r="AX173" s="8">
        <f>IFERROR(INDEX([1]SuSa_2025!AT:AT,MATCH($B173,[1]SuSa_2025!$B:$B,0)),"0")</f>
        <v>0</v>
      </c>
      <c r="AY173" s="8">
        <f>IFERROR(INDEX([1]SuSa_2025!AU:AU,MATCH($B173,[1]SuSa_2025!$B:$B,0)),"0")</f>
        <v>0</v>
      </c>
      <c r="AZ173" s="8">
        <f>IFERROR(INDEX([1]SuSa_2025!AV:AV,MATCH($B173,[1]SuSa_2025!$B:$B,0)),"0")</f>
        <v>0</v>
      </c>
      <c r="BA173" s="8">
        <f>IFERROR(INDEX([1]SuSa_2025!AW:AW,MATCH($B173,[1]SuSa_2025!$B:$B,0)),"0")</f>
        <v>0</v>
      </c>
      <c r="BB173" s="8">
        <f>IFERROR(INDEX([1]SuSa_2025!AX:AX,MATCH($B173,[1]SuSa_2025!$B:$B,0)),"0")</f>
        <v>0</v>
      </c>
    </row>
    <row r="174" spans="1:54" outlineLevel="1" collapsed="1" x14ac:dyDescent="0.25">
      <c r="A174" s="5" t="s">
        <v>537</v>
      </c>
      <c r="B174" s="6" t="s">
        <v>540</v>
      </c>
      <c r="C174" t="s">
        <v>541</v>
      </c>
      <c r="F174" s="7">
        <f t="shared" si="13"/>
        <v>0</v>
      </c>
      <c r="G174" s="7">
        <f t="shared" si="14"/>
        <v>139.55000000000001</v>
      </c>
      <c r="H174" s="7">
        <f t="shared" si="15"/>
        <v>0</v>
      </c>
      <c r="I174" s="7" t="str">
        <f t="shared" si="11"/>
        <v>0</v>
      </c>
      <c r="J174" s="8">
        <f t="shared" si="16"/>
        <v>0</v>
      </c>
      <c r="K174" s="8">
        <f t="shared" si="12"/>
        <v>0</v>
      </c>
      <c r="AD174" s="8">
        <v>139.55000000000001</v>
      </c>
      <c r="AE174" s="8">
        <v>139.55000000000001</v>
      </c>
      <c r="AF174" s="8">
        <v>139.55000000000001</v>
      </c>
      <c r="AG174" s="8">
        <v>139.55000000000001</v>
      </c>
      <c r="AH174" s="8">
        <v>139.55000000000001</v>
      </c>
      <c r="AI174" s="8">
        <v>139.55000000000001</v>
      </c>
      <c r="AJ174" s="8">
        <f>IFERROR(INDEX([1]SuSa_2024!BN:BN,MATCH($B174,[1]SuSa_2024!$B:$B,0)),"0")</f>
        <v>0</v>
      </c>
      <c r="AK174" s="8">
        <f>IFERROR(INDEX([1]SuSa_2024!BO:BO,MATCH($B174,[1]SuSa_2024!$B:$B,0)),"0")</f>
        <v>0</v>
      </c>
      <c r="AL174" s="8">
        <f>IFERROR(INDEX([1]SuSa_2024!BP:BP,MATCH($B174,[1]SuSa_2024!$B:$B,0)),"0")</f>
        <v>0</v>
      </c>
      <c r="AM174" s="8">
        <f>IFERROR(INDEX([1]SuSa_2024!BQ:BQ,MATCH($B174,[1]SuSa_2024!$B:$B,0)),"0")</f>
        <v>0</v>
      </c>
      <c r="AN174" s="8">
        <f>IFERROR(INDEX([1]SuSa_2024!BR:BR,MATCH($B174,[1]SuSa_2024!$B:$B,0)),"0")</f>
        <v>0</v>
      </c>
      <c r="AO174" s="8">
        <f>IFERROR(INDEX([1]SuSa_2024!BS:BS,MATCH($B174,[1]SuSa_2024!$B:$B,0)),"0")</f>
        <v>0</v>
      </c>
      <c r="AP174" s="8">
        <f>IFERROR(INDEX([1]SuSa_2024!BT:BT,MATCH($B174,[1]SuSa_2024!$B:$B,0)),"0")</f>
        <v>0</v>
      </c>
      <c r="AQ174" s="8">
        <f>IFERROR(INDEX([1]SuSa_2024!BU:BU,MATCH($B174,[1]SuSa_2024!$B:$B,0)),"0")</f>
        <v>0</v>
      </c>
      <c r="AR174" s="8">
        <f>IFERROR(INDEX([1]SuSa_2024!BV:BV,MATCH($B174,[1]SuSa_2024!$B:$B,0)),"0")</f>
        <v>0</v>
      </c>
      <c r="AS174" s="8">
        <f>IFERROR(INDEX([1]SuSa_2024!BW:BW,MATCH($B174,[1]SuSa_2024!$B:$B,0)),"0")</f>
        <v>0</v>
      </c>
      <c r="AT174" s="8">
        <f>IFERROR(INDEX([1]SuSa_2024!BX:BX,MATCH($B174,[1]SuSa_2024!$B:$B,0)),"0")</f>
        <v>0</v>
      </c>
      <c r="AU174" s="8">
        <f>IFERROR(INDEX([1]SuSa_2024!BY:BY,MATCH($B174,[1]SuSa_2024!$B:$B,0)),"0")</f>
        <v>0</v>
      </c>
      <c r="AV174" s="8" t="str">
        <f>IFERROR(INDEX([1]SuSa_2025!AR:AR,MATCH($B174,[1]SuSa_2025!$B:$B,0)),"0")</f>
        <v>0</v>
      </c>
      <c r="AW174" s="8" t="str">
        <f>IFERROR(INDEX([1]SuSa_2025!AS:AS,MATCH($B174,[1]SuSa_2025!$B:$B,0)),"0")</f>
        <v>0</v>
      </c>
      <c r="AX174" s="8" t="str">
        <f>IFERROR(INDEX([1]SuSa_2025!AT:AT,MATCH($B174,[1]SuSa_2025!$B:$B,0)),"0")</f>
        <v>0</v>
      </c>
      <c r="AY174" s="8" t="str">
        <f>IFERROR(INDEX([1]SuSa_2025!AU:AU,MATCH($B174,[1]SuSa_2025!$B:$B,0)),"0")</f>
        <v>0</v>
      </c>
      <c r="AZ174" s="8" t="str">
        <f>IFERROR(INDEX([1]SuSa_2025!AV:AV,MATCH($B174,[1]SuSa_2025!$B:$B,0)),"0")</f>
        <v>0</v>
      </c>
      <c r="BA174" s="8" t="str">
        <f>IFERROR(INDEX([1]SuSa_2025!AW:AW,MATCH($B174,[1]SuSa_2025!$B:$B,0)),"0")</f>
        <v>0</v>
      </c>
      <c r="BB174" s="8" t="str">
        <f>IFERROR(INDEX([1]SuSa_2025!AX:AX,MATCH($B174,[1]SuSa_2025!$B:$B,0)),"0")</f>
        <v>0</v>
      </c>
    </row>
    <row r="175" spans="1:54" outlineLevel="1" collapsed="1" x14ac:dyDescent="0.25">
      <c r="A175" s="5" t="s">
        <v>542</v>
      </c>
      <c r="B175" s="6" t="s">
        <v>543</v>
      </c>
      <c r="C175" t="s">
        <v>544</v>
      </c>
      <c r="E175" t="s">
        <v>498</v>
      </c>
      <c r="F175" s="7">
        <f t="shared" si="13"/>
        <v>0</v>
      </c>
      <c r="G175" s="7">
        <f t="shared" si="14"/>
        <v>0</v>
      </c>
      <c r="H175" s="7">
        <f t="shared" si="15"/>
        <v>111.21</v>
      </c>
      <c r="I175" s="7">
        <f t="shared" si="11"/>
        <v>0</v>
      </c>
      <c r="J175" s="8">
        <f t="shared" si="16"/>
        <v>0</v>
      </c>
      <c r="K175" s="8">
        <f t="shared" si="12"/>
        <v>111.21</v>
      </c>
      <c r="AJ175" s="8">
        <f>IFERROR(INDEX([1]SuSa_2024!BN:BN,MATCH($B175,[1]SuSa_2024!$B:$B,0)),"0")</f>
        <v>0</v>
      </c>
      <c r="AK175" s="8">
        <f>IFERROR(INDEX([1]SuSa_2024!BO:BO,MATCH($B175,[1]SuSa_2024!$B:$B,0)),"0")</f>
        <v>0</v>
      </c>
      <c r="AL175" s="8">
        <f>IFERROR(INDEX([1]SuSa_2024!BP:BP,MATCH($B175,[1]SuSa_2024!$B:$B,0)),"0")</f>
        <v>0</v>
      </c>
      <c r="AM175" s="8">
        <f>IFERROR(INDEX([1]SuSa_2024!BQ:BQ,MATCH($B175,[1]SuSa_2024!$B:$B,0)),"0")</f>
        <v>0</v>
      </c>
      <c r="AN175" s="8">
        <f>IFERROR(INDEX([1]SuSa_2024!BR:BR,MATCH($B175,[1]SuSa_2024!$B:$B,0)),"0")</f>
        <v>0</v>
      </c>
      <c r="AO175" s="8">
        <f>IFERROR(INDEX([1]SuSa_2024!BS:BS,MATCH($B175,[1]SuSa_2024!$B:$B,0)),"0")</f>
        <v>111.21</v>
      </c>
      <c r="AP175" s="8">
        <f>IFERROR(INDEX([1]SuSa_2024!BT:BT,MATCH($B175,[1]SuSa_2024!$B:$B,0)),"0")</f>
        <v>111.21</v>
      </c>
      <c r="AQ175" s="8">
        <f>IFERROR(INDEX([1]SuSa_2024!BU:BU,MATCH($B175,[1]SuSa_2024!$B:$B,0)),"0")</f>
        <v>111.21</v>
      </c>
      <c r="AR175" s="8">
        <f>IFERROR(INDEX([1]SuSa_2024!BV:BV,MATCH($B175,[1]SuSa_2024!$B:$B,0)),"0")</f>
        <v>111.21</v>
      </c>
      <c r="AS175" s="8">
        <f>IFERROR(INDEX([1]SuSa_2024!BW:BW,MATCH($B175,[1]SuSa_2024!$B:$B,0)),"0")</f>
        <v>111.21</v>
      </c>
      <c r="AT175" s="8">
        <f>IFERROR(INDEX([1]SuSa_2024!BX:BX,MATCH($B175,[1]SuSa_2024!$B:$B,0)),"0")</f>
        <v>111.21</v>
      </c>
      <c r="AU175" s="8">
        <f>IFERROR(INDEX([1]SuSa_2024!BY:BY,MATCH($B175,[1]SuSa_2024!$B:$B,0)),"0")</f>
        <v>111.21</v>
      </c>
      <c r="AV175" s="8">
        <f>IFERROR(INDEX([1]SuSa_2025!AR:AR,MATCH($B175,[1]SuSa_2025!$B:$B,0)),"0")</f>
        <v>0</v>
      </c>
      <c r="AW175" s="8">
        <f>IFERROR(INDEX([1]SuSa_2025!AS:AS,MATCH($B175,[1]SuSa_2025!$B:$B,0)),"0")</f>
        <v>0</v>
      </c>
      <c r="AX175" s="8">
        <f>IFERROR(INDEX([1]SuSa_2025!AT:AT,MATCH($B175,[1]SuSa_2025!$B:$B,0)),"0")</f>
        <v>0</v>
      </c>
      <c r="AY175" s="8">
        <f>IFERROR(INDEX([1]SuSa_2025!AU:AU,MATCH($B175,[1]SuSa_2025!$B:$B,0)),"0")</f>
        <v>0</v>
      </c>
      <c r="AZ175" s="8">
        <f>IFERROR(INDEX([1]SuSa_2025!AV:AV,MATCH($B175,[1]SuSa_2025!$B:$B,0)),"0")</f>
        <v>0</v>
      </c>
      <c r="BA175" s="8">
        <f>IFERROR(INDEX([1]SuSa_2025!AW:AW,MATCH($B175,[1]SuSa_2025!$B:$B,0)),"0")</f>
        <v>0</v>
      </c>
      <c r="BB175" s="8">
        <f>IFERROR(INDEX([1]SuSa_2025!AX:AX,MATCH($B175,[1]SuSa_2025!$B:$B,0)),"0")</f>
        <v>0</v>
      </c>
    </row>
    <row r="176" spans="1:54" outlineLevel="1" collapsed="1" x14ac:dyDescent="0.25">
      <c r="A176" s="5" t="s">
        <v>545</v>
      </c>
      <c r="B176" s="6" t="s">
        <v>546</v>
      </c>
      <c r="C176" t="s">
        <v>547</v>
      </c>
      <c r="E176" t="s">
        <v>505</v>
      </c>
      <c r="F176" s="7">
        <f t="shared" si="13"/>
        <v>0</v>
      </c>
      <c r="G176" s="7">
        <f t="shared" si="14"/>
        <v>0</v>
      </c>
      <c r="H176" s="7">
        <f t="shared" si="15"/>
        <v>541.38</v>
      </c>
      <c r="I176" s="7">
        <f t="shared" si="11"/>
        <v>0</v>
      </c>
      <c r="J176" s="8">
        <f t="shared" si="16"/>
        <v>0</v>
      </c>
      <c r="K176" s="8">
        <f t="shared" si="12"/>
        <v>541.38</v>
      </c>
      <c r="AJ176" s="8">
        <f>IFERROR(INDEX([1]SuSa_2024!BN:BN,MATCH($B176,[1]SuSa_2024!$B:$B,0)),"0")</f>
        <v>541.38</v>
      </c>
      <c r="AK176" s="8">
        <f>IFERROR(INDEX([1]SuSa_2024!BO:BO,MATCH($B176,[1]SuSa_2024!$B:$B,0)),"0")</f>
        <v>541.38</v>
      </c>
      <c r="AL176" s="8">
        <f>IFERROR(INDEX([1]SuSa_2024!BP:BP,MATCH($B176,[1]SuSa_2024!$B:$B,0)),"0")</f>
        <v>541.38</v>
      </c>
      <c r="AM176" s="8">
        <f>IFERROR(INDEX([1]SuSa_2024!BQ:BQ,MATCH($B176,[1]SuSa_2024!$B:$B,0)),"0")</f>
        <v>541.38</v>
      </c>
      <c r="AN176" s="8">
        <f>IFERROR(INDEX([1]SuSa_2024!BR:BR,MATCH($B176,[1]SuSa_2024!$B:$B,0)),"0")</f>
        <v>541.38</v>
      </c>
      <c r="AO176" s="8">
        <f>IFERROR(INDEX([1]SuSa_2024!BS:BS,MATCH($B176,[1]SuSa_2024!$B:$B,0)),"0")</f>
        <v>541.38</v>
      </c>
      <c r="AP176" s="8">
        <f>IFERROR(INDEX([1]SuSa_2024!BT:BT,MATCH($B176,[1]SuSa_2024!$B:$B,0)),"0")</f>
        <v>541.38</v>
      </c>
      <c r="AQ176" s="8">
        <f>IFERROR(INDEX([1]SuSa_2024!BU:BU,MATCH($B176,[1]SuSa_2024!$B:$B,0)),"0")</f>
        <v>541.38</v>
      </c>
      <c r="AR176" s="8">
        <f>IFERROR(INDEX([1]SuSa_2024!BV:BV,MATCH($B176,[1]SuSa_2024!$B:$B,0)),"0")</f>
        <v>541.38</v>
      </c>
      <c r="AS176" s="8">
        <f>IFERROR(INDEX([1]SuSa_2024!BW:BW,MATCH($B176,[1]SuSa_2024!$B:$B,0)),"0")</f>
        <v>541.38</v>
      </c>
      <c r="AT176" s="8">
        <f>IFERROR(INDEX([1]SuSa_2024!BX:BX,MATCH($B176,[1]SuSa_2024!$B:$B,0)),"0")</f>
        <v>541.38</v>
      </c>
      <c r="AU176" s="8">
        <f>IFERROR(INDEX([1]SuSa_2024!BY:BY,MATCH($B176,[1]SuSa_2024!$B:$B,0)),"0")</f>
        <v>541.38</v>
      </c>
      <c r="AV176" s="8">
        <f>IFERROR(INDEX([1]SuSa_2025!AR:AR,MATCH($B176,[1]SuSa_2025!$B:$B,0)),"0")</f>
        <v>0</v>
      </c>
      <c r="AW176" s="8">
        <f>IFERROR(INDEX([1]SuSa_2025!AS:AS,MATCH($B176,[1]SuSa_2025!$B:$B,0)),"0")</f>
        <v>0</v>
      </c>
      <c r="AX176" s="8">
        <f>IFERROR(INDEX([1]SuSa_2025!AT:AT,MATCH($B176,[1]SuSa_2025!$B:$B,0)),"0")</f>
        <v>0</v>
      </c>
      <c r="AY176" s="8">
        <f>IFERROR(INDEX([1]SuSa_2025!AU:AU,MATCH($B176,[1]SuSa_2025!$B:$B,0)),"0")</f>
        <v>0</v>
      </c>
      <c r="AZ176" s="8">
        <f>IFERROR(INDEX([1]SuSa_2025!AV:AV,MATCH($B176,[1]SuSa_2025!$B:$B,0)),"0")</f>
        <v>0</v>
      </c>
      <c r="BA176" s="8">
        <f>IFERROR(INDEX([1]SuSa_2025!AW:AW,MATCH($B176,[1]SuSa_2025!$B:$B,0)),"0")</f>
        <v>0</v>
      </c>
      <c r="BB176" s="8">
        <f>IFERROR(INDEX([1]SuSa_2025!AX:AX,MATCH($B176,[1]SuSa_2025!$B:$B,0)),"0")</f>
        <v>0</v>
      </c>
    </row>
    <row r="177" spans="1:54" outlineLevel="1" collapsed="1" x14ac:dyDescent="0.25">
      <c r="A177" s="5" t="s">
        <v>548</v>
      </c>
      <c r="B177" s="6" t="s">
        <v>549</v>
      </c>
      <c r="C177" t="s">
        <v>550</v>
      </c>
      <c r="E177" t="s">
        <v>463</v>
      </c>
      <c r="F177" s="7">
        <f t="shared" si="13"/>
        <v>0</v>
      </c>
      <c r="G177" s="7">
        <f t="shared" si="14"/>
        <v>0</v>
      </c>
      <c r="H177" s="7">
        <f t="shared" si="15"/>
        <v>16664.100000000002</v>
      </c>
      <c r="I177" s="7">
        <f t="shared" si="11"/>
        <v>0</v>
      </c>
      <c r="J177" s="8">
        <f t="shared" si="16"/>
        <v>0</v>
      </c>
      <c r="K177" s="8">
        <f t="shared" si="12"/>
        <v>16664.100000000002</v>
      </c>
      <c r="AJ177" s="8">
        <f>IFERROR(INDEX([1]SuSa_2024!BN:BN,MATCH($B177,[1]SuSa_2024!$B:$B,0)),"0")</f>
        <v>1086.8800000000001</v>
      </c>
      <c r="AK177" s="8">
        <f>IFERROR(INDEX([1]SuSa_2024!BO:BO,MATCH($B177,[1]SuSa_2024!$B:$B,0)),"0")</f>
        <v>5947.28</v>
      </c>
      <c r="AL177" s="8">
        <f>IFERROR(INDEX([1]SuSa_2024!BP:BP,MATCH($B177,[1]SuSa_2024!$B:$B,0)),"0")</f>
        <v>11142.880000000001</v>
      </c>
      <c r="AM177" s="8">
        <f>IFERROR(INDEX([1]SuSa_2024!BQ:BQ,MATCH($B177,[1]SuSa_2024!$B:$B,0)),"0")</f>
        <v>16170.880000000001</v>
      </c>
      <c r="AN177" s="8">
        <f>IFERROR(INDEX([1]SuSa_2024!BR:BR,MATCH($B177,[1]SuSa_2024!$B:$B,0)),"0")</f>
        <v>16170.880000000001</v>
      </c>
      <c r="AO177" s="8">
        <f>IFERROR(INDEX([1]SuSa_2024!BS:BS,MATCH($B177,[1]SuSa_2024!$B:$B,0)),"0")</f>
        <v>16664.100000000002</v>
      </c>
      <c r="AP177" s="8">
        <f>IFERROR(INDEX([1]SuSa_2024!BT:BT,MATCH($B177,[1]SuSa_2024!$B:$B,0)),"0")</f>
        <v>16664.100000000002</v>
      </c>
      <c r="AQ177" s="8">
        <f>IFERROR(INDEX([1]SuSa_2024!BU:BU,MATCH($B177,[1]SuSa_2024!$B:$B,0)),"0")</f>
        <v>16664.100000000002</v>
      </c>
      <c r="AR177" s="8">
        <f>IFERROR(INDEX([1]SuSa_2024!BV:BV,MATCH($B177,[1]SuSa_2024!$B:$B,0)),"0")</f>
        <v>16664.100000000002</v>
      </c>
      <c r="AS177" s="8">
        <f>IFERROR(INDEX([1]SuSa_2024!BW:BW,MATCH($B177,[1]SuSa_2024!$B:$B,0)),"0")</f>
        <v>16664.100000000002</v>
      </c>
      <c r="AT177" s="8">
        <f>IFERROR(INDEX([1]SuSa_2024!BX:BX,MATCH($B177,[1]SuSa_2024!$B:$B,0)),"0")</f>
        <v>16664.100000000002</v>
      </c>
      <c r="AU177" s="8">
        <f>IFERROR(INDEX([1]SuSa_2024!BY:BY,MATCH($B177,[1]SuSa_2024!$B:$B,0)),"0")</f>
        <v>16664.100000000002</v>
      </c>
      <c r="AV177" s="8">
        <f>IFERROR(INDEX([1]SuSa_2025!AR:AR,MATCH($B177,[1]SuSa_2025!$B:$B,0)),"0")</f>
        <v>0</v>
      </c>
      <c r="AW177" s="8">
        <f>IFERROR(INDEX([1]SuSa_2025!AS:AS,MATCH($B177,[1]SuSa_2025!$B:$B,0)),"0")</f>
        <v>0</v>
      </c>
      <c r="AX177" s="8">
        <f>IFERROR(INDEX([1]SuSa_2025!AT:AT,MATCH($B177,[1]SuSa_2025!$B:$B,0)),"0")</f>
        <v>0</v>
      </c>
      <c r="AY177" s="8">
        <f>IFERROR(INDEX([1]SuSa_2025!AU:AU,MATCH($B177,[1]SuSa_2025!$B:$B,0)),"0")</f>
        <v>0</v>
      </c>
      <c r="AZ177" s="8">
        <f>IFERROR(INDEX([1]SuSa_2025!AV:AV,MATCH($B177,[1]SuSa_2025!$B:$B,0)),"0")</f>
        <v>0</v>
      </c>
      <c r="BA177" s="8">
        <f>IFERROR(INDEX([1]SuSa_2025!AW:AW,MATCH($B177,[1]SuSa_2025!$B:$B,0)),"0")</f>
        <v>0</v>
      </c>
      <c r="BB177" s="8">
        <f>IFERROR(INDEX([1]SuSa_2025!AX:AX,MATCH($B177,[1]SuSa_2025!$B:$B,0)),"0")</f>
        <v>0</v>
      </c>
    </row>
    <row r="178" spans="1:54" outlineLevel="1" collapsed="1" x14ac:dyDescent="0.25">
      <c r="A178" s="5" t="s">
        <v>551</v>
      </c>
      <c r="B178" s="6" t="s">
        <v>552</v>
      </c>
      <c r="C178" t="s">
        <v>553</v>
      </c>
      <c r="E178" t="s">
        <v>463</v>
      </c>
      <c r="F178" s="7">
        <f t="shared" si="13"/>
        <v>0</v>
      </c>
      <c r="G178" s="7">
        <f t="shared" si="14"/>
        <v>3297.9</v>
      </c>
      <c r="H178" s="7">
        <f t="shared" si="15"/>
        <v>12595.85</v>
      </c>
      <c r="I178" s="7">
        <f t="shared" si="11"/>
        <v>0</v>
      </c>
      <c r="J178" s="8">
        <f t="shared" si="16"/>
        <v>1484</v>
      </c>
      <c r="K178" s="8">
        <f t="shared" si="12"/>
        <v>11111.85</v>
      </c>
      <c r="X178" s="8">
        <v>80</v>
      </c>
      <c r="Y178" s="8">
        <v>80</v>
      </c>
      <c r="Z178" s="8">
        <v>80</v>
      </c>
      <c r="AA178" s="8">
        <v>80</v>
      </c>
      <c r="AB178" s="8">
        <v>80</v>
      </c>
      <c r="AC178" s="8">
        <v>80</v>
      </c>
      <c r="AD178" s="8">
        <v>177.9</v>
      </c>
      <c r="AE178" s="8">
        <v>567.9</v>
      </c>
      <c r="AF178" s="8">
        <v>1077.9000000000001</v>
      </c>
      <c r="AG178" s="8">
        <v>1857.9</v>
      </c>
      <c r="AH178" s="8">
        <v>2637.9</v>
      </c>
      <c r="AI178" s="8">
        <v>3297.9</v>
      </c>
      <c r="AJ178" s="8">
        <f>IFERROR(INDEX([1]SuSa_2024!BN:BN,MATCH($B178,[1]SuSa_2024!$B:$B,0)),"0")</f>
        <v>660</v>
      </c>
      <c r="AK178" s="8">
        <f>IFERROR(INDEX([1]SuSa_2024!BO:BO,MATCH($B178,[1]SuSa_2024!$B:$B,0)),"0")</f>
        <v>1470</v>
      </c>
      <c r="AL178" s="8">
        <f>IFERROR(INDEX([1]SuSa_2024!BP:BP,MATCH($B178,[1]SuSa_2024!$B:$B,0)),"0")</f>
        <v>2340</v>
      </c>
      <c r="AM178" s="8">
        <f>IFERROR(INDEX([1]SuSa_2024!BQ:BQ,MATCH($B178,[1]SuSa_2024!$B:$B,0)),"0")</f>
        <v>4065.6800000000003</v>
      </c>
      <c r="AN178" s="8">
        <f>IFERROR(INDEX([1]SuSa_2024!BR:BR,MATCH($B178,[1]SuSa_2024!$B:$B,0)),"0")</f>
        <v>5556.35</v>
      </c>
      <c r="AO178" s="8">
        <f>IFERROR(INDEX([1]SuSa_2024!BS:BS,MATCH($B178,[1]SuSa_2024!$B:$B,0)),"0")</f>
        <v>6342.1500000000005</v>
      </c>
      <c r="AP178" s="8">
        <f>IFERROR(INDEX([1]SuSa_2024!BT:BT,MATCH($B178,[1]SuSa_2024!$B:$B,0)),"0")</f>
        <v>11111.85</v>
      </c>
      <c r="AQ178" s="8">
        <f>IFERROR(INDEX([1]SuSa_2024!BU:BU,MATCH($B178,[1]SuSa_2024!$B:$B,0)),"0")</f>
        <v>11501.85</v>
      </c>
      <c r="AR178" s="8">
        <f>IFERROR(INDEX([1]SuSa_2024!BV:BV,MATCH($B178,[1]SuSa_2024!$B:$B,0)),"0")</f>
        <v>11875.85</v>
      </c>
      <c r="AS178" s="8">
        <f>IFERROR(INDEX([1]SuSa_2024!BW:BW,MATCH($B178,[1]SuSa_2024!$B:$B,0)),"0")</f>
        <v>12115.85</v>
      </c>
      <c r="AT178" s="8">
        <f>IFERROR(INDEX([1]SuSa_2024!BX:BX,MATCH($B178,[1]SuSa_2024!$B:$B,0)),"0")</f>
        <v>12355.85</v>
      </c>
      <c r="AU178" s="8">
        <f>IFERROR(INDEX([1]SuSa_2024!BY:BY,MATCH($B178,[1]SuSa_2024!$B:$B,0)),"0")</f>
        <v>12595.85</v>
      </c>
      <c r="AV178" s="8">
        <f>IFERROR(INDEX([1]SuSa_2025!AR:AR,MATCH($B178,[1]SuSa_2025!$B:$B,0)),"0")</f>
        <v>0</v>
      </c>
      <c r="AW178" s="8">
        <f>IFERROR(INDEX([1]SuSa_2025!AS:AS,MATCH($B178,[1]SuSa_2025!$B:$B,0)),"0")</f>
        <v>0</v>
      </c>
      <c r="AX178" s="8">
        <f>IFERROR(INDEX([1]SuSa_2025!AT:AT,MATCH($B178,[1]SuSa_2025!$B:$B,0)),"0")</f>
        <v>0</v>
      </c>
      <c r="AY178" s="8">
        <f>IFERROR(INDEX([1]SuSa_2025!AU:AU,MATCH($B178,[1]SuSa_2025!$B:$B,0)),"0")</f>
        <v>0</v>
      </c>
      <c r="AZ178" s="8">
        <f>IFERROR(INDEX([1]SuSa_2025!AV:AV,MATCH($B178,[1]SuSa_2025!$B:$B,0)),"0")</f>
        <v>0</v>
      </c>
      <c r="BA178" s="8">
        <f>IFERROR(INDEX([1]SuSa_2025!AW:AW,MATCH($B178,[1]SuSa_2025!$B:$B,0)),"0")</f>
        <v>0</v>
      </c>
      <c r="BB178" s="8">
        <f>IFERROR(INDEX([1]SuSa_2025!AX:AX,MATCH($B178,[1]SuSa_2025!$B:$B,0)),"0")</f>
        <v>0</v>
      </c>
    </row>
    <row r="179" spans="1:54" outlineLevel="1" collapsed="1" x14ac:dyDescent="0.25">
      <c r="A179" s="5" t="s">
        <v>554</v>
      </c>
      <c r="B179" s="6" t="s">
        <v>555</v>
      </c>
      <c r="C179" t="s">
        <v>556</v>
      </c>
      <c r="E179" t="s">
        <v>498</v>
      </c>
      <c r="F179" s="7">
        <f t="shared" si="13"/>
        <v>0</v>
      </c>
      <c r="G179" s="7">
        <f t="shared" si="14"/>
        <v>0</v>
      </c>
      <c r="H179" s="7">
        <f t="shared" si="15"/>
        <v>89.9</v>
      </c>
      <c r="I179" s="7">
        <f t="shared" si="11"/>
        <v>0</v>
      </c>
      <c r="J179" s="8">
        <f t="shared" si="16"/>
        <v>0</v>
      </c>
      <c r="K179" s="8">
        <f t="shared" si="12"/>
        <v>89.9</v>
      </c>
      <c r="AJ179" s="8">
        <f>IFERROR(INDEX([1]SuSa_2024!BN:BN,MATCH($B179,[1]SuSa_2024!$B:$B,0)),"0")</f>
        <v>0</v>
      </c>
      <c r="AK179" s="8">
        <f>IFERROR(INDEX([1]SuSa_2024!BO:BO,MATCH($B179,[1]SuSa_2024!$B:$B,0)),"0")</f>
        <v>0</v>
      </c>
      <c r="AL179" s="8">
        <f>IFERROR(INDEX([1]SuSa_2024!BP:BP,MATCH($B179,[1]SuSa_2024!$B:$B,0)),"0")</f>
        <v>0</v>
      </c>
      <c r="AM179" s="8">
        <f>IFERROR(INDEX([1]SuSa_2024!BQ:BQ,MATCH($B179,[1]SuSa_2024!$B:$B,0)),"0")</f>
        <v>89.9</v>
      </c>
      <c r="AN179" s="8">
        <f>IFERROR(INDEX([1]SuSa_2024!BR:BR,MATCH($B179,[1]SuSa_2024!$B:$B,0)),"0")</f>
        <v>89.9</v>
      </c>
      <c r="AO179" s="8">
        <f>IFERROR(INDEX([1]SuSa_2024!BS:BS,MATCH($B179,[1]SuSa_2024!$B:$B,0)),"0")</f>
        <v>89.9</v>
      </c>
      <c r="AP179" s="8">
        <f>IFERROR(INDEX([1]SuSa_2024!BT:BT,MATCH($B179,[1]SuSa_2024!$B:$B,0)),"0")</f>
        <v>89.9</v>
      </c>
      <c r="AQ179" s="8">
        <f>IFERROR(INDEX([1]SuSa_2024!BU:BU,MATCH($B179,[1]SuSa_2024!$B:$B,0)),"0")</f>
        <v>89.9</v>
      </c>
      <c r="AR179" s="8">
        <f>IFERROR(INDEX([1]SuSa_2024!BV:BV,MATCH($B179,[1]SuSa_2024!$B:$B,0)),"0")</f>
        <v>89.9</v>
      </c>
      <c r="AS179" s="8">
        <f>IFERROR(INDEX([1]SuSa_2024!BW:BW,MATCH($B179,[1]SuSa_2024!$B:$B,0)),"0")</f>
        <v>89.9</v>
      </c>
      <c r="AT179" s="8">
        <f>IFERROR(INDEX([1]SuSa_2024!BX:BX,MATCH($B179,[1]SuSa_2024!$B:$B,0)),"0")</f>
        <v>89.9</v>
      </c>
      <c r="AU179" s="8">
        <f>IFERROR(INDEX([1]SuSa_2024!BY:BY,MATCH($B179,[1]SuSa_2024!$B:$B,0)),"0")</f>
        <v>89.9</v>
      </c>
      <c r="AV179" s="8">
        <f>IFERROR(INDEX([1]SuSa_2025!AR:AR,MATCH($B179,[1]SuSa_2025!$B:$B,0)),"0")</f>
        <v>0</v>
      </c>
      <c r="AW179" s="8">
        <f>IFERROR(INDEX([1]SuSa_2025!AS:AS,MATCH($B179,[1]SuSa_2025!$B:$B,0)),"0")</f>
        <v>0</v>
      </c>
      <c r="AX179" s="8">
        <f>IFERROR(INDEX([1]SuSa_2025!AT:AT,MATCH($B179,[1]SuSa_2025!$B:$B,0)),"0")</f>
        <v>0</v>
      </c>
      <c r="AY179" s="8">
        <f>IFERROR(INDEX([1]SuSa_2025!AU:AU,MATCH($B179,[1]SuSa_2025!$B:$B,0)),"0")</f>
        <v>0</v>
      </c>
      <c r="AZ179" s="8">
        <f>IFERROR(INDEX([1]SuSa_2025!AV:AV,MATCH($B179,[1]SuSa_2025!$B:$B,0)),"0")</f>
        <v>0</v>
      </c>
      <c r="BA179" s="8">
        <f>IFERROR(INDEX([1]SuSa_2025!AW:AW,MATCH($B179,[1]SuSa_2025!$B:$B,0)),"0")</f>
        <v>0</v>
      </c>
      <c r="BB179" s="8">
        <f>IFERROR(INDEX([1]SuSa_2025!AX:AX,MATCH($B179,[1]SuSa_2025!$B:$B,0)),"0")</f>
        <v>0</v>
      </c>
    </row>
    <row r="180" spans="1:54" outlineLevel="1" collapsed="1" x14ac:dyDescent="0.25">
      <c r="A180" s="5" t="s">
        <v>557</v>
      </c>
      <c r="B180" s="6" t="s">
        <v>558</v>
      </c>
      <c r="C180" t="s">
        <v>559</v>
      </c>
      <c r="E180" t="s">
        <v>463</v>
      </c>
      <c r="F180" s="7">
        <f t="shared" si="13"/>
        <v>54541.760000000002</v>
      </c>
      <c r="G180" s="7">
        <f t="shared" si="14"/>
        <v>32753.14</v>
      </c>
      <c r="H180" s="7">
        <f t="shared" si="15"/>
        <v>-28794.899999999994</v>
      </c>
      <c r="I180" s="7">
        <f t="shared" si="11"/>
        <v>0</v>
      </c>
      <c r="J180" s="8">
        <f t="shared" si="16"/>
        <v>30000</v>
      </c>
      <c r="K180" s="8">
        <f t="shared" si="12"/>
        <v>-58794.899999999994</v>
      </c>
      <c r="W180" s="8">
        <v>54541.760000000002</v>
      </c>
      <c r="AI180" s="8">
        <v>32753.14</v>
      </c>
      <c r="AJ180" s="8">
        <f>IFERROR(INDEX([1]SuSa_2024!BN:BN,MATCH($B180,[1]SuSa_2024!$B:$B,0)),"0")</f>
        <v>0</v>
      </c>
      <c r="AK180" s="8">
        <f>IFERROR(INDEX([1]SuSa_2024!BO:BO,MATCH($B180,[1]SuSa_2024!$B:$B,0)),"0")</f>
        <v>0</v>
      </c>
      <c r="AL180" s="8">
        <f>IFERROR(INDEX([1]SuSa_2024!BP:BP,MATCH($B180,[1]SuSa_2024!$B:$B,0)),"0")</f>
        <v>0</v>
      </c>
      <c r="AM180" s="8">
        <f>IFERROR(INDEX([1]SuSa_2024!BQ:BQ,MATCH($B180,[1]SuSa_2024!$B:$B,0)),"0")</f>
        <v>-68794.899999999994</v>
      </c>
      <c r="AN180" s="8">
        <f>IFERROR(INDEX([1]SuSa_2024!BR:BR,MATCH($B180,[1]SuSa_2024!$B:$B,0)),"0")</f>
        <v>-63794.899999999994</v>
      </c>
      <c r="AO180" s="8">
        <f>IFERROR(INDEX([1]SuSa_2024!BS:BS,MATCH($B180,[1]SuSa_2024!$B:$B,0)),"0")</f>
        <v>-58794.899999999994</v>
      </c>
      <c r="AP180" s="8">
        <f>IFERROR(INDEX([1]SuSa_2024!BT:BT,MATCH($B180,[1]SuSa_2024!$B:$B,0)),"0")</f>
        <v>-58794.899999999994</v>
      </c>
      <c r="AQ180" s="8">
        <f>IFERROR(INDEX([1]SuSa_2024!BU:BU,MATCH($B180,[1]SuSa_2024!$B:$B,0)),"0")</f>
        <v>-48794.899999999994</v>
      </c>
      <c r="AR180" s="8">
        <f>IFERROR(INDEX([1]SuSa_2024!BV:BV,MATCH($B180,[1]SuSa_2024!$B:$B,0)),"0")</f>
        <v>-43794.899999999994</v>
      </c>
      <c r="AS180" s="8">
        <f>IFERROR(INDEX([1]SuSa_2024!BW:BW,MATCH($B180,[1]SuSa_2024!$B:$B,0)),"0")</f>
        <v>-38794.899999999994</v>
      </c>
      <c r="AT180" s="8">
        <f>IFERROR(INDEX([1]SuSa_2024!BX:BX,MATCH($B180,[1]SuSa_2024!$B:$B,0)),"0")</f>
        <v>-33794.899999999994</v>
      </c>
      <c r="AU180" s="8">
        <f>IFERROR(INDEX([1]SuSa_2024!BY:BY,MATCH($B180,[1]SuSa_2024!$B:$B,0)),"0")</f>
        <v>-28794.899999999994</v>
      </c>
      <c r="AV180" s="8">
        <f>IFERROR(INDEX([1]SuSa_2025!AR:AR,MATCH($B180,[1]SuSa_2025!$B:$B,0)),"0")</f>
        <v>0</v>
      </c>
      <c r="AW180" s="8">
        <f>IFERROR(INDEX([1]SuSa_2025!AS:AS,MATCH($B180,[1]SuSa_2025!$B:$B,0)),"0")</f>
        <v>0</v>
      </c>
      <c r="AX180" s="8">
        <f>IFERROR(INDEX([1]SuSa_2025!AT:AT,MATCH($B180,[1]SuSa_2025!$B:$B,0)),"0")</f>
        <v>0</v>
      </c>
      <c r="AY180" s="8">
        <f>IFERROR(INDEX([1]SuSa_2025!AU:AU,MATCH($B180,[1]SuSa_2025!$B:$B,0)),"0")</f>
        <v>0</v>
      </c>
      <c r="AZ180" s="8">
        <f>IFERROR(INDEX([1]SuSa_2025!AV:AV,MATCH($B180,[1]SuSa_2025!$B:$B,0)),"0")</f>
        <v>0</v>
      </c>
      <c r="BA180" s="8">
        <f>IFERROR(INDEX([1]SuSa_2025!AW:AW,MATCH($B180,[1]SuSa_2025!$B:$B,0)),"0")</f>
        <v>0</v>
      </c>
      <c r="BB180" s="8">
        <f>IFERROR(INDEX([1]SuSa_2025!AX:AX,MATCH($B180,[1]SuSa_2025!$B:$B,0)),"0")</f>
        <v>0</v>
      </c>
    </row>
    <row r="181" spans="1:54" outlineLevel="1" collapsed="1" x14ac:dyDescent="0.25">
      <c r="A181" s="5" t="s">
        <v>560</v>
      </c>
      <c r="B181" s="6" t="s">
        <v>561</v>
      </c>
      <c r="C181" t="s">
        <v>562</v>
      </c>
      <c r="E181" t="s">
        <v>463</v>
      </c>
      <c r="F181" s="7">
        <f t="shared" si="13"/>
        <v>20392.71</v>
      </c>
      <c r="G181" s="7">
        <f t="shared" si="14"/>
        <v>41370</v>
      </c>
      <c r="H181" s="7">
        <f t="shared" si="15"/>
        <v>25316</v>
      </c>
      <c r="I181" s="7">
        <f t="shared" si="11"/>
        <v>1603.3500000000001</v>
      </c>
      <c r="J181" s="8">
        <f t="shared" si="16"/>
        <v>7240.3499999999985</v>
      </c>
      <c r="K181" s="8">
        <f t="shared" si="12"/>
        <v>19679</v>
      </c>
      <c r="L181" s="8">
        <v>409.81</v>
      </c>
      <c r="M181" s="8">
        <v>743.46</v>
      </c>
      <c r="N181" s="8">
        <v>1077.1099999999999</v>
      </c>
      <c r="O181" s="8">
        <v>1410.76</v>
      </c>
      <c r="P181" s="8">
        <v>1781.41</v>
      </c>
      <c r="Q181" s="8">
        <v>2152.06</v>
      </c>
      <c r="R181" s="8">
        <v>2522.71</v>
      </c>
      <c r="S181" s="8">
        <v>6141.71</v>
      </c>
      <c r="T181" s="8">
        <v>9760.7099999999991</v>
      </c>
      <c r="U181" s="8">
        <v>13304.71</v>
      </c>
      <c r="V181" s="8">
        <v>16848.71</v>
      </c>
      <c r="W181" s="8">
        <v>20392.71</v>
      </c>
      <c r="X181" s="8">
        <v>3294</v>
      </c>
      <c r="Y181" s="8">
        <v>6190</v>
      </c>
      <c r="Z181" s="8">
        <v>8861</v>
      </c>
      <c r="AA181" s="8">
        <v>11532</v>
      </c>
      <c r="AB181" s="8">
        <v>16545</v>
      </c>
      <c r="AC181" s="8">
        <v>20342</v>
      </c>
      <c r="AD181" s="8">
        <v>24139</v>
      </c>
      <c r="AE181" s="8">
        <v>27642</v>
      </c>
      <c r="AF181" s="8">
        <v>31145</v>
      </c>
      <c r="AG181" s="8">
        <v>34648</v>
      </c>
      <c r="AH181" s="8">
        <v>38151</v>
      </c>
      <c r="AI181" s="8">
        <v>41370</v>
      </c>
      <c r="AJ181" s="8">
        <f>IFERROR(INDEX([1]SuSa_2024!BN:BN,MATCH($B181,[1]SuSa_2024!$B:$B,0)),"0")</f>
        <v>3219</v>
      </c>
      <c r="AK181" s="8">
        <f>IFERROR(INDEX([1]SuSa_2024!BO:BO,MATCH($B181,[1]SuSa_2024!$B:$B,0)),"0")</f>
        <v>6438</v>
      </c>
      <c r="AL181" s="8">
        <f>IFERROR(INDEX([1]SuSa_2024!BP:BP,MATCH($B181,[1]SuSa_2024!$B:$B,0)),"0")</f>
        <v>9657</v>
      </c>
      <c r="AM181" s="8">
        <f>IFERROR(INDEX([1]SuSa_2024!BQ:BQ,MATCH($B181,[1]SuSa_2024!$B:$B,0)),"0")</f>
        <v>12592</v>
      </c>
      <c r="AN181" s="8">
        <f>IFERROR(INDEX([1]SuSa_2024!BR:BR,MATCH($B181,[1]SuSa_2024!$B:$B,0)),"0")</f>
        <v>15243</v>
      </c>
      <c r="AO181" s="8">
        <f>IFERROR(INDEX([1]SuSa_2024!BS:BS,MATCH($B181,[1]SuSa_2024!$B:$B,0)),"0")</f>
        <v>17602</v>
      </c>
      <c r="AP181" s="8">
        <f>IFERROR(INDEX([1]SuSa_2024!BT:BT,MATCH($B181,[1]SuSa_2024!$B:$B,0)),"0")</f>
        <v>19679</v>
      </c>
      <c r="AQ181" s="8">
        <f>IFERROR(INDEX([1]SuSa_2024!BU:BU,MATCH($B181,[1]SuSa_2024!$B:$B,0)),"0")</f>
        <v>21756</v>
      </c>
      <c r="AR181" s="8">
        <f>IFERROR(INDEX([1]SuSa_2024!BV:BV,MATCH($B181,[1]SuSa_2024!$B:$B,0)),"0")</f>
        <v>23660</v>
      </c>
      <c r="AS181" s="8">
        <f>IFERROR(INDEX([1]SuSa_2024!BW:BW,MATCH($B181,[1]SuSa_2024!$B:$B,0)),"0")</f>
        <v>24212</v>
      </c>
      <c r="AT181" s="8">
        <f>IFERROR(INDEX([1]SuSa_2024!BX:BX,MATCH($B181,[1]SuSa_2024!$B:$B,0)),"0")</f>
        <v>24764</v>
      </c>
      <c r="AU181" s="8">
        <f>IFERROR(INDEX([1]SuSa_2024!BY:BY,MATCH($B181,[1]SuSa_2024!$B:$B,0)),"0")</f>
        <v>25316</v>
      </c>
      <c r="AV181" s="8">
        <f>IFERROR(INDEX([1]SuSa_2025!AR:AR,MATCH($B181,[1]SuSa_2025!$B:$B,0)),"0")</f>
        <v>260</v>
      </c>
      <c r="AW181" s="8">
        <f>IFERROR(INDEX([1]SuSa_2025!AS:AS,MATCH($B181,[1]SuSa_2025!$B:$B,0)),"0")</f>
        <v>520</v>
      </c>
      <c r="AX181" s="8">
        <f>IFERROR(INDEX([1]SuSa_2025!AT:AT,MATCH($B181,[1]SuSa_2025!$B:$B,0)),"0")</f>
        <v>736.67</v>
      </c>
      <c r="AY181" s="8">
        <f>IFERROR(INDEX([1]SuSa_2025!AU:AU,MATCH($B181,[1]SuSa_2025!$B:$B,0)),"0")</f>
        <v>953.33999999999992</v>
      </c>
      <c r="AZ181" s="8">
        <f>IFERROR(INDEX([1]SuSa_2025!AV:AV,MATCH($B181,[1]SuSa_2025!$B:$B,0)),"0")</f>
        <v>1170.01</v>
      </c>
      <c r="BA181" s="8">
        <f>IFERROR(INDEX([1]SuSa_2025!AW:AW,MATCH($B181,[1]SuSa_2025!$B:$B,0)),"0")</f>
        <v>1386.68</v>
      </c>
      <c r="BB181" s="8">
        <f>IFERROR(INDEX([1]SuSa_2025!AX:AX,MATCH($B181,[1]SuSa_2025!$B:$B,0)),"0")</f>
        <v>1603.3500000000001</v>
      </c>
    </row>
    <row r="182" spans="1:54" outlineLevel="1" collapsed="1" x14ac:dyDescent="0.25">
      <c r="A182" s="5" t="s">
        <v>563</v>
      </c>
      <c r="B182" s="6" t="s">
        <v>564</v>
      </c>
      <c r="C182" t="s">
        <v>565</v>
      </c>
      <c r="E182" t="s">
        <v>498</v>
      </c>
      <c r="F182" s="7">
        <f t="shared" si="13"/>
        <v>788.27</v>
      </c>
      <c r="G182" s="7">
        <f t="shared" si="14"/>
        <v>48.67</v>
      </c>
      <c r="H182" s="7">
        <f t="shared" si="15"/>
        <v>0</v>
      </c>
      <c r="I182" s="7" t="str">
        <f t="shared" si="11"/>
        <v>0</v>
      </c>
      <c r="J182" s="8">
        <f t="shared" si="16"/>
        <v>0</v>
      </c>
      <c r="K182" s="8">
        <f t="shared" si="12"/>
        <v>0</v>
      </c>
      <c r="L182" s="8">
        <v>47.33</v>
      </c>
      <c r="M182" s="8">
        <v>170.82</v>
      </c>
      <c r="N182" s="8">
        <v>294.31</v>
      </c>
      <c r="O182" s="8">
        <v>417.8</v>
      </c>
      <c r="P182" s="8">
        <v>541.29</v>
      </c>
      <c r="Q182" s="8">
        <v>664.78</v>
      </c>
      <c r="R182" s="8">
        <v>788.27</v>
      </c>
      <c r="S182" s="8">
        <v>788.27</v>
      </c>
      <c r="T182" s="8">
        <v>788.27</v>
      </c>
      <c r="U182" s="8">
        <v>788.27</v>
      </c>
      <c r="V182" s="8">
        <v>788.27</v>
      </c>
      <c r="W182" s="8">
        <v>788.27</v>
      </c>
      <c r="AB182" s="8">
        <v>48.67</v>
      </c>
      <c r="AC182" s="8">
        <v>48.67</v>
      </c>
      <c r="AD182" s="8">
        <v>48.67</v>
      </c>
      <c r="AE182" s="8">
        <v>48.67</v>
      </c>
      <c r="AF182" s="8">
        <v>48.67</v>
      </c>
      <c r="AG182" s="8">
        <v>48.67</v>
      </c>
      <c r="AH182" s="8">
        <v>48.67</v>
      </c>
      <c r="AI182" s="8">
        <v>48.67</v>
      </c>
      <c r="AJ182" s="8">
        <f>IFERROR(INDEX([1]SuSa_2024!BN:BN,MATCH($B182,[1]SuSa_2024!$B:$B,0)),"0")</f>
        <v>0</v>
      </c>
      <c r="AK182" s="8">
        <f>IFERROR(INDEX([1]SuSa_2024!BO:BO,MATCH($B182,[1]SuSa_2024!$B:$B,0)),"0")</f>
        <v>0</v>
      </c>
      <c r="AL182" s="8">
        <f>IFERROR(INDEX([1]SuSa_2024!BP:BP,MATCH($B182,[1]SuSa_2024!$B:$B,0)),"0")</f>
        <v>0</v>
      </c>
      <c r="AM182" s="8">
        <f>IFERROR(INDEX([1]SuSa_2024!BQ:BQ,MATCH($B182,[1]SuSa_2024!$B:$B,0)),"0")</f>
        <v>0</v>
      </c>
      <c r="AN182" s="8">
        <f>IFERROR(INDEX([1]SuSa_2024!BR:BR,MATCH($B182,[1]SuSa_2024!$B:$B,0)),"0")</f>
        <v>0</v>
      </c>
      <c r="AO182" s="8">
        <f>IFERROR(INDEX([1]SuSa_2024!BS:BS,MATCH($B182,[1]SuSa_2024!$B:$B,0)),"0")</f>
        <v>0</v>
      </c>
      <c r="AP182" s="8">
        <f>IFERROR(INDEX([1]SuSa_2024!BT:BT,MATCH($B182,[1]SuSa_2024!$B:$B,0)),"0")</f>
        <v>0</v>
      </c>
      <c r="AQ182" s="8">
        <f>IFERROR(INDEX([1]SuSa_2024!BU:BU,MATCH($B182,[1]SuSa_2024!$B:$B,0)),"0")</f>
        <v>0</v>
      </c>
      <c r="AR182" s="8">
        <f>IFERROR(INDEX([1]SuSa_2024!BV:BV,MATCH($B182,[1]SuSa_2024!$B:$B,0)),"0")</f>
        <v>0</v>
      </c>
      <c r="AS182" s="8">
        <f>IFERROR(INDEX([1]SuSa_2024!BW:BW,MATCH($B182,[1]SuSa_2024!$B:$B,0)),"0")</f>
        <v>0</v>
      </c>
      <c r="AT182" s="8">
        <f>IFERROR(INDEX([1]SuSa_2024!BX:BX,MATCH($B182,[1]SuSa_2024!$B:$B,0)),"0")</f>
        <v>0</v>
      </c>
      <c r="AU182" s="8">
        <f>IFERROR(INDEX([1]SuSa_2024!BY:BY,MATCH($B182,[1]SuSa_2024!$B:$B,0)),"0")</f>
        <v>0</v>
      </c>
      <c r="AV182" s="8" t="str">
        <f>IFERROR(INDEX([1]SuSa_2025!AR:AR,MATCH($B182,[1]SuSa_2025!$B:$B,0)),"0")</f>
        <v>0</v>
      </c>
      <c r="AW182" s="8" t="str">
        <f>IFERROR(INDEX([1]SuSa_2025!AS:AS,MATCH($B182,[1]SuSa_2025!$B:$B,0)),"0")</f>
        <v>0</v>
      </c>
      <c r="AX182" s="8" t="str">
        <f>IFERROR(INDEX([1]SuSa_2025!AT:AT,MATCH($B182,[1]SuSa_2025!$B:$B,0)),"0")</f>
        <v>0</v>
      </c>
      <c r="AY182" s="8" t="str">
        <f>IFERROR(INDEX([1]SuSa_2025!AU:AU,MATCH($B182,[1]SuSa_2025!$B:$B,0)),"0")</f>
        <v>0</v>
      </c>
      <c r="AZ182" s="8" t="str">
        <f>IFERROR(INDEX([1]SuSa_2025!AV:AV,MATCH($B182,[1]SuSa_2025!$B:$B,0)),"0")</f>
        <v>0</v>
      </c>
      <c r="BA182" s="8" t="str">
        <f>IFERROR(INDEX([1]SuSa_2025!AW:AW,MATCH($B182,[1]SuSa_2025!$B:$B,0)),"0")</f>
        <v>0</v>
      </c>
      <c r="BB182" s="8" t="str">
        <f>IFERROR(INDEX([1]SuSa_2025!AX:AX,MATCH($B182,[1]SuSa_2025!$B:$B,0)),"0")</f>
        <v>0</v>
      </c>
    </row>
    <row r="183" spans="1:54" outlineLevel="1" collapsed="1" x14ac:dyDescent="0.25">
      <c r="A183" s="5" t="s">
        <v>566</v>
      </c>
      <c r="B183" s="6" t="s">
        <v>567</v>
      </c>
      <c r="C183" t="s">
        <v>568</v>
      </c>
      <c r="E183" t="s">
        <v>463</v>
      </c>
      <c r="F183" s="7">
        <f t="shared" si="13"/>
        <v>0</v>
      </c>
      <c r="G183" s="7">
        <f t="shared" si="14"/>
        <v>0</v>
      </c>
      <c r="H183" s="7">
        <f t="shared" si="15"/>
        <v>74.86</v>
      </c>
      <c r="I183" s="7">
        <f t="shared" si="11"/>
        <v>0</v>
      </c>
      <c r="J183" s="8">
        <f t="shared" si="16"/>
        <v>0</v>
      </c>
      <c r="K183" s="8">
        <f t="shared" si="12"/>
        <v>74.86</v>
      </c>
      <c r="AJ183" s="8">
        <f>IFERROR(INDEX([1]SuSa_2024!BN:BN,MATCH($B183,[1]SuSa_2024!$B:$B,0)),"0")</f>
        <v>0</v>
      </c>
      <c r="AK183" s="8">
        <f>IFERROR(INDEX([1]SuSa_2024!BO:BO,MATCH($B183,[1]SuSa_2024!$B:$B,0)),"0")</f>
        <v>0</v>
      </c>
      <c r="AL183" s="8">
        <f>IFERROR(INDEX([1]SuSa_2024!BP:BP,MATCH($B183,[1]SuSa_2024!$B:$B,0)),"0")</f>
        <v>0</v>
      </c>
      <c r="AM183" s="8">
        <f>IFERROR(INDEX([1]SuSa_2024!BQ:BQ,MATCH($B183,[1]SuSa_2024!$B:$B,0)),"0")</f>
        <v>0</v>
      </c>
      <c r="AN183" s="8">
        <f>IFERROR(INDEX([1]SuSa_2024!BR:BR,MATCH($B183,[1]SuSa_2024!$B:$B,0)),"0")</f>
        <v>0</v>
      </c>
      <c r="AO183" s="8">
        <f>IFERROR(INDEX([1]SuSa_2024!BS:BS,MATCH($B183,[1]SuSa_2024!$B:$B,0)),"0")</f>
        <v>74.86</v>
      </c>
      <c r="AP183" s="8">
        <f>IFERROR(INDEX([1]SuSa_2024!BT:BT,MATCH($B183,[1]SuSa_2024!$B:$B,0)),"0")</f>
        <v>74.86</v>
      </c>
      <c r="AQ183" s="8">
        <f>IFERROR(INDEX([1]SuSa_2024!BU:BU,MATCH($B183,[1]SuSa_2024!$B:$B,0)),"0")</f>
        <v>74.86</v>
      </c>
      <c r="AR183" s="8">
        <f>IFERROR(INDEX([1]SuSa_2024!BV:BV,MATCH($B183,[1]SuSa_2024!$B:$B,0)),"0")</f>
        <v>74.86</v>
      </c>
      <c r="AS183" s="8">
        <f>IFERROR(INDEX([1]SuSa_2024!BW:BW,MATCH($B183,[1]SuSa_2024!$B:$B,0)),"0")</f>
        <v>74.86</v>
      </c>
      <c r="AT183" s="8">
        <f>IFERROR(INDEX([1]SuSa_2024!BX:BX,MATCH($B183,[1]SuSa_2024!$B:$B,0)),"0")</f>
        <v>74.86</v>
      </c>
      <c r="AU183" s="8">
        <f>IFERROR(INDEX([1]SuSa_2024!BY:BY,MATCH($B183,[1]SuSa_2024!$B:$B,0)),"0")</f>
        <v>74.86</v>
      </c>
      <c r="AV183" s="8">
        <f>IFERROR(INDEX([1]SuSa_2025!AR:AR,MATCH($B183,[1]SuSa_2025!$B:$B,0)),"0")</f>
        <v>0</v>
      </c>
      <c r="AW183" s="8">
        <f>IFERROR(INDEX([1]SuSa_2025!AS:AS,MATCH($B183,[1]SuSa_2025!$B:$B,0)),"0")</f>
        <v>0</v>
      </c>
      <c r="AX183" s="8">
        <f>IFERROR(INDEX([1]SuSa_2025!AT:AT,MATCH($B183,[1]SuSa_2025!$B:$B,0)),"0")</f>
        <v>0</v>
      </c>
      <c r="AY183" s="8">
        <f>IFERROR(INDEX([1]SuSa_2025!AU:AU,MATCH($B183,[1]SuSa_2025!$B:$B,0)),"0")</f>
        <v>0</v>
      </c>
      <c r="AZ183" s="8">
        <f>IFERROR(INDEX([1]SuSa_2025!AV:AV,MATCH($B183,[1]SuSa_2025!$B:$B,0)),"0")</f>
        <v>0</v>
      </c>
      <c r="BA183" s="8">
        <f>IFERROR(INDEX([1]SuSa_2025!AW:AW,MATCH($B183,[1]SuSa_2025!$B:$B,0)),"0")</f>
        <v>0</v>
      </c>
      <c r="BB183" s="8">
        <f>IFERROR(INDEX([1]SuSa_2025!AX:AX,MATCH($B183,[1]SuSa_2025!$B:$B,0)),"0")</f>
        <v>0</v>
      </c>
    </row>
    <row r="184" spans="1:54" outlineLevel="1" collapsed="1" x14ac:dyDescent="0.25">
      <c r="A184" s="5" t="s">
        <v>569</v>
      </c>
      <c r="B184" s="6" t="s">
        <v>570</v>
      </c>
      <c r="C184" t="s">
        <v>571</v>
      </c>
      <c r="E184" t="s">
        <v>463</v>
      </c>
      <c r="F184" s="7">
        <f t="shared" si="13"/>
        <v>0</v>
      </c>
      <c r="G184" s="7">
        <f t="shared" si="14"/>
        <v>0</v>
      </c>
      <c r="H184" s="7" t="str">
        <f t="shared" si="15"/>
        <v>0</v>
      </c>
      <c r="I184" s="7">
        <f t="shared" si="11"/>
        <v>3261.5699999999997</v>
      </c>
      <c r="J184" s="8">
        <f t="shared" si="16"/>
        <v>3261.5699999999997</v>
      </c>
      <c r="K184" s="8" t="str">
        <f t="shared" si="12"/>
        <v>0</v>
      </c>
      <c r="AJ184" s="8" t="str">
        <f>IFERROR(INDEX([1]SuSa_2024!BN:BN,MATCH($B184,[1]SuSa_2024!$B:$B,0)),"0")</f>
        <v>0</v>
      </c>
      <c r="AK184" s="8" t="str">
        <f>IFERROR(INDEX([1]SuSa_2024!BO:BO,MATCH($B184,[1]SuSa_2024!$B:$B,0)),"0")</f>
        <v>0</v>
      </c>
      <c r="AL184" s="8" t="str">
        <f>IFERROR(INDEX([1]SuSa_2024!BP:BP,MATCH($B184,[1]SuSa_2024!$B:$B,0)),"0")</f>
        <v>0</v>
      </c>
      <c r="AM184" s="8" t="str">
        <f>IFERROR(INDEX([1]SuSa_2024!BQ:BQ,MATCH($B184,[1]SuSa_2024!$B:$B,0)),"0")</f>
        <v>0</v>
      </c>
      <c r="AN184" s="8" t="str">
        <f>IFERROR(INDEX([1]SuSa_2024!BR:BR,MATCH($B184,[1]SuSa_2024!$B:$B,0)),"0")</f>
        <v>0</v>
      </c>
      <c r="AO184" s="8" t="str">
        <f>IFERROR(INDEX([1]SuSa_2024!BS:BS,MATCH($B184,[1]SuSa_2024!$B:$B,0)),"0")</f>
        <v>0</v>
      </c>
      <c r="AP184" s="8" t="str">
        <f>IFERROR(INDEX([1]SuSa_2024!BT:BT,MATCH($B184,[1]SuSa_2024!$B:$B,0)),"0")</f>
        <v>0</v>
      </c>
      <c r="AQ184" s="8" t="str">
        <f>IFERROR(INDEX([1]SuSa_2024!BU:BU,MATCH($B184,[1]SuSa_2024!$B:$B,0)),"0")</f>
        <v>0</v>
      </c>
      <c r="AR184" s="8" t="str">
        <f>IFERROR(INDEX([1]SuSa_2024!BV:BV,MATCH($B184,[1]SuSa_2024!$B:$B,0)),"0")</f>
        <v>0</v>
      </c>
      <c r="AS184" s="8" t="str">
        <f>IFERROR(INDEX([1]SuSa_2024!BW:BW,MATCH($B184,[1]SuSa_2024!$B:$B,0)),"0")</f>
        <v>0</v>
      </c>
      <c r="AT184" s="8" t="str">
        <f>IFERROR(INDEX([1]SuSa_2024!BX:BX,MATCH($B184,[1]SuSa_2024!$B:$B,0)),"0")</f>
        <v>0</v>
      </c>
      <c r="AU184" s="8" t="str">
        <f>IFERROR(INDEX([1]SuSa_2024!BY:BY,MATCH($B184,[1]SuSa_2024!$B:$B,0)),"0")</f>
        <v>0</v>
      </c>
      <c r="AV184" s="8">
        <f>IFERROR(INDEX([1]SuSa_2025!AR:AR,MATCH($B184,[1]SuSa_2025!$B:$B,0)),"0")</f>
        <v>538</v>
      </c>
      <c r="AW184" s="8">
        <f>IFERROR(INDEX([1]SuSa_2025!AS:AS,MATCH($B184,[1]SuSa_2025!$B:$B,0)),"0")</f>
        <v>1076</v>
      </c>
      <c r="AX184" s="8">
        <f>IFERROR(INDEX([1]SuSa_2025!AT:AT,MATCH($B184,[1]SuSa_2025!$B:$B,0)),"0")</f>
        <v>1037.57</v>
      </c>
      <c r="AY184" s="8">
        <f>IFERROR(INDEX([1]SuSa_2025!AU:AU,MATCH($B184,[1]SuSa_2025!$B:$B,0)),"0")</f>
        <v>1593.57</v>
      </c>
      <c r="AZ184" s="8">
        <f>IFERROR(INDEX([1]SuSa_2025!AV:AV,MATCH($B184,[1]SuSa_2025!$B:$B,0)),"0")</f>
        <v>2149.5699999999997</v>
      </c>
      <c r="BA184" s="8">
        <f>IFERROR(INDEX([1]SuSa_2025!AW:AW,MATCH($B184,[1]SuSa_2025!$B:$B,0)),"0")</f>
        <v>2705.5699999999997</v>
      </c>
      <c r="BB184" s="8">
        <f>IFERROR(INDEX([1]SuSa_2025!AX:AX,MATCH($B184,[1]SuSa_2025!$B:$B,0)),"0")</f>
        <v>3261.5699999999997</v>
      </c>
    </row>
    <row r="185" spans="1:54" outlineLevel="1" collapsed="1" x14ac:dyDescent="0.25">
      <c r="A185" s="5" t="s">
        <v>572</v>
      </c>
      <c r="B185" s="6" t="s">
        <v>573</v>
      </c>
      <c r="C185" t="s">
        <v>574</v>
      </c>
      <c r="E185" t="s">
        <v>505</v>
      </c>
      <c r="F185" s="7">
        <f t="shared" si="13"/>
        <v>115.82</v>
      </c>
      <c r="G185" s="7">
        <f t="shared" si="14"/>
        <v>167.75</v>
      </c>
      <c r="H185" s="7">
        <f t="shared" si="15"/>
        <v>129.12000000000003</v>
      </c>
      <c r="I185" s="7">
        <f t="shared" si="11"/>
        <v>0</v>
      </c>
      <c r="J185" s="8">
        <f t="shared" si="16"/>
        <v>53.800000000000026</v>
      </c>
      <c r="K185" s="8">
        <f t="shared" si="12"/>
        <v>75.320000000000007</v>
      </c>
      <c r="S185" s="8">
        <v>26.42</v>
      </c>
      <c r="T185" s="8">
        <v>53.42</v>
      </c>
      <c r="U185" s="8">
        <v>74.22</v>
      </c>
      <c r="V185" s="8">
        <v>95.02</v>
      </c>
      <c r="W185" s="8">
        <v>115.82</v>
      </c>
      <c r="X185" s="8">
        <v>10.4</v>
      </c>
      <c r="Y185" s="8">
        <v>31.2</v>
      </c>
      <c r="Z185" s="8">
        <v>41.6</v>
      </c>
      <c r="AA185" s="8">
        <v>62.4</v>
      </c>
      <c r="AB185" s="8">
        <v>77.5</v>
      </c>
      <c r="AC185" s="8">
        <v>87.9</v>
      </c>
      <c r="AD185" s="8">
        <v>94.95</v>
      </c>
      <c r="AE185" s="8">
        <v>105.35</v>
      </c>
      <c r="AF185" s="8">
        <v>115.75</v>
      </c>
      <c r="AG185" s="8">
        <v>136.55000000000001</v>
      </c>
      <c r="AH185" s="8">
        <v>157.35</v>
      </c>
      <c r="AI185" s="8">
        <v>167.75</v>
      </c>
      <c r="AJ185" s="8">
        <f>IFERROR(INDEX([1]SuSa_2024!BN:BN,MATCH($B185,[1]SuSa_2024!$B:$B,0)),"0")</f>
        <v>10.76</v>
      </c>
      <c r="AK185" s="8">
        <f>IFERROR(INDEX([1]SuSa_2024!BO:BO,MATCH($B185,[1]SuSa_2024!$B:$B,0)),"0")</f>
        <v>21.52</v>
      </c>
      <c r="AL185" s="8">
        <f>IFERROR(INDEX([1]SuSa_2024!BP:BP,MATCH($B185,[1]SuSa_2024!$B:$B,0)),"0")</f>
        <v>32.28</v>
      </c>
      <c r="AM185" s="8">
        <f>IFERROR(INDEX([1]SuSa_2024!BQ:BQ,MATCH($B185,[1]SuSa_2024!$B:$B,0)),"0")</f>
        <v>43.04</v>
      </c>
      <c r="AN185" s="8">
        <f>IFERROR(INDEX([1]SuSa_2024!BR:BR,MATCH($B185,[1]SuSa_2024!$B:$B,0)),"0")</f>
        <v>53.8</v>
      </c>
      <c r="AO185" s="8">
        <f>IFERROR(INDEX([1]SuSa_2024!BS:BS,MATCH($B185,[1]SuSa_2024!$B:$B,0)),"0")</f>
        <v>64.56</v>
      </c>
      <c r="AP185" s="8">
        <f>IFERROR(INDEX([1]SuSa_2024!BT:BT,MATCH($B185,[1]SuSa_2024!$B:$B,0)),"0")</f>
        <v>75.320000000000007</v>
      </c>
      <c r="AQ185" s="8">
        <f>IFERROR(INDEX([1]SuSa_2024!BU:BU,MATCH($B185,[1]SuSa_2024!$B:$B,0)),"0")</f>
        <v>86.080000000000013</v>
      </c>
      <c r="AR185" s="8">
        <f>IFERROR(INDEX([1]SuSa_2024!BV:BV,MATCH($B185,[1]SuSa_2024!$B:$B,0)),"0")</f>
        <v>96.840000000000018</v>
      </c>
      <c r="AS185" s="8">
        <f>IFERROR(INDEX([1]SuSa_2024!BW:BW,MATCH($B185,[1]SuSa_2024!$B:$B,0)),"0")</f>
        <v>107.60000000000002</v>
      </c>
      <c r="AT185" s="8">
        <f>IFERROR(INDEX([1]SuSa_2024!BX:BX,MATCH($B185,[1]SuSa_2024!$B:$B,0)),"0")</f>
        <v>118.36000000000003</v>
      </c>
      <c r="AU185" s="8">
        <f>IFERROR(INDEX([1]SuSa_2024!BY:BY,MATCH($B185,[1]SuSa_2024!$B:$B,0)),"0")</f>
        <v>129.12000000000003</v>
      </c>
      <c r="AV185" s="8">
        <f>IFERROR(INDEX([1]SuSa_2025!AR:AR,MATCH($B185,[1]SuSa_2025!$B:$B,0)),"0")</f>
        <v>0</v>
      </c>
      <c r="AW185" s="8">
        <f>IFERROR(INDEX([1]SuSa_2025!AS:AS,MATCH($B185,[1]SuSa_2025!$B:$B,0)),"0")</f>
        <v>0</v>
      </c>
      <c r="AX185" s="8">
        <f>IFERROR(INDEX([1]SuSa_2025!AT:AT,MATCH($B185,[1]SuSa_2025!$B:$B,0)),"0")</f>
        <v>0</v>
      </c>
      <c r="AY185" s="8">
        <f>IFERROR(INDEX([1]SuSa_2025!AU:AU,MATCH($B185,[1]SuSa_2025!$B:$B,0)),"0")</f>
        <v>0</v>
      </c>
      <c r="AZ185" s="8">
        <f>IFERROR(INDEX([1]SuSa_2025!AV:AV,MATCH($B185,[1]SuSa_2025!$B:$B,0)),"0")</f>
        <v>0</v>
      </c>
      <c r="BA185" s="8">
        <f>IFERROR(INDEX([1]SuSa_2025!AW:AW,MATCH($B185,[1]SuSa_2025!$B:$B,0)),"0")</f>
        <v>0</v>
      </c>
      <c r="BB185" s="8">
        <f>IFERROR(INDEX([1]SuSa_2025!AX:AX,MATCH($B185,[1]SuSa_2025!$B:$B,0)),"0")</f>
        <v>0</v>
      </c>
    </row>
    <row r="186" spans="1:54" outlineLevel="1" collapsed="1" x14ac:dyDescent="0.25">
      <c r="A186" s="5" t="s">
        <v>575</v>
      </c>
      <c r="B186" s="6" t="s">
        <v>576</v>
      </c>
      <c r="C186" t="s">
        <v>577</v>
      </c>
      <c r="E186" t="s">
        <v>463</v>
      </c>
      <c r="F186" s="7">
        <f t="shared" si="13"/>
        <v>6790.97</v>
      </c>
      <c r="G186" s="7">
        <f t="shared" si="14"/>
        <v>8387.1</v>
      </c>
      <c r="H186" s="7">
        <f t="shared" si="15"/>
        <v>2545.21</v>
      </c>
      <c r="I186" s="7">
        <f t="shared" si="11"/>
        <v>0</v>
      </c>
      <c r="J186" s="8">
        <f t="shared" si="16"/>
        <v>2007.21</v>
      </c>
      <c r="K186" s="8">
        <f t="shared" si="12"/>
        <v>538</v>
      </c>
      <c r="S186" s="8">
        <v>1320.97</v>
      </c>
      <c r="T186" s="8">
        <v>2670.97</v>
      </c>
      <c r="U186" s="8">
        <v>3710.97</v>
      </c>
      <c r="V186" s="8">
        <v>4750.97</v>
      </c>
      <c r="W186" s="8">
        <v>6790.97</v>
      </c>
      <c r="X186" s="8">
        <v>520</v>
      </c>
      <c r="Y186" s="8">
        <v>1040</v>
      </c>
      <c r="Z186" s="8">
        <v>2080</v>
      </c>
      <c r="AA186" s="8">
        <v>3120</v>
      </c>
      <c r="AB186" s="8">
        <v>3874.84</v>
      </c>
      <c r="AC186" s="8">
        <v>4394.84</v>
      </c>
      <c r="AD186" s="8">
        <v>4747.1000000000004</v>
      </c>
      <c r="AE186" s="8">
        <v>5267.1</v>
      </c>
      <c r="AF186" s="8">
        <v>5787.1</v>
      </c>
      <c r="AG186" s="8">
        <v>6827.1</v>
      </c>
      <c r="AH186" s="8">
        <v>7867.1</v>
      </c>
      <c r="AI186" s="8">
        <v>8387.1</v>
      </c>
      <c r="AJ186" s="8">
        <f>IFERROR(INDEX([1]SuSa_2024!BN:BN,MATCH($B186,[1]SuSa_2024!$B:$B,0)),"0")</f>
        <v>538</v>
      </c>
      <c r="AK186" s="8">
        <f>IFERROR(INDEX([1]SuSa_2024!BO:BO,MATCH($B186,[1]SuSa_2024!$B:$B,0)),"0")</f>
        <v>538</v>
      </c>
      <c r="AL186" s="8">
        <f>IFERROR(INDEX([1]SuSa_2024!BP:BP,MATCH($B186,[1]SuSa_2024!$B:$B,0)),"0")</f>
        <v>538</v>
      </c>
      <c r="AM186" s="8">
        <f>IFERROR(INDEX([1]SuSa_2024!BQ:BQ,MATCH($B186,[1]SuSa_2024!$B:$B,0)),"0")</f>
        <v>538</v>
      </c>
      <c r="AN186" s="8">
        <f>IFERROR(INDEX([1]SuSa_2024!BR:BR,MATCH($B186,[1]SuSa_2024!$B:$B,0)),"0")</f>
        <v>538</v>
      </c>
      <c r="AO186" s="8">
        <f>IFERROR(INDEX([1]SuSa_2024!BS:BS,MATCH($B186,[1]SuSa_2024!$B:$B,0)),"0")</f>
        <v>538</v>
      </c>
      <c r="AP186" s="8">
        <f>IFERROR(INDEX([1]SuSa_2024!BT:BT,MATCH($B186,[1]SuSa_2024!$B:$B,0)),"0")</f>
        <v>538</v>
      </c>
      <c r="AQ186" s="8">
        <f>IFERROR(INDEX([1]SuSa_2024!BU:BU,MATCH($B186,[1]SuSa_2024!$B:$B,0)),"0")</f>
        <v>538</v>
      </c>
      <c r="AR186" s="8">
        <f>IFERROR(INDEX([1]SuSa_2024!BV:BV,MATCH($B186,[1]SuSa_2024!$B:$B,0)),"0")</f>
        <v>538</v>
      </c>
      <c r="AS186" s="8">
        <f>IFERROR(INDEX([1]SuSa_2024!BW:BW,MATCH($B186,[1]SuSa_2024!$B:$B,0)),"0")</f>
        <v>1469.21</v>
      </c>
      <c r="AT186" s="8">
        <f>IFERROR(INDEX([1]SuSa_2024!BX:BX,MATCH($B186,[1]SuSa_2024!$B:$B,0)),"0")</f>
        <v>2007.21</v>
      </c>
      <c r="AU186" s="8">
        <f>IFERROR(INDEX([1]SuSa_2024!BY:BY,MATCH($B186,[1]SuSa_2024!$B:$B,0)),"0")</f>
        <v>2545.21</v>
      </c>
      <c r="AV186" s="8">
        <f>IFERROR(INDEX([1]SuSa_2025!AR:AR,MATCH($B186,[1]SuSa_2025!$B:$B,0)),"0")</f>
        <v>0</v>
      </c>
      <c r="AW186" s="8">
        <f>IFERROR(INDEX([1]SuSa_2025!AS:AS,MATCH($B186,[1]SuSa_2025!$B:$B,0)),"0")</f>
        <v>0</v>
      </c>
      <c r="AX186" s="8">
        <f>IFERROR(INDEX([1]SuSa_2025!AT:AT,MATCH($B186,[1]SuSa_2025!$B:$B,0)),"0")</f>
        <v>0</v>
      </c>
      <c r="AY186" s="8">
        <f>IFERROR(INDEX([1]SuSa_2025!AU:AU,MATCH($B186,[1]SuSa_2025!$B:$B,0)),"0")</f>
        <v>0</v>
      </c>
      <c r="AZ186" s="8">
        <f>IFERROR(INDEX([1]SuSa_2025!AV:AV,MATCH($B186,[1]SuSa_2025!$B:$B,0)),"0")</f>
        <v>0</v>
      </c>
      <c r="BA186" s="8">
        <f>IFERROR(INDEX([1]SuSa_2025!AW:AW,MATCH($B186,[1]SuSa_2025!$B:$B,0)),"0")</f>
        <v>0</v>
      </c>
      <c r="BB186" s="8">
        <f>IFERROR(INDEX([1]SuSa_2025!AX:AX,MATCH($B186,[1]SuSa_2025!$B:$B,0)),"0")</f>
        <v>0</v>
      </c>
    </row>
    <row r="187" spans="1:54" outlineLevel="1" collapsed="1" x14ac:dyDescent="0.25">
      <c r="A187" s="5" t="s">
        <v>578</v>
      </c>
      <c r="B187" s="6" t="s">
        <v>579</v>
      </c>
      <c r="C187" t="s">
        <v>580</v>
      </c>
      <c r="E187" t="s">
        <v>498</v>
      </c>
      <c r="F187" s="7">
        <f t="shared" si="13"/>
        <v>0</v>
      </c>
      <c r="G187" s="7">
        <f t="shared" si="14"/>
        <v>0</v>
      </c>
      <c r="H187" s="7">
        <f t="shared" si="15"/>
        <v>29.79</v>
      </c>
      <c r="I187" s="7">
        <f t="shared" si="11"/>
        <v>0</v>
      </c>
      <c r="J187" s="8">
        <f t="shared" si="16"/>
        <v>0</v>
      </c>
      <c r="K187" s="8">
        <f t="shared" si="12"/>
        <v>29.79</v>
      </c>
      <c r="AJ187" s="8">
        <f>IFERROR(INDEX([1]SuSa_2024!BN:BN,MATCH($B187,[1]SuSa_2024!$B:$B,0)),"0")</f>
        <v>0</v>
      </c>
      <c r="AK187" s="8">
        <f>IFERROR(INDEX([1]SuSa_2024!BO:BO,MATCH($B187,[1]SuSa_2024!$B:$B,0)),"0")</f>
        <v>0</v>
      </c>
      <c r="AL187" s="8">
        <f>IFERROR(INDEX([1]SuSa_2024!BP:BP,MATCH($B187,[1]SuSa_2024!$B:$B,0)),"0")</f>
        <v>0</v>
      </c>
      <c r="AM187" s="8">
        <f>IFERROR(INDEX([1]SuSa_2024!BQ:BQ,MATCH($B187,[1]SuSa_2024!$B:$B,0)),"0")</f>
        <v>29.79</v>
      </c>
      <c r="AN187" s="8">
        <f>IFERROR(INDEX([1]SuSa_2024!BR:BR,MATCH($B187,[1]SuSa_2024!$B:$B,0)),"0")</f>
        <v>29.79</v>
      </c>
      <c r="AO187" s="8">
        <f>IFERROR(INDEX([1]SuSa_2024!BS:BS,MATCH($B187,[1]SuSa_2024!$B:$B,0)),"0")</f>
        <v>29.79</v>
      </c>
      <c r="AP187" s="8">
        <f>IFERROR(INDEX([1]SuSa_2024!BT:BT,MATCH($B187,[1]SuSa_2024!$B:$B,0)),"0")</f>
        <v>29.79</v>
      </c>
      <c r="AQ187" s="8">
        <f>IFERROR(INDEX([1]SuSa_2024!BU:BU,MATCH($B187,[1]SuSa_2024!$B:$B,0)),"0")</f>
        <v>29.79</v>
      </c>
      <c r="AR187" s="8">
        <f>IFERROR(INDEX([1]SuSa_2024!BV:BV,MATCH($B187,[1]SuSa_2024!$B:$B,0)),"0")</f>
        <v>29.79</v>
      </c>
      <c r="AS187" s="8">
        <f>IFERROR(INDEX([1]SuSa_2024!BW:BW,MATCH($B187,[1]SuSa_2024!$B:$B,0)),"0")</f>
        <v>29.79</v>
      </c>
      <c r="AT187" s="8">
        <f>IFERROR(INDEX([1]SuSa_2024!BX:BX,MATCH($B187,[1]SuSa_2024!$B:$B,0)),"0")</f>
        <v>29.79</v>
      </c>
      <c r="AU187" s="8">
        <f>IFERROR(INDEX([1]SuSa_2024!BY:BY,MATCH($B187,[1]SuSa_2024!$B:$B,0)),"0")</f>
        <v>29.79</v>
      </c>
      <c r="AV187" s="8">
        <f>IFERROR(INDEX([1]SuSa_2025!AR:AR,MATCH($B187,[1]SuSa_2025!$B:$B,0)),"0")</f>
        <v>0</v>
      </c>
      <c r="AW187" s="8">
        <f>IFERROR(INDEX([1]SuSa_2025!AS:AS,MATCH($B187,[1]SuSa_2025!$B:$B,0)),"0")</f>
        <v>0</v>
      </c>
      <c r="AX187" s="8">
        <f>IFERROR(INDEX([1]SuSa_2025!AT:AT,MATCH($B187,[1]SuSa_2025!$B:$B,0)),"0")</f>
        <v>0</v>
      </c>
      <c r="AY187" s="8">
        <f>IFERROR(INDEX([1]SuSa_2025!AU:AU,MATCH($B187,[1]SuSa_2025!$B:$B,0)),"0")</f>
        <v>0</v>
      </c>
      <c r="AZ187" s="8">
        <f>IFERROR(INDEX([1]SuSa_2025!AV:AV,MATCH($B187,[1]SuSa_2025!$B:$B,0)),"0")</f>
        <v>0</v>
      </c>
      <c r="BA187" s="8">
        <f>IFERROR(INDEX([1]SuSa_2025!AW:AW,MATCH($B187,[1]SuSa_2025!$B:$B,0)),"0")</f>
        <v>0</v>
      </c>
      <c r="BB187" s="8">
        <f>IFERROR(INDEX([1]SuSa_2025!AX:AX,MATCH($B187,[1]SuSa_2025!$B:$B,0)),"0")</f>
        <v>0</v>
      </c>
    </row>
    <row r="188" spans="1:54" outlineLevel="1" collapsed="1" x14ac:dyDescent="0.25">
      <c r="A188" s="5" t="s">
        <v>581</v>
      </c>
      <c r="B188" s="6" t="s">
        <v>582</v>
      </c>
      <c r="C188" t="s">
        <v>583</v>
      </c>
      <c r="F188" s="7">
        <f t="shared" si="13"/>
        <v>0</v>
      </c>
      <c r="G188" s="7">
        <f t="shared" si="14"/>
        <v>0</v>
      </c>
      <c r="H188" s="7" t="str">
        <f t="shared" si="15"/>
        <v>0</v>
      </c>
      <c r="I188" s="7" t="str">
        <f t="shared" si="11"/>
        <v>0</v>
      </c>
      <c r="J188" s="8">
        <f t="shared" si="16"/>
        <v>0</v>
      </c>
      <c r="K188" s="8" t="str">
        <f t="shared" si="12"/>
        <v>0</v>
      </c>
      <c r="N188" s="8">
        <v>9</v>
      </c>
      <c r="O188" s="8">
        <v>18</v>
      </c>
      <c r="P188" s="8">
        <v>27</v>
      </c>
      <c r="Q188" s="8">
        <v>36</v>
      </c>
      <c r="R188" s="8">
        <v>45</v>
      </c>
      <c r="S188" s="8">
        <v>45</v>
      </c>
      <c r="T188" s="8">
        <v>45</v>
      </c>
      <c r="U188" s="8">
        <v>45</v>
      </c>
      <c r="V188" s="8">
        <v>45</v>
      </c>
      <c r="W188" s="8">
        <v>0</v>
      </c>
      <c r="AJ188" s="8" t="str">
        <f>IFERROR(INDEX([1]SuSa_2024!BN:BN,MATCH($B188,[1]SuSa_2024!$B:$B,0)),"0")</f>
        <v>0</v>
      </c>
      <c r="AK188" s="8" t="str">
        <f>IFERROR(INDEX([1]SuSa_2024!BO:BO,MATCH($B188,[1]SuSa_2024!$B:$B,0)),"0")</f>
        <v>0</v>
      </c>
      <c r="AL188" s="8" t="str">
        <f>IFERROR(INDEX([1]SuSa_2024!BP:BP,MATCH($B188,[1]SuSa_2024!$B:$B,0)),"0")</f>
        <v>0</v>
      </c>
      <c r="AM188" s="8" t="str">
        <f>IFERROR(INDEX([1]SuSa_2024!BQ:BQ,MATCH($B188,[1]SuSa_2024!$B:$B,0)),"0")</f>
        <v>0</v>
      </c>
      <c r="AN188" s="8" t="str">
        <f>IFERROR(INDEX([1]SuSa_2024!BR:BR,MATCH($B188,[1]SuSa_2024!$B:$B,0)),"0")</f>
        <v>0</v>
      </c>
      <c r="AO188" s="8" t="str">
        <f>IFERROR(INDEX([1]SuSa_2024!BS:BS,MATCH($B188,[1]SuSa_2024!$B:$B,0)),"0")</f>
        <v>0</v>
      </c>
      <c r="AP188" s="8" t="str">
        <f>IFERROR(INDEX([1]SuSa_2024!BT:BT,MATCH($B188,[1]SuSa_2024!$B:$B,0)),"0")</f>
        <v>0</v>
      </c>
      <c r="AQ188" s="8" t="str">
        <f>IFERROR(INDEX([1]SuSa_2024!BU:BU,MATCH($B188,[1]SuSa_2024!$B:$B,0)),"0")</f>
        <v>0</v>
      </c>
      <c r="AR188" s="8" t="str">
        <f>IFERROR(INDEX([1]SuSa_2024!BV:BV,MATCH($B188,[1]SuSa_2024!$B:$B,0)),"0")</f>
        <v>0</v>
      </c>
      <c r="AS188" s="8" t="str">
        <f>IFERROR(INDEX([1]SuSa_2024!BW:BW,MATCH($B188,[1]SuSa_2024!$B:$B,0)),"0")</f>
        <v>0</v>
      </c>
      <c r="AT188" s="8" t="str">
        <f>IFERROR(INDEX([1]SuSa_2024!BX:BX,MATCH($B188,[1]SuSa_2024!$B:$B,0)),"0")</f>
        <v>0</v>
      </c>
      <c r="AU188" s="8" t="str">
        <f>IFERROR(INDEX([1]SuSa_2024!BY:BY,MATCH($B188,[1]SuSa_2024!$B:$B,0)),"0")</f>
        <v>0</v>
      </c>
      <c r="AV188" s="8" t="str">
        <f>IFERROR(INDEX([1]SuSa_2025!AR:AR,MATCH($B188,[1]SuSa_2025!$B:$B,0)),"0")</f>
        <v>0</v>
      </c>
      <c r="AW188" s="8" t="str">
        <f>IFERROR(INDEX([1]SuSa_2025!AS:AS,MATCH($B188,[1]SuSa_2025!$B:$B,0)),"0")</f>
        <v>0</v>
      </c>
      <c r="AX188" s="8" t="str">
        <f>IFERROR(INDEX([1]SuSa_2025!AT:AT,MATCH($B188,[1]SuSa_2025!$B:$B,0)),"0")</f>
        <v>0</v>
      </c>
      <c r="AY188" s="8" t="str">
        <f>IFERROR(INDEX([1]SuSa_2025!AU:AU,MATCH($B188,[1]SuSa_2025!$B:$B,0)),"0")</f>
        <v>0</v>
      </c>
      <c r="AZ188" s="8" t="str">
        <f>IFERROR(INDEX([1]SuSa_2025!AV:AV,MATCH($B188,[1]SuSa_2025!$B:$B,0)),"0")</f>
        <v>0</v>
      </c>
      <c r="BA188" s="8" t="str">
        <f>IFERROR(INDEX([1]SuSa_2025!AW:AW,MATCH($B188,[1]SuSa_2025!$B:$B,0)),"0")</f>
        <v>0</v>
      </c>
      <c r="BB188" s="8" t="str">
        <f>IFERROR(INDEX([1]SuSa_2025!AX:AX,MATCH($B188,[1]SuSa_2025!$B:$B,0)),"0")</f>
        <v>0</v>
      </c>
    </row>
    <row r="189" spans="1:54" outlineLevel="1" collapsed="1" x14ac:dyDescent="0.25">
      <c r="A189" s="5" t="s">
        <v>581</v>
      </c>
      <c r="B189" s="6" t="s">
        <v>584</v>
      </c>
      <c r="C189" t="s">
        <v>585</v>
      </c>
      <c r="F189" s="7">
        <f t="shared" si="13"/>
        <v>0</v>
      </c>
      <c r="G189" s="7">
        <f t="shared" si="14"/>
        <v>0</v>
      </c>
      <c r="H189" s="7" t="str">
        <f t="shared" si="15"/>
        <v>0</v>
      </c>
      <c r="I189" s="7" t="str">
        <f t="shared" si="11"/>
        <v>0</v>
      </c>
      <c r="J189" s="8">
        <f t="shared" si="16"/>
        <v>0</v>
      </c>
      <c r="K189" s="8" t="str">
        <f t="shared" si="12"/>
        <v>0</v>
      </c>
      <c r="N189" s="8">
        <v>29.81</v>
      </c>
      <c r="O189" s="8">
        <v>29.81</v>
      </c>
      <c r="P189" s="8">
        <v>29.81</v>
      </c>
      <c r="Q189" s="8">
        <v>29.81</v>
      </c>
      <c r="R189" s="8">
        <v>29.81</v>
      </c>
      <c r="S189" s="8">
        <v>29.81</v>
      </c>
      <c r="T189" s="8">
        <v>29.81</v>
      </c>
      <c r="U189" s="8">
        <v>29.81</v>
      </c>
      <c r="V189" s="8">
        <v>29.81</v>
      </c>
      <c r="W189" s="8">
        <v>0</v>
      </c>
      <c r="AJ189" s="8" t="str">
        <f>IFERROR(INDEX([1]SuSa_2024!BN:BN,MATCH($B189,[1]SuSa_2024!$B:$B,0)),"0")</f>
        <v>0</v>
      </c>
      <c r="AK189" s="8" t="str">
        <f>IFERROR(INDEX([1]SuSa_2024!BO:BO,MATCH($B189,[1]SuSa_2024!$B:$B,0)),"0")</f>
        <v>0</v>
      </c>
      <c r="AL189" s="8" t="str">
        <f>IFERROR(INDEX([1]SuSa_2024!BP:BP,MATCH($B189,[1]SuSa_2024!$B:$B,0)),"0")</f>
        <v>0</v>
      </c>
      <c r="AM189" s="8" t="str">
        <f>IFERROR(INDEX([1]SuSa_2024!BQ:BQ,MATCH($B189,[1]SuSa_2024!$B:$B,0)),"0")</f>
        <v>0</v>
      </c>
      <c r="AN189" s="8" t="str">
        <f>IFERROR(INDEX([1]SuSa_2024!BR:BR,MATCH($B189,[1]SuSa_2024!$B:$B,0)),"0")</f>
        <v>0</v>
      </c>
      <c r="AO189" s="8" t="str">
        <f>IFERROR(INDEX([1]SuSa_2024!BS:BS,MATCH($B189,[1]SuSa_2024!$B:$B,0)),"0")</f>
        <v>0</v>
      </c>
      <c r="AP189" s="8" t="str">
        <f>IFERROR(INDEX([1]SuSa_2024!BT:BT,MATCH($B189,[1]SuSa_2024!$B:$B,0)),"0")</f>
        <v>0</v>
      </c>
      <c r="AQ189" s="8" t="str">
        <f>IFERROR(INDEX([1]SuSa_2024!BU:BU,MATCH($B189,[1]SuSa_2024!$B:$B,0)),"0")</f>
        <v>0</v>
      </c>
      <c r="AR189" s="8" t="str">
        <f>IFERROR(INDEX([1]SuSa_2024!BV:BV,MATCH($B189,[1]SuSa_2024!$B:$B,0)),"0")</f>
        <v>0</v>
      </c>
      <c r="AS189" s="8" t="str">
        <f>IFERROR(INDEX([1]SuSa_2024!BW:BW,MATCH($B189,[1]SuSa_2024!$B:$B,0)),"0")</f>
        <v>0</v>
      </c>
      <c r="AT189" s="8" t="str">
        <f>IFERROR(INDEX([1]SuSa_2024!BX:BX,MATCH($B189,[1]SuSa_2024!$B:$B,0)),"0")</f>
        <v>0</v>
      </c>
      <c r="AU189" s="8" t="str">
        <f>IFERROR(INDEX([1]SuSa_2024!BY:BY,MATCH($B189,[1]SuSa_2024!$B:$B,0)),"0")</f>
        <v>0</v>
      </c>
      <c r="AV189" s="8" t="str">
        <f>IFERROR(INDEX([1]SuSa_2025!AR:AR,MATCH($B189,[1]SuSa_2025!$B:$B,0)),"0")</f>
        <v>0</v>
      </c>
      <c r="AW189" s="8" t="str">
        <f>IFERROR(INDEX([1]SuSa_2025!AS:AS,MATCH($B189,[1]SuSa_2025!$B:$B,0)),"0")</f>
        <v>0</v>
      </c>
      <c r="AX189" s="8" t="str">
        <f>IFERROR(INDEX([1]SuSa_2025!AT:AT,MATCH($B189,[1]SuSa_2025!$B:$B,0)),"0")</f>
        <v>0</v>
      </c>
      <c r="AY189" s="8" t="str">
        <f>IFERROR(INDEX([1]SuSa_2025!AU:AU,MATCH($B189,[1]SuSa_2025!$B:$B,0)),"0")</f>
        <v>0</v>
      </c>
      <c r="AZ189" s="8" t="str">
        <f>IFERROR(INDEX([1]SuSa_2025!AV:AV,MATCH($B189,[1]SuSa_2025!$B:$B,0)),"0")</f>
        <v>0</v>
      </c>
      <c r="BA189" s="8" t="str">
        <f>IFERROR(INDEX([1]SuSa_2025!AW:AW,MATCH($B189,[1]SuSa_2025!$B:$B,0)),"0")</f>
        <v>0</v>
      </c>
      <c r="BB189" s="8" t="str">
        <f>IFERROR(INDEX([1]SuSa_2025!AX:AX,MATCH($B189,[1]SuSa_2025!$B:$B,0)),"0")</f>
        <v>0</v>
      </c>
    </row>
    <row r="190" spans="1:54" outlineLevel="1" collapsed="1" x14ac:dyDescent="0.25">
      <c r="A190" s="5" t="s">
        <v>581</v>
      </c>
      <c r="B190" s="6" t="s">
        <v>586</v>
      </c>
      <c r="C190" t="s">
        <v>587</v>
      </c>
      <c r="F190" s="7">
        <f t="shared" si="13"/>
        <v>0</v>
      </c>
      <c r="G190" s="7">
        <f t="shared" si="14"/>
        <v>0</v>
      </c>
      <c r="H190" s="7" t="str">
        <f t="shared" si="15"/>
        <v>0</v>
      </c>
      <c r="I190" s="7" t="str">
        <f t="shared" si="11"/>
        <v>0</v>
      </c>
      <c r="J190" s="8">
        <f t="shared" si="16"/>
        <v>0</v>
      </c>
      <c r="K190" s="8" t="str">
        <f t="shared" si="12"/>
        <v>0</v>
      </c>
      <c r="O190" s="8">
        <v>9</v>
      </c>
      <c r="P190" s="8">
        <v>18</v>
      </c>
      <c r="Q190" s="8">
        <v>27</v>
      </c>
      <c r="R190" s="8">
        <v>36</v>
      </c>
      <c r="S190" s="8">
        <v>36</v>
      </c>
      <c r="T190" s="8">
        <v>36</v>
      </c>
      <c r="U190" s="8">
        <v>36</v>
      </c>
      <c r="V190" s="8">
        <v>36</v>
      </c>
      <c r="W190" s="8">
        <v>0</v>
      </c>
      <c r="AJ190" s="8" t="str">
        <f>IFERROR(INDEX([1]SuSa_2024!BN:BN,MATCH($B190,[1]SuSa_2024!$B:$B,0)),"0")</f>
        <v>0</v>
      </c>
      <c r="AK190" s="8" t="str">
        <f>IFERROR(INDEX([1]SuSa_2024!BO:BO,MATCH($B190,[1]SuSa_2024!$B:$B,0)),"0")</f>
        <v>0</v>
      </c>
      <c r="AL190" s="8" t="str">
        <f>IFERROR(INDEX([1]SuSa_2024!BP:BP,MATCH($B190,[1]SuSa_2024!$B:$B,0)),"0")</f>
        <v>0</v>
      </c>
      <c r="AM190" s="8" t="str">
        <f>IFERROR(INDEX([1]SuSa_2024!BQ:BQ,MATCH($B190,[1]SuSa_2024!$B:$B,0)),"0")</f>
        <v>0</v>
      </c>
      <c r="AN190" s="8" t="str">
        <f>IFERROR(INDEX([1]SuSa_2024!BR:BR,MATCH($B190,[1]SuSa_2024!$B:$B,0)),"0")</f>
        <v>0</v>
      </c>
      <c r="AO190" s="8" t="str">
        <f>IFERROR(INDEX([1]SuSa_2024!BS:BS,MATCH($B190,[1]SuSa_2024!$B:$B,0)),"0")</f>
        <v>0</v>
      </c>
      <c r="AP190" s="8" t="str">
        <f>IFERROR(INDEX([1]SuSa_2024!BT:BT,MATCH($B190,[1]SuSa_2024!$B:$B,0)),"0")</f>
        <v>0</v>
      </c>
      <c r="AQ190" s="8" t="str">
        <f>IFERROR(INDEX([1]SuSa_2024!BU:BU,MATCH($B190,[1]SuSa_2024!$B:$B,0)),"0")</f>
        <v>0</v>
      </c>
      <c r="AR190" s="8" t="str">
        <f>IFERROR(INDEX([1]SuSa_2024!BV:BV,MATCH($B190,[1]SuSa_2024!$B:$B,0)),"0")</f>
        <v>0</v>
      </c>
      <c r="AS190" s="8" t="str">
        <f>IFERROR(INDEX([1]SuSa_2024!BW:BW,MATCH($B190,[1]SuSa_2024!$B:$B,0)),"0")</f>
        <v>0</v>
      </c>
      <c r="AT190" s="8" t="str">
        <f>IFERROR(INDEX([1]SuSa_2024!BX:BX,MATCH($B190,[1]SuSa_2024!$B:$B,0)),"0")</f>
        <v>0</v>
      </c>
      <c r="AU190" s="8" t="str">
        <f>IFERROR(INDEX([1]SuSa_2024!BY:BY,MATCH($B190,[1]SuSa_2024!$B:$B,0)),"0")</f>
        <v>0</v>
      </c>
      <c r="AV190" s="8" t="str">
        <f>IFERROR(INDEX([1]SuSa_2025!AR:AR,MATCH($B190,[1]SuSa_2025!$B:$B,0)),"0")</f>
        <v>0</v>
      </c>
      <c r="AW190" s="8" t="str">
        <f>IFERROR(INDEX([1]SuSa_2025!AS:AS,MATCH($B190,[1]SuSa_2025!$B:$B,0)),"0")</f>
        <v>0</v>
      </c>
      <c r="AX190" s="8" t="str">
        <f>IFERROR(INDEX([1]SuSa_2025!AT:AT,MATCH($B190,[1]SuSa_2025!$B:$B,0)),"0")</f>
        <v>0</v>
      </c>
      <c r="AY190" s="8" t="str">
        <f>IFERROR(INDEX([1]SuSa_2025!AU:AU,MATCH($B190,[1]SuSa_2025!$B:$B,0)),"0")</f>
        <v>0</v>
      </c>
      <c r="AZ190" s="8" t="str">
        <f>IFERROR(INDEX([1]SuSa_2025!AV:AV,MATCH($B190,[1]SuSa_2025!$B:$B,0)),"0")</f>
        <v>0</v>
      </c>
      <c r="BA190" s="8" t="str">
        <f>IFERROR(INDEX([1]SuSa_2025!AW:AW,MATCH($B190,[1]SuSa_2025!$B:$B,0)),"0")</f>
        <v>0</v>
      </c>
      <c r="BB190" s="8" t="str">
        <f>IFERROR(INDEX([1]SuSa_2025!AX:AX,MATCH($B190,[1]SuSa_2025!$B:$B,0)),"0")</f>
        <v>0</v>
      </c>
    </row>
    <row r="191" spans="1:54" outlineLevel="1" collapsed="1" x14ac:dyDescent="0.25">
      <c r="A191" s="5" t="s">
        <v>581</v>
      </c>
      <c r="B191" s="6" t="s">
        <v>588</v>
      </c>
      <c r="C191" t="s">
        <v>589</v>
      </c>
      <c r="E191" t="s">
        <v>463</v>
      </c>
      <c r="F191" s="7">
        <f t="shared" si="13"/>
        <v>828.3</v>
      </c>
      <c r="G191" s="7">
        <f t="shared" si="14"/>
        <v>190.84</v>
      </c>
      <c r="H191" s="7">
        <f t="shared" si="15"/>
        <v>126.39</v>
      </c>
      <c r="I191" s="7">
        <f t="shared" si="11"/>
        <v>0</v>
      </c>
      <c r="J191" s="8">
        <f t="shared" si="16"/>
        <v>0</v>
      </c>
      <c r="K191" s="8">
        <f t="shared" si="12"/>
        <v>126.39</v>
      </c>
      <c r="R191" s="8">
        <v>125.3</v>
      </c>
      <c r="S191" s="8">
        <v>151.82</v>
      </c>
      <c r="T191" s="8">
        <v>151.82</v>
      </c>
      <c r="U191" s="8">
        <v>151.82</v>
      </c>
      <c r="V191" s="8">
        <v>413.58</v>
      </c>
      <c r="W191" s="8">
        <v>828.3</v>
      </c>
      <c r="X191" s="8">
        <v>26.52</v>
      </c>
      <c r="Y191" s="8">
        <v>26.52</v>
      </c>
      <c r="Z191" s="8">
        <v>58.96</v>
      </c>
      <c r="AA191" s="8">
        <v>58.96</v>
      </c>
      <c r="AB191" s="8">
        <v>58.96</v>
      </c>
      <c r="AC191" s="8">
        <v>58.96</v>
      </c>
      <c r="AD191" s="8">
        <v>91.4</v>
      </c>
      <c r="AE191" s="8">
        <v>91.4</v>
      </c>
      <c r="AF191" s="8">
        <v>91.4</v>
      </c>
      <c r="AG191" s="8">
        <v>141.12</v>
      </c>
      <c r="AH191" s="8">
        <v>190.84</v>
      </c>
      <c r="AI191" s="8">
        <v>190.84</v>
      </c>
      <c r="AJ191" s="8">
        <f>IFERROR(INDEX([1]SuSa_2024!BN:BN,MATCH($B191,[1]SuSa_2024!$B:$B,0)),"0")</f>
        <v>0</v>
      </c>
      <c r="AK191" s="8">
        <f>IFERROR(INDEX([1]SuSa_2024!BO:BO,MATCH($B191,[1]SuSa_2024!$B:$B,0)),"0")</f>
        <v>0</v>
      </c>
      <c r="AL191" s="8">
        <f>IFERROR(INDEX([1]SuSa_2024!BP:BP,MATCH($B191,[1]SuSa_2024!$B:$B,0)),"0")</f>
        <v>0</v>
      </c>
      <c r="AM191" s="8">
        <f>IFERROR(INDEX([1]SuSa_2024!BQ:BQ,MATCH($B191,[1]SuSa_2024!$B:$B,0)),"0")</f>
        <v>59.58</v>
      </c>
      <c r="AN191" s="8">
        <f>IFERROR(INDEX([1]SuSa_2024!BR:BR,MATCH($B191,[1]SuSa_2024!$B:$B,0)),"0")</f>
        <v>59.58</v>
      </c>
      <c r="AO191" s="8">
        <f>IFERROR(INDEX([1]SuSa_2024!BS:BS,MATCH($B191,[1]SuSa_2024!$B:$B,0)),"0")</f>
        <v>91.33</v>
      </c>
      <c r="AP191" s="8">
        <f>IFERROR(INDEX([1]SuSa_2024!BT:BT,MATCH($B191,[1]SuSa_2024!$B:$B,0)),"0")</f>
        <v>126.39</v>
      </c>
      <c r="AQ191" s="8">
        <f>IFERROR(INDEX([1]SuSa_2024!BU:BU,MATCH($B191,[1]SuSa_2024!$B:$B,0)),"0")</f>
        <v>126.39</v>
      </c>
      <c r="AR191" s="8">
        <f>IFERROR(INDEX([1]SuSa_2024!BV:BV,MATCH($B191,[1]SuSa_2024!$B:$B,0)),"0")</f>
        <v>126.39</v>
      </c>
      <c r="AS191" s="8">
        <f>IFERROR(INDEX([1]SuSa_2024!BW:BW,MATCH($B191,[1]SuSa_2024!$B:$B,0)),"0")</f>
        <v>126.39</v>
      </c>
      <c r="AT191" s="8">
        <f>IFERROR(INDEX([1]SuSa_2024!BX:BX,MATCH($B191,[1]SuSa_2024!$B:$B,0)),"0")</f>
        <v>126.39</v>
      </c>
      <c r="AU191" s="8">
        <f>IFERROR(INDEX([1]SuSa_2024!BY:BY,MATCH($B191,[1]SuSa_2024!$B:$B,0)),"0")</f>
        <v>126.39</v>
      </c>
      <c r="AV191" s="8">
        <f>IFERROR(INDEX([1]SuSa_2025!AR:AR,MATCH($B191,[1]SuSa_2025!$B:$B,0)),"0")</f>
        <v>0</v>
      </c>
      <c r="AW191" s="8">
        <f>IFERROR(INDEX([1]SuSa_2025!AS:AS,MATCH($B191,[1]SuSa_2025!$B:$B,0)),"0")</f>
        <v>0</v>
      </c>
      <c r="AX191" s="8">
        <f>IFERROR(INDEX([1]SuSa_2025!AT:AT,MATCH($B191,[1]SuSa_2025!$B:$B,0)),"0")</f>
        <v>0</v>
      </c>
      <c r="AY191" s="8">
        <f>IFERROR(INDEX([1]SuSa_2025!AU:AU,MATCH($B191,[1]SuSa_2025!$B:$B,0)),"0")</f>
        <v>0</v>
      </c>
      <c r="AZ191" s="8">
        <f>IFERROR(INDEX([1]SuSa_2025!AV:AV,MATCH($B191,[1]SuSa_2025!$B:$B,0)),"0")</f>
        <v>0</v>
      </c>
      <c r="BA191" s="8">
        <f>IFERROR(INDEX([1]SuSa_2025!AW:AW,MATCH($B191,[1]SuSa_2025!$B:$B,0)),"0")</f>
        <v>0</v>
      </c>
      <c r="BB191" s="8">
        <f>IFERROR(INDEX([1]SuSa_2025!AX:AX,MATCH($B191,[1]SuSa_2025!$B:$B,0)),"0")</f>
        <v>0</v>
      </c>
    </row>
    <row r="192" spans="1:54" outlineLevel="1" collapsed="1" x14ac:dyDescent="0.25">
      <c r="A192" s="5" t="s">
        <v>590</v>
      </c>
      <c r="B192" s="6" t="s">
        <v>591</v>
      </c>
      <c r="C192" t="s">
        <v>592</v>
      </c>
      <c r="F192" s="7">
        <f t="shared" si="13"/>
        <v>97844.479999999996</v>
      </c>
      <c r="G192" s="7">
        <f t="shared" si="14"/>
        <v>122856.55</v>
      </c>
      <c r="H192" s="7">
        <f t="shared" si="15"/>
        <v>128163.76000000001</v>
      </c>
      <c r="I192" s="7">
        <f t="shared" si="11"/>
        <v>106089.72999999998</v>
      </c>
      <c r="J192" s="8">
        <f t="shared" si="16"/>
        <v>172283.44999999998</v>
      </c>
      <c r="K192" s="8">
        <f t="shared" si="12"/>
        <v>61970.04</v>
      </c>
      <c r="L192" s="8">
        <v>9992.41</v>
      </c>
      <c r="M192" s="8">
        <v>19984.82</v>
      </c>
      <c r="N192" s="8">
        <v>29977.23</v>
      </c>
      <c r="O192" s="8">
        <v>39969.64</v>
      </c>
      <c r="P192" s="8">
        <v>49962.05</v>
      </c>
      <c r="Q192" s="8">
        <v>50690.86</v>
      </c>
      <c r="R192" s="8">
        <v>60883.13</v>
      </c>
      <c r="S192" s="8">
        <v>66875.539999999994</v>
      </c>
      <c r="T192" s="8">
        <v>77267.67</v>
      </c>
      <c r="U192" s="8">
        <v>87459.94</v>
      </c>
      <c r="V192" s="8">
        <v>97652.21</v>
      </c>
      <c r="W192" s="8">
        <v>97844.479999999996</v>
      </c>
      <c r="X192" s="8">
        <v>10192.27</v>
      </c>
      <c r="Y192" s="8">
        <v>20384.54</v>
      </c>
      <c r="Z192" s="8">
        <v>30576.81</v>
      </c>
      <c r="AA192" s="8">
        <v>40929.11</v>
      </c>
      <c r="AB192" s="8">
        <v>51692.73</v>
      </c>
      <c r="AC192" s="8">
        <v>62136.27</v>
      </c>
      <c r="AD192" s="8">
        <v>72579.81</v>
      </c>
      <c r="AE192" s="8">
        <v>80913.31</v>
      </c>
      <c r="AF192" s="8">
        <v>91394.62</v>
      </c>
      <c r="AG192" s="8">
        <v>101790.69</v>
      </c>
      <c r="AH192" s="8">
        <v>112460.48</v>
      </c>
      <c r="AI192" s="8">
        <v>122856.55</v>
      </c>
      <c r="AJ192" s="8">
        <f>IFERROR(INDEX([1]SuSa_2024!BN:BN,MATCH($B192,[1]SuSa_2024!$B:$B,0)),"0")</f>
        <v>10396.07</v>
      </c>
      <c r="AK192" s="8">
        <f>IFERROR(INDEX([1]SuSa_2024!BO:BO,MATCH($B192,[1]SuSa_2024!$B:$B,0)),"0")</f>
        <v>20792.14</v>
      </c>
      <c r="AL192" s="8">
        <f>IFERROR(INDEX([1]SuSa_2024!BP:BP,MATCH($B192,[1]SuSa_2024!$B:$B,0)),"0")</f>
        <v>31264.879999999997</v>
      </c>
      <c r="AM192" s="8">
        <f>IFERROR(INDEX([1]SuSa_2024!BQ:BQ,MATCH($B192,[1]SuSa_2024!$B:$B,0)),"0")</f>
        <v>41850.769999999997</v>
      </c>
      <c r="AN192" s="8">
        <f>IFERROR(INDEX([1]SuSa_2024!BR:BR,MATCH($B192,[1]SuSa_2024!$B:$B,0)),"0")</f>
        <v>52341.75</v>
      </c>
      <c r="AO192" s="8">
        <f>IFERROR(INDEX([1]SuSa_2024!BS:BS,MATCH($B192,[1]SuSa_2024!$B:$B,0)),"0")</f>
        <v>61875.13</v>
      </c>
      <c r="AP192" s="8">
        <f>IFERROR(INDEX([1]SuSa_2024!BT:BT,MATCH($B192,[1]SuSa_2024!$B:$B,0)),"0")</f>
        <v>61970.04</v>
      </c>
      <c r="AQ192" s="8">
        <f>IFERROR(INDEX([1]SuSa_2024!BU:BU,MATCH($B192,[1]SuSa_2024!$B:$B,0)),"0")</f>
        <v>82762.179999999993</v>
      </c>
      <c r="AR192" s="8">
        <f>IFERROR(INDEX([1]SuSa_2024!BV:BV,MATCH($B192,[1]SuSa_2024!$B:$B,0)),"0")</f>
        <v>82762.179999999993</v>
      </c>
      <c r="AS192" s="8">
        <f>IFERROR(INDEX([1]SuSa_2024!BW:BW,MATCH($B192,[1]SuSa_2024!$B:$B,0)),"0")</f>
        <v>93158.25</v>
      </c>
      <c r="AT192" s="8">
        <f>IFERROR(INDEX([1]SuSa_2024!BX:BX,MATCH($B192,[1]SuSa_2024!$B:$B,0)),"0")</f>
        <v>103545.97</v>
      </c>
      <c r="AU192" s="8">
        <f>IFERROR(INDEX([1]SuSa_2024!BY:BY,MATCH($B192,[1]SuSa_2024!$B:$B,0)),"0")</f>
        <v>128163.76000000001</v>
      </c>
      <c r="AV192" s="8">
        <f>IFERROR(INDEX([1]SuSa_2025!AR:AR,MATCH($B192,[1]SuSa_2025!$B:$B,0)),"0")</f>
        <v>10680.21</v>
      </c>
      <c r="AW192" s="8">
        <f>IFERROR(INDEX([1]SuSa_2025!AS:AS,MATCH($B192,[1]SuSa_2025!$B:$B,0)),"0")</f>
        <v>21670.3</v>
      </c>
      <c r="AX192" s="8">
        <f>IFERROR(INDEX([1]SuSa_2025!AT:AT,MATCH($B192,[1]SuSa_2025!$B:$B,0)),"0")</f>
        <v>32660.39</v>
      </c>
      <c r="AY192" s="8">
        <f>IFERROR(INDEX([1]SuSa_2025!AU:AU,MATCH($B192,[1]SuSa_2025!$B:$B,0)),"0")</f>
        <v>47174.59</v>
      </c>
      <c r="AZ192" s="8">
        <f>IFERROR(INDEX([1]SuSa_2025!AV:AV,MATCH($B192,[1]SuSa_2025!$B:$B,0)),"0")</f>
        <v>64096.959999999992</v>
      </c>
      <c r="BA192" s="8">
        <f>IFERROR(INDEX([1]SuSa_2025!AW:AW,MATCH($B192,[1]SuSa_2025!$B:$B,0)),"0")</f>
        <v>82819.329999999987</v>
      </c>
      <c r="BB192" s="8">
        <f>IFERROR(INDEX([1]SuSa_2025!AX:AX,MATCH($B192,[1]SuSa_2025!$B:$B,0)),"0")</f>
        <v>106089.72999999998</v>
      </c>
    </row>
    <row r="193" spans="1:54" outlineLevel="1" collapsed="1" x14ac:dyDescent="0.25">
      <c r="A193" s="5" t="s">
        <v>593</v>
      </c>
      <c r="B193" s="6" t="s">
        <v>594</v>
      </c>
      <c r="C193" t="s">
        <v>595</v>
      </c>
      <c r="F193" s="7">
        <f t="shared" si="13"/>
        <v>62844.4</v>
      </c>
      <c r="G193" s="7">
        <f t="shared" si="14"/>
        <v>52981.9</v>
      </c>
      <c r="H193" s="7">
        <f t="shared" si="15"/>
        <v>40258.780000000006</v>
      </c>
      <c r="I193" s="7">
        <f t="shared" si="11"/>
        <v>27937.58</v>
      </c>
      <c r="J193" s="8">
        <f t="shared" si="16"/>
        <v>41742.970000000016</v>
      </c>
      <c r="K193" s="8">
        <f t="shared" si="12"/>
        <v>26453.39</v>
      </c>
      <c r="L193" s="8">
        <v>4399.7299999999996</v>
      </c>
      <c r="M193" s="8">
        <v>8799.4599999999991</v>
      </c>
      <c r="N193" s="8">
        <v>13199.19</v>
      </c>
      <c r="O193" s="8">
        <v>17598.919999999998</v>
      </c>
      <c r="P193" s="8">
        <v>21998.65</v>
      </c>
      <c r="Q193" s="8">
        <v>26398.38</v>
      </c>
      <c r="R193" s="8">
        <v>30806.05</v>
      </c>
      <c r="S193" s="8">
        <v>35205.78</v>
      </c>
      <c r="T193" s="8">
        <v>39621.39</v>
      </c>
      <c r="U193" s="8">
        <v>44029.06</v>
      </c>
      <c r="V193" s="8">
        <v>48436.73</v>
      </c>
      <c r="W193" s="8">
        <v>62844.4</v>
      </c>
      <c r="X193" s="8">
        <v>4407.67</v>
      </c>
      <c r="Y193" s="8">
        <v>8815.34</v>
      </c>
      <c r="Z193" s="8">
        <v>13223.01</v>
      </c>
      <c r="AA193" s="8">
        <v>17638.849999999999</v>
      </c>
      <c r="AB193" s="8">
        <v>22071.02</v>
      </c>
      <c r="AC193" s="8">
        <v>26486.86</v>
      </c>
      <c r="AD193" s="8">
        <v>30902.7</v>
      </c>
      <c r="AE193" s="8">
        <v>35318.54</v>
      </c>
      <c r="AF193" s="8">
        <v>39734.379999999997</v>
      </c>
      <c r="AG193" s="8">
        <v>44150.22</v>
      </c>
      <c r="AH193" s="8">
        <v>48566.06</v>
      </c>
      <c r="AI193" s="8">
        <v>52981.9</v>
      </c>
      <c r="AJ193" s="8">
        <f>IFERROR(INDEX([1]SuSa_2024!BN:BN,MATCH($B193,[1]SuSa_2024!$B:$B,0)),"0")</f>
        <v>4415.84</v>
      </c>
      <c r="AK193" s="8">
        <f>IFERROR(INDEX([1]SuSa_2024!BO:BO,MATCH($B193,[1]SuSa_2024!$B:$B,0)),"0")</f>
        <v>8831.68</v>
      </c>
      <c r="AL193" s="8">
        <f>IFERROR(INDEX([1]SuSa_2024!BP:BP,MATCH($B193,[1]SuSa_2024!$B:$B,0)),"0")</f>
        <v>13247.52</v>
      </c>
      <c r="AM193" s="8">
        <f>IFERROR(INDEX([1]SuSa_2024!BQ:BQ,MATCH($B193,[1]SuSa_2024!$B:$B,0)),"0")</f>
        <v>17663.36</v>
      </c>
      <c r="AN193" s="8">
        <f>IFERROR(INDEX([1]SuSa_2024!BR:BR,MATCH($B193,[1]SuSa_2024!$B:$B,0)),"0")</f>
        <v>22079.200000000001</v>
      </c>
      <c r="AO193" s="8">
        <f>IFERROR(INDEX([1]SuSa_2024!BS:BS,MATCH($B193,[1]SuSa_2024!$B:$B,0)),"0")</f>
        <v>26453.39</v>
      </c>
      <c r="AP193" s="8">
        <f>IFERROR(INDEX([1]SuSa_2024!BT:BT,MATCH($B193,[1]SuSa_2024!$B:$B,0)),"0")</f>
        <v>26453.39</v>
      </c>
      <c r="AQ193" s="8">
        <f>IFERROR(INDEX([1]SuSa_2024!BU:BU,MATCH($B193,[1]SuSa_2024!$B:$B,0)),"0")</f>
        <v>35285.07</v>
      </c>
      <c r="AR193" s="8">
        <f>IFERROR(INDEX([1]SuSa_2024!BV:BV,MATCH($B193,[1]SuSa_2024!$B:$B,0)),"0")</f>
        <v>35285.07</v>
      </c>
      <c r="AS193" s="8">
        <f>IFERROR(INDEX([1]SuSa_2024!BW:BW,MATCH($B193,[1]SuSa_2024!$B:$B,0)),"0")</f>
        <v>39700.910000000003</v>
      </c>
      <c r="AT193" s="8">
        <f>IFERROR(INDEX([1]SuSa_2024!BX:BX,MATCH($B193,[1]SuSa_2024!$B:$B,0)),"0")</f>
        <v>43166.030000000006</v>
      </c>
      <c r="AU193" s="8">
        <f>IFERROR(INDEX([1]SuSa_2024!BY:BY,MATCH($B193,[1]SuSa_2024!$B:$B,0)),"0")</f>
        <v>40258.780000000006</v>
      </c>
      <c r="AV193" s="8">
        <f>IFERROR(INDEX([1]SuSa_2025!AR:AR,MATCH($B193,[1]SuSa_2025!$B:$B,0)),"0")</f>
        <v>3465.12</v>
      </c>
      <c r="AW193" s="8">
        <f>IFERROR(INDEX([1]SuSa_2025!AS:AS,MATCH($B193,[1]SuSa_2025!$B:$B,0)),"0")</f>
        <v>6935.51</v>
      </c>
      <c r="AX193" s="8">
        <f>IFERROR(INDEX([1]SuSa_2025!AT:AT,MATCH($B193,[1]SuSa_2025!$B:$B,0)),"0")</f>
        <v>10405.9</v>
      </c>
      <c r="AY193" s="8">
        <f>IFERROR(INDEX([1]SuSa_2025!AU:AU,MATCH($B193,[1]SuSa_2025!$B:$B,0)),"0")</f>
        <v>13922.539999999999</v>
      </c>
      <c r="AZ193" s="8">
        <f>IFERROR(INDEX([1]SuSa_2025!AV:AV,MATCH($B193,[1]SuSa_2025!$B:$B,0)),"0")</f>
        <v>17439.18</v>
      </c>
      <c r="BA193" s="8">
        <f>IFERROR(INDEX([1]SuSa_2025!AW:AW,MATCH($B193,[1]SuSa_2025!$B:$B,0)),"0")</f>
        <v>20955.82</v>
      </c>
      <c r="BB193" s="8">
        <f>IFERROR(INDEX([1]SuSa_2025!AX:AX,MATCH($B193,[1]SuSa_2025!$B:$B,0)),"0")</f>
        <v>27937.58</v>
      </c>
    </row>
    <row r="194" spans="1:54" outlineLevel="1" collapsed="1" x14ac:dyDescent="0.25">
      <c r="A194" s="5" t="s">
        <v>596</v>
      </c>
      <c r="B194" s="6" t="s">
        <v>597</v>
      </c>
      <c r="C194" t="s">
        <v>598</v>
      </c>
      <c r="F194" s="7">
        <f t="shared" si="13"/>
        <v>28305.18</v>
      </c>
      <c r="G194" s="7">
        <f t="shared" si="14"/>
        <v>28891.87</v>
      </c>
      <c r="H194" s="7">
        <f t="shared" si="15"/>
        <v>30800.470000000005</v>
      </c>
      <c r="I194" s="7">
        <f t="shared" si="11"/>
        <v>19896.98</v>
      </c>
      <c r="J194" s="8">
        <f t="shared" si="16"/>
        <v>27213.890000000003</v>
      </c>
      <c r="K194" s="8">
        <f t="shared" si="12"/>
        <v>23483.56</v>
      </c>
      <c r="L194" s="8">
        <v>2220.17</v>
      </c>
      <c r="M194" s="8">
        <v>4603.1400000000003</v>
      </c>
      <c r="N194" s="8">
        <v>6817.01</v>
      </c>
      <c r="O194" s="8">
        <v>9125.44</v>
      </c>
      <c r="P194" s="8">
        <v>11456.16</v>
      </c>
      <c r="Q194" s="8">
        <v>13760.29</v>
      </c>
      <c r="R194" s="8">
        <v>16252.41</v>
      </c>
      <c r="S194" s="8">
        <v>18568.3</v>
      </c>
      <c r="T194" s="8">
        <v>20881.73</v>
      </c>
      <c r="U194" s="8">
        <v>25432.93</v>
      </c>
      <c r="V194" s="8">
        <v>27959.14</v>
      </c>
      <c r="W194" s="8">
        <v>28305.18</v>
      </c>
      <c r="X194" s="8">
        <v>2870.06</v>
      </c>
      <c r="Y194" s="8">
        <v>5688.26</v>
      </c>
      <c r="Z194" s="8">
        <v>8240.99</v>
      </c>
      <c r="AA194" s="8">
        <v>10845.09</v>
      </c>
      <c r="AB194" s="8">
        <v>13419.22</v>
      </c>
      <c r="AC194" s="8">
        <v>16012.66</v>
      </c>
      <c r="AD194" s="8">
        <v>16012.66</v>
      </c>
      <c r="AE194" s="8">
        <v>18538.87</v>
      </c>
      <c r="AF194" s="8">
        <v>21065.08</v>
      </c>
      <c r="AG194" s="8">
        <v>26117.5</v>
      </c>
      <c r="AH194" s="8">
        <v>28902.93</v>
      </c>
      <c r="AI194" s="8">
        <v>28891.87</v>
      </c>
      <c r="AJ194" s="8">
        <f>IFERROR(INDEX([1]SuSa_2024!BN:BN,MATCH($B194,[1]SuSa_2024!$B:$B,0)),"0")</f>
        <v>2526.21</v>
      </c>
      <c r="AK194" s="8">
        <f>IFERROR(INDEX([1]SuSa_2024!BO:BO,MATCH($B194,[1]SuSa_2024!$B:$B,0)),"0")</f>
        <v>5170.67</v>
      </c>
      <c r="AL194" s="8">
        <f>IFERROR(INDEX([1]SuSa_2024!BP:BP,MATCH($B194,[1]SuSa_2024!$B:$B,0)),"0")</f>
        <v>10416.26</v>
      </c>
      <c r="AM194" s="8">
        <f>IFERROR(INDEX([1]SuSa_2024!BQ:BQ,MATCH($B194,[1]SuSa_2024!$B:$B,0)),"0")</f>
        <v>16143.18</v>
      </c>
      <c r="AN194" s="8">
        <f>IFERROR(INDEX([1]SuSa_2024!BR:BR,MATCH($B194,[1]SuSa_2024!$B:$B,0)),"0")</f>
        <v>18743.18</v>
      </c>
      <c r="AO194" s="8">
        <f>IFERROR(INDEX([1]SuSa_2024!BS:BS,MATCH($B194,[1]SuSa_2024!$B:$B,0)),"0")</f>
        <v>21044.59</v>
      </c>
      <c r="AP194" s="8">
        <f>IFERROR(INDEX([1]SuSa_2024!BT:BT,MATCH($B194,[1]SuSa_2024!$B:$B,0)),"0")</f>
        <v>23483.56</v>
      </c>
      <c r="AQ194" s="8">
        <f>IFERROR(INDEX([1]SuSa_2024!BU:BU,MATCH($B194,[1]SuSa_2024!$B:$B,0)),"0")</f>
        <v>23483.56</v>
      </c>
      <c r="AR194" s="8">
        <f>IFERROR(INDEX([1]SuSa_2024!BV:BV,MATCH($B194,[1]SuSa_2024!$B:$B,0)),"0")</f>
        <v>23483.56</v>
      </c>
      <c r="AS194" s="8">
        <f>IFERROR(INDEX([1]SuSa_2024!BW:BW,MATCH($B194,[1]SuSa_2024!$B:$B,0)),"0")</f>
        <v>25922.530000000002</v>
      </c>
      <c r="AT194" s="8">
        <f>IFERROR(INDEX([1]SuSa_2024!BX:BX,MATCH($B194,[1]SuSa_2024!$B:$B,0)),"0")</f>
        <v>28361.500000000004</v>
      </c>
      <c r="AU194" s="8">
        <f>IFERROR(INDEX([1]SuSa_2024!BY:BY,MATCH($B194,[1]SuSa_2024!$B:$B,0)),"0")</f>
        <v>30800.470000000005</v>
      </c>
      <c r="AV194" s="8">
        <f>IFERROR(INDEX([1]SuSa_2025!AR:AR,MATCH($B194,[1]SuSa_2025!$B:$B,0)),"0")</f>
        <v>2681.03</v>
      </c>
      <c r="AW194" s="8">
        <f>IFERROR(INDEX([1]SuSa_2025!AS:AS,MATCH($B194,[1]SuSa_2025!$B:$B,0)),"0")</f>
        <v>6150.73</v>
      </c>
      <c r="AX194" s="8">
        <f>IFERROR(INDEX([1]SuSa_2025!AT:AT,MATCH($B194,[1]SuSa_2025!$B:$B,0)),"0")</f>
        <v>10680.89</v>
      </c>
      <c r="AY194" s="8">
        <f>IFERROR(INDEX([1]SuSa_2025!AU:AU,MATCH($B194,[1]SuSa_2025!$B:$B,0)),"0")</f>
        <v>13611.619999999999</v>
      </c>
      <c r="AZ194" s="8">
        <f>IFERROR(INDEX([1]SuSa_2025!AV:AV,MATCH($B194,[1]SuSa_2025!$B:$B,0)),"0")</f>
        <v>13611.619999999999</v>
      </c>
      <c r="BA194" s="8">
        <f>IFERROR(INDEX([1]SuSa_2025!AW:AW,MATCH($B194,[1]SuSa_2025!$B:$B,0)),"0")</f>
        <v>19896.98</v>
      </c>
      <c r="BB194" s="8">
        <f>IFERROR(INDEX([1]SuSa_2025!AX:AX,MATCH($B194,[1]SuSa_2025!$B:$B,0)),"0")</f>
        <v>19896.98</v>
      </c>
    </row>
    <row r="195" spans="1:54" outlineLevel="1" collapsed="1" x14ac:dyDescent="0.25">
      <c r="A195" s="5" t="s">
        <v>599</v>
      </c>
      <c r="B195" s="6" t="s">
        <v>600</v>
      </c>
      <c r="C195" t="s">
        <v>601</v>
      </c>
      <c r="F195" s="7">
        <f t="shared" si="13"/>
        <v>3580</v>
      </c>
      <c r="G195" s="7">
        <f t="shared" si="14"/>
        <v>0</v>
      </c>
      <c r="H195" s="7">
        <f t="shared" si="15"/>
        <v>1712</v>
      </c>
      <c r="I195" s="7">
        <f t="shared" si="11"/>
        <v>0</v>
      </c>
      <c r="J195" s="8">
        <f t="shared" si="16"/>
        <v>0</v>
      </c>
      <c r="K195" s="8">
        <f t="shared" si="12"/>
        <v>1712</v>
      </c>
      <c r="W195" s="8">
        <v>3580</v>
      </c>
      <c r="AJ195" s="8">
        <f>IFERROR(INDEX([1]SuSa_2024!BN:BN,MATCH($B195,[1]SuSa_2024!$B:$B,0)),"0")</f>
        <v>1300</v>
      </c>
      <c r="AK195" s="8">
        <f>IFERROR(INDEX([1]SuSa_2024!BO:BO,MATCH($B195,[1]SuSa_2024!$B:$B,0)),"0")</f>
        <v>1300</v>
      </c>
      <c r="AL195" s="8">
        <f>IFERROR(INDEX([1]SuSa_2024!BP:BP,MATCH($B195,[1]SuSa_2024!$B:$B,0)),"0")</f>
        <v>1300</v>
      </c>
      <c r="AM195" s="8">
        <f>IFERROR(INDEX([1]SuSa_2024!BQ:BQ,MATCH($B195,[1]SuSa_2024!$B:$B,0)),"0")</f>
        <v>1300</v>
      </c>
      <c r="AN195" s="8">
        <f>IFERROR(INDEX([1]SuSa_2024!BR:BR,MATCH($B195,[1]SuSa_2024!$B:$B,0)),"0")</f>
        <v>1712</v>
      </c>
      <c r="AO195" s="8">
        <f>IFERROR(INDEX([1]SuSa_2024!BS:BS,MATCH($B195,[1]SuSa_2024!$B:$B,0)),"0")</f>
        <v>1712</v>
      </c>
      <c r="AP195" s="8">
        <f>IFERROR(INDEX([1]SuSa_2024!BT:BT,MATCH($B195,[1]SuSa_2024!$B:$B,0)),"0")</f>
        <v>1712</v>
      </c>
      <c r="AQ195" s="8">
        <f>IFERROR(INDEX([1]SuSa_2024!BU:BU,MATCH($B195,[1]SuSa_2024!$B:$B,0)),"0")</f>
        <v>1712</v>
      </c>
      <c r="AR195" s="8">
        <f>IFERROR(INDEX([1]SuSa_2024!BV:BV,MATCH($B195,[1]SuSa_2024!$B:$B,0)),"0")</f>
        <v>1712</v>
      </c>
      <c r="AS195" s="8">
        <f>IFERROR(INDEX([1]SuSa_2024!BW:BW,MATCH($B195,[1]SuSa_2024!$B:$B,0)),"0")</f>
        <v>1712</v>
      </c>
      <c r="AT195" s="8">
        <f>IFERROR(INDEX([1]SuSa_2024!BX:BX,MATCH($B195,[1]SuSa_2024!$B:$B,0)),"0")</f>
        <v>1712</v>
      </c>
      <c r="AU195" s="8">
        <f>IFERROR(INDEX([1]SuSa_2024!BY:BY,MATCH($B195,[1]SuSa_2024!$B:$B,0)),"0")</f>
        <v>1712</v>
      </c>
      <c r="AV195" s="8">
        <f>IFERROR(INDEX([1]SuSa_2025!AR:AR,MATCH($B195,[1]SuSa_2025!$B:$B,0)),"0")</f>
        <v>0</v>
      </c>
      <c r="AW195" s="8">
        <f>IFERROR(INDEX([1]SuSa_2025!AS:AS,MATCH($B195,[1]SuSa_2025!$B:$B,0)),"0")</f>
        <v>0</v>
      </c>
      <c r="AX195" s="8">
        <f>IFERROR(INDEX([1]SuSa_2025!AT:AT,MATCH($B195,[1]SuSa_2025!$B:$B,0)),"0")</f>
        <v>0</v>
      </c>
      <c r="AY195" s="8">
        <f>IFERROR(INDEX([1]SuSa_2025!AU:AU,MATCH($B195,[1]SuSa_2025!$B:$B,0)),"0")</f>
        <v>0</v>
      </c>
      <c r="AZ195" s="8">
        <f>IFERROR(INDEX([1]SuSa_2025!AV:AV,MATCH($B195,[1]SuSa_2025!$B:$B,0)),"0")</f>
        <v>0</v>
      </c>
      <c r="BA195" s="8">
        <f>IFERROR(INDEX([1]SuSa_2025!AW:AW,MATCH($B195,[1]SuSa_2025!$B:$B,0)),"0")</f>
        <v>0</v>
      </c>
      <c r="BB195" s="8">
        <f>IFERROR(INDEX([1]SuSa_2025!AX:AX,MATCH($B195,[1]SuSa_2025!$B:$B,0)),"0")</f>
        <v>0</v>
      </c>
    </row>
    <row r="196" spans="1:54" outlineLevel="1" collapsed="1" x14ac:dyDescent="0.25">
      <c r="A196" s="5" t="s">
        <v>602</v>
      </c>
      <c r="B196" s="6" t="s">
        <v>603</v>
      </c>
      <c r="C196" t="s">
        <v>604</v>
      </c>
      <c r="F196" s="22">
        <f t="shared" si="13"/>
        <v>4730.43</v>
      </c>
      <c r="G196" s="7">
        <f t="shared" si="14"/>
        <v>5760.91</v>
      </c>
      <c r="H196" s="7">
        <f t="shared" si="15"/>
        <v>7617.71</v>
      </c>
      <c r="I196" s="7">
        <f t="shared" ref="I196:I259" si="17">BB196</f>
        <v>4769.3899999999994</v>
      </c>
      <c r="J196" s="8">
        <f t="shared" si="16"/>
        <v>8209.1099999999988</v>
      </c>
      <c r="K196" s="8">
        <f t="shared" ref="K196:K259" si="18">AP196</f>
        <v>4177.99</v>
      </c>
      <c r="L196" s="8">
        <v>344.68</v>
      </c>
      <c r="M196" s="8">
        <v>586.14</v>
      </c>
      <c r="N196" s="8">
        <v>930.82</v>
      </c>
      <c r="O196" s="8">
        <v>1275.5</v>
      </c>
      <c r="P196" s="8">
        <v>1620.18</v>
      </c>
      <c r="Q196" s="8">
        <v>2417.11</v>
      </c>
      <c r="R196" s="8">
        <v>2433.7800000000002</v>
      </c>
      <c r="S196" s="8">
        <v>3095.69</v>
      </c>
      <c r="T196" s="8">
        <v>3712.52</v>
      </c>
      <c r="U196" s="8">
        <v>4051.81</v>
      </c>
      <c r="V196" s="8">
        <v>4391.1000000000004</v>
      </c>
      <c r="W196" s="8">
        <v>4730.43</v>
      </c>
      <c r="X196" s="8">
        <v>302.48</v>
      </c>
      <c r="Y196" s="8">
        <v>824.27</v>
      </c>
      <c r="Z196" s="8">
        <v>1379.15</v>
      </c>
      <c r="AA196" s="8">
        <v>1707.45</v>
      </c>
      <c r="AB196" s="8">
        <v>2035.71</v>
      </c>
      <c r="AC196" s="8">
        <v>2364.0100000000002</v>
      </c>
      <c r="AD196" s="8">
        <v>2692.31</v>
      </c>
      <c r="AE196" s="8">
        <v>3082.49</v>
      </c>
      <c r="AF196" s="8">
        <v>3416.79</v>
      </c>
      <c r="AG196" s="8">
        <v>5104.26</v>
      </c>
      <c r="AH196" s="8">
        <v>5432.56</v>
      </c>
      <c r="AI196" s="8">
        <v>5760.91</v>
      </c>
      <c r="AJ196" s="8">
        <f>IFERROR(INDEX([1]SuSa_2024!BN:BN,MATCH($B196,[1]SuSa_2024!$B:$B,0)),"0")</f>
        <v>372.54</v>
      </c>
      <c r="AK196" s="8">
        <f>IFERROR(INDEX([1]SuSa_2024!BO:BO,MATCH($B196,[1]SuSa_2024!$B:$B,0)),"0")</f>
        <v>716.08</v>
      </c>
      <c r="AL196" s="8">
        <f>IFERROR(INDEX([1]SuSa_2024!BP:BP,MATCH($B196,[1]SuSa_2024!$B:$B,0)),"0")</f>
        <v>1311.1100000000001</v>
      </c>
      <c r="AM196" s="8">
        <f>IFERROR(INDEX([1]SuSa_2024!BQ:BQ,MATCH($B196,[1]SuSa_2024!$B:$B,0)),"0")</f>
        <v>1683.65</v>
      </c>
      <c r="AN196" s="8">
        <f>IFERROR(INDEX([1]SuSa_2024!BR:BR,MATCH($B196,[1]SuSa_2024!$B:$B,0)),"0")</f>
        <v>3069.04</v>
      </c>
      <c r="AO196" s="8">
        <f>IFERROR(INDEX([1]SuSa_2024!BS:BS,MATCH($B196,[1]SuSa_2024!$B:$B,0)),"0")</f>
        <v>3527.5299999999997</v>
      </c>
      <c r="AP196" s="8">
        <f>IFERROR(INDEX([1]SuSa_2024!BT:BT,MATCH($B196,[1]SuSa_2024!$B:$B,0)),"0")</f>
        <v>4177.99</v>
      </c>
      <c r="AQ196" s="8">
        <f>IFERROR(INDEX([1]SuSa_2024!BU:BU,MATCH($B196,[1]SuSa_2024!$B:$B,0)),"0")</f>
        <v>5033.24</v>
      </c>
      <c r="AR196" s="8">
        <f>IFERROR(INDEX([1]SuSa_2024!BV:BV,MATCH($B196,[1]SuSa_2024!$B:$B,0)),"0")</f>
        <v>5623.49</v>
      </c>
      <c r="AS196" s="8">
        <f>IFERROR(INDEX([1]SuSa_2024!BW:BW,MATCH($B196,[1]SuSa_2024!$B:$B,0)),"0")</f>
        <v>6213.74</v>
      </c>
      <c r="AT196" s="8">
        <f>IFERROR(INDEX([1]SuSa_2024!BX:BX,MATCH($B196,[1]SuSa_2024!$B:$B,0)),"0")</f>
        <v>6803.99</v>
      </c>
      <c r="AU196" s="8">
        <f>IFERROR(INDEX([1]SuSa_2024!BY:BY,MATCH($B196,[1]SuSa_2024!$B:$B,0)),"0")</f>
        <v>7617.71</v>
      </c>
      <c r="AV196" s="8">
        <f>IFERROR(INDEX([1]SuSa_2025!AR:AR,MATCH($B196,[1]SuSa_2025!$B:$B,0)),"0")</f>
        <v>3761.49</v>
      </c>
      <c r="AW196" s="8">
        <f>IFERROR(INDEX([1]SuSa_2025!AS:AS,MATCH($B196,[1]SuSa_2025!$B:$B,0)),"0")</f>
        <v>4092.74</v>
      </c>
      <c r="AX196" s="8">
        <f>IFERROR(INDEX([1]SuSa_2025!AT:AT,MATCH($B196,[1]SuSa_2025!$B:$B,0)),"0")</f>
        <v>4423.99</v>
      </c>
      <c r="AY196" s="8">
        <f>IFERROR(INDEX([1]SuSa_2025!AU:AU,MATCH($B196,[1]SuSa_2025!$B:$B,0)),"0")</f>
        <v>4749.24</v>
      </c>
      <c r="AZ196" s="8">
        <f>IFERROR(INDEX([1]SuSa_2025!AV:AV,MATCH($B196,[1]SuSa_2025!$B:$B,0)),"0")</f>
        <v>5074.49</v>
      </c>
      <c r="BA196" s="8">
        <f>IFERROR(INDEX([1]SuSa_2025!AW:AW,MATCH($B196,[1]SuSa_2025!$B:$B,0)),"0")</f>
        <v>1490.1099999999997</v>
      </c>
      <c r="BB196" s="8">
        <f>IFERROR(INDEX([1]SuSa_2025!AX:AX,MATCH($B196,[1]SuSa_2025!$B:$B,0)),"0")</f>
        <v>4769.3899999999994</v>
      </c>
    </row>
    <row r="197" spans="1:54" outlineLevel="1" collapsed="1" x14ac:dyDescent="0.25">
      <c r="A197" s="5" t="s">
        <v>605</v>
      </c>
      <c r="B197" s="6" t="s">
        <v>606</v>
      </c>
      <c r="C197" t="s">
        <v>607</v>
      </c>
      <c r="F197" s="22">
        <f t="shared" ref="F197:F260" si="19">W197</f>
        <v>73.44</v>
      </c>
      <c r="G197" s="7">
        <f t="shared" ref="G197:G260" si="20">AI197</f>
        <v>815.44</v>
      </c>
      <c r="H197" s="7">
        <f t="shared" ref="H197:H260" si="21">AU197</f>
        <v>3085.9900000000002</v>
      </c>
      <c r="I197" s="7">
        <f t="shared" si="17"/>
        <v>553.25</v>
      </c>
      <c r="J197" s="8">
        <f t="shared" si="16"/>
        <v>2442.6600000000003</v>
      </c>
      <c r="K197" s="8">
        <f t="shared" si="18"/>
        <v>1196.58</v>
      </c>
      <c r="L197" s="8">
        <v>18.36</v>
      </c>
      <c r="M197" s="8">
        <v>18.36</v>
      </c>
      <c r="N197" s="8">
        <v>18.36</v>
      </c>
      <c r="O197" s="8">
        <v>36.72</v>
      </c>
      <c r="P197" s="8">
        <v>36.72</v>
      </c>
      <c r="Q197" s="8">
        <v>36.72</v>
      </c>
      <c r="R197" s="8">
        <v>55.08</v>
      </c>
      <c r="S197" s="8">
        <v>55.08</v>
      </c>
      <c r="T197" s="8">
        <v>55.08</v>
      </c>
      <c r="U197" s="8">
        <v>73.44</v>
      </c>
      <c r="V197" s="8">
        <v>73.44</v>
      </c>
      <c r="W197" s="8">
        <v>73.44</v>
      </c>
      <c r="X197" s="8">
        <v>18.36</v>
      </c>
      <c r="Y197" s="8">
        <v>18.36</v>
      </c>
      <c r="Z197" s="8">
        <v>18.36</v>
      </c>
      <c r="AA197" s="8">
        <v>36.72</v>
      </c>
      <c r="AB197" s="8">
        <v>36.72</v>
      </c>
      <c r="AC197" s="8">
        <v>36.72</v>
      </c>
      <c r="AD197" s="8">
        <v>55.08</v>
      </c>
      <c r="AE197" s="8">
        <v>55.08</v>
      </c>
      <c r="AF197" s="8">
        <v>55.08</v>
      </c>
      <c r="AG197" s="8">
        <v>73.44</v>
      </c>
      <c r="AH197" s="8">
        <v>476.44</v>
      </c>
      <c r="AI197" s="8">
        <v>815.44</v>
      </c>
      <c r="AJ197" s="8">
        <f>IFERROR(INDEX([1]SuSa_2024!BN:BN,MATCH($B197,[1]SuSa_2024!$B:$B,0)),"0")</f>
        <v>18.36</v>
      </c>
      <c r="AK197" s="8">
        <f>IFERROR(INDEX([1]SuSa_2024!BO:BO,MATCH($B197,[1]SuSa_2024!$B:$B,0)),"0")</f>
        <v>18.36</v>
      </c>
      <c r="AL197" s="8">
        <f>IFERROR(INDEX([1]SuSa_2024!BP:BP,MATCH($B197,[1]SuSa_2024!$B:$B,0)),"0")</f>
        <v>18.36</v>
      </c>
      <c r="AM197" s="8">
        <f>IFERROR(INDEX([1]SuSa_2024!BQ:BQ,MATCH($B197,[1]SuSa_2024!$B:$B,0)),"0")</f>
        <v>797.72</v>
      </c>
      <c r="AN197" s="8">
        <f>IFERROR(INDEX([1]SuSa_2024!BR:BR,MATCH($B197,[1]SuSa_2024!$B:$B,0)),"0")</f>
        <v>987.97</v>
      </c>
      <c r="AO197" s="8">
        <f>IFERROR(INDEX([1]SuSa_2024!BS:BS,MATCH($B197,[1]SuSa_2024!$B:$B,0)),"0")</f>
        <v>1178.22</v>
      </c>
      <c r="AP197" s="8">
        <f>IFERROR(INDEX([1]SuSa_2024!BT:BT,MATCH($B197,[1]SuSa_2024!$B:$B,0)),"0")</f>
        <v>1196.58</v>
      </c>
      <c r="AQ197" s="8">
        <f>IFERROR(INDEX([1]SuSa_2024!BU:BU,MATCH($B197,[1]SuSa_2024!$B:$B,0)),"0")</f>
        <v>1798.3799999999999</v>
      </c>
      <c r="AR197" s="8">
        <f>IFERROR(INDEX([1]SuSa_2024!BV:BV,MATCH($B197,[1]SuSa_2024!$B:$B,0)),"0")</f>
        <v>2099.2799999999997</v>
      </c>
      <c r="AS197" s="8">
        <f>IFERROR(INDEX([1]SuSa_2024!BW:BW,MATCH($B197,[1]SuSa_2024!$B:$B,0)),"0")</f>
        <v>2418.54</v>
      </c>
      <c r="AT197" s="8">
        <f>IFERROR(INDEX([1]SuSa_2024!BX:BX,MATCH($B197,[1]SuSa_2024!$B:$B,0)),"0")</f>
        <v>2719.44</v>
      </c>
      <c r="AU197" s="8">
        <f>IFERROR(INDEX([1]SuSa_2024!BY:BY,MATCH($B197,[1]SuSa_2024!$B:$B,0)),"0")</f>
        <v>3085.9900000000002</v>
      </c>
      <c r="AV197" s="8">
        <f>IFERROR(INDEX([1]SuSa_2025!AR:AR,MATCH($B197,[1]SuSa_2025!$B:$B,0)),"0")</f>
        <v>110.65</v>
      </c>
      <c r="AW197" s="8">
        <f>IFERROR(INDEX([1]SuSa_2025!AS:AS,MATCH($B197,[1]SuSa_2025!$B:$B,0)),"0")</f>
        <v>221.3</v>
      </c>
      <c r="AX197" s="8">
        <f>IFERROR(INDEX([1]SuSa_2025!AT:AT,MATCH($B197,[1]SuSa_2025!$B:$B,0)),"0")</f>
        <v>331.95000000000005</v>
      </c>
      <c r="AY197" s="8">
        <f>IFERROR(INDEX([1]SuSa_2025!AU:AU,MATCH($B197,[1]SuSa_2025!$B:$B,0)),"0")</f>
        <v>442.6</v>
      </c>
      <c r="AZ197" s="8">
        <f>IFERROR(INDEX([1]SuSa_2025!AV:AV,MATCH($B197,[1]SuSa_2025!$B:$B,0)),"0")</f>
        <v>553.25</v>
      </c>
      <c r="BA197" s="8">
        <f>IFERROR(INDEX([1]SuSa_2025!AW:AW,MATCH($B197,[1]SuSa_2025!$B:$B,0)),"0")</f>
        <v>553.25</v>
      </c>
      <c r="BB197" s="8">
        <f>IFERROR(INDEX([1]SuSa_2025!AX:AX,MATCH($B197,[1]SuSa_2025!$B:$B,0)),"0")</f>
        <v>553.25</v>
      </c>
    </row>
    <row r="198" spans="1:54" outlineLevel="1" collapsed="1" x14ac:dyDescent="0.25">
      <c r="A198" s="5" t="s">
        <v>605</v>
      </c>
      <c r="B198" s="6" t="s">
        <v>608</v>
      </c>
      <c r="C198" t="s">
        <v>609</v>
      </c>
      <c r="F198" s="22">
        <f t="shared" si="19"/>
        <v>10348.290000000001</v>
      </c>
      <c r="G198" s="7">
        <f t="shared" si="20"/>
        <v>-352.38</v>
      </c>
      <c r="H198" s="7">
        <f t="shared" si="21"/>
        <v>11196.239999999996</v>
      </c>
      <c r="I198" s="7">
        <f t="shared" si="17"/>
        <v>1325.8900000000003</v>
      </c>
      <c r="J198" s="8">
        <f t="shared" si="16"/>
        <v>-592.7400000000016</v>
      </c>
      <c r="K198" s="8">
        <f t="shared" si="18"/>
        <v>13114.869999999999</v>
      </c>
      <c r="L198" s="8">
        <v>995.4</v>
      </c>
      <c r="M198" s="8">
        <v>1990.8</v>
      </c>
      <c r="N198" s="8">
        <v>2986.2</v>
      </c>
      <c r="O198" s="8">
        <v>3804.21</v>
      </c>
      <c r="P198" s="8">
        <v>4622.22</v>
      </c>
      <c r="Q198" s="8">
        <v>5440.23</v>
      </c>
      <c r="R198" s="8">
        <v>6258.24</v>
      </c>
      <c r="S198" s="8">
        <v>7076.25</v>
      </c>
      <c r="T198" s="8">
        <v>7894.26</v>
      </c>
      <c r="U198" s="8">
        <v>8712.27</v>
      </c>
      <c r="V198" s="8">
        <v>9530.2800000000007</v>
      </c>
      <c r="W198" s="8">
        <v>10348.290000000001</v>
      </c>
      <c r="X198" s="8">
        <v>-5462.22</v>
      </c>
      <c r="Y198" s="8">
        <v>-4644.21</v>
      </c>
      <c r="Z198" s="8">
        <v>-3826.2</v>
      </c>
      <c r="AA198" s="8">
        <v>-3440.22</v>
      </c>
      <c r="AB198" s="8">
        <v>-3054.24</v>
      </c>
      <c r="AC198" s="8">
        <v>-2668.26</v>
      </c>
      <c r="AD198" s="8">
        <v>-2668.26</v>
      </c>
      <c r="AE198" s="8">
        <v>-2668.26</v>
      </c>
      <c r="AF198" s="8">
        <v>-2668.26</v>
      </c>
      <c r="AG198" s="8">
        <v>-1124.3399999999999</v>
      </c>
      <c r="AH198" s="8">
        <v>-738.36</v>
      </c>
      <c r="AI198" s="8">
        <v>-352.38</v>
      </c>
      <c r="AJ198" s="8">
        <f>IFERROR(INDEX([1]SuSa_2024!BN:BN,MATCH($B198,[1]SuSa_2024!$B:$B,0)),"0")</f>
        <v>385.98</v>
      </c>
      <c r="AK198" s="8">
        <f>IFERROR(INDEX([1]SuSa_2024!BO:BO,MATCH($B198,[1]SuSa_2024!$B:$B,0)),"0")</f>
        <v>771.96</v>
      </c>
      <c r="AL198" s="8">
        <f>IFERROR(INDEX([1]SuSa_2024!BP:BP,MATCH($B198,[1]SuSa_2024!$B:$B,0)),"0")</f>
        <v>-3803.88</v>
      </c>
      <c r="AM198" s="8">
        <f>IFERROR(INDEX([1]SuSa_2024!BQ:BQ,MATCH($B198,[1]SuSa_2024!$B:$B,0)),"0")</f>
        <v>-3759.38</v>
      </c>
      <c r="AN198" s="8">
        <f>IFERROR(INDEX([1]SuSa_2024!BR:BR,MATCH($B198,[1]SuSa_2024!$B:$B,0)),"0")</f>
        <v>10495.77</v>
      </c>
      <c r="AO198" s="8">
        <f>IFERROR(INDEX([1]SuSa_2024!BS:BS,MATCH($B198,[1]SuSa_2024!$B:$B,0)),"0")</f>
        <v>12055.32</v>
      </c>
      <c r="AP198" s="8">
        <f>IFERROR(INDEX([1]SuSa_2024!BT:BT,MATCH($B198,[1]SuSa_2024!$B:$B,0)),"0")</f>
        <v>13114.869999999999</v>
      </c>
      <c r="AQ198" s="8">
        <f>IFERROR(INDEX([1]SuSa_2024!BU:BU,MATCH($B198,[1]SuSa_2024!$B:$B,0)),"0")</f>
        <v>15174.419999999998</v>
      </c>
      <c r="AR198" s="8">
        <f>IFERROR(INDEX([1]SuSa_2024!BV:BV,MATCH($B198,[1]SuSa_2024!$B:$B,0)),"0")</f>
        <v>16733.969999999998</v>
      </c>
      <c r="AS198" s="8">
        <f>IFERROR(INDEX([1]SuSa_2024!BW:BW,MATCH($B198,[1]SuSa_2024!$B:$B,0)),"0")</f>
        <v>18293.519999999997</v>
      </c>
      <c r="AT198" s="8">
        <f>IFERROR(INDEX([1]SuSa_2024!BX:BX,MATCH($B198,[1]SuSa_2024!$B:$B,0)),"0")</f>
        <v>19853.069999999996</v>
      </c>
      <c r="AU198" s="8">
        <f>IFERROR(INDEX([1]SuSa_2024!BY:BY,MATCH($B198,[1]SuSa_2024!$B:$B,0)),"0")</f>
        <v>11196.239999999996</v>
      </c>
      <c r="AV198" s="8">
        <f>IFERROR(INDEX([1]SuSa_2025!AR:AR,MATCH($B198,[1]SuSa_2025!$B:$B,0)),"0")</f>
        <v>0</v>
      </c>
      <c r="AW198" s="8">
        <f>IFERROR(INDEX([1]SuSa_2025!AS:AS,MATCH($B198,[1]SuSa_2025!$B:$B,0)),"0")</f>
        <v>0</v>
      </c>
      <c r="AX198" s="8">
        <f>IFERROR(INDEX([1]SuSa_2025!AT:AT,MATCH($B198,[1]SuSa_2025!$B:$B,0)),"0")</f>
        <v>500</v>
      </c>
      <c r="AY198" s="8">
        <f>IFERROR(INDEX([1]SuSa_2025!AU:AU,MATCH($B198,[1]SuSa_2025!$B:$B,0)),"0")</f>
        <v>1108.6300000000001</v>
      </c>
      <c r="AZ198" s="8">
        <f>IFERROR(INDEX([1]SuSa_2025!AV:AV,MATCH($B198,[1]SuSa_2025!$B:$B,0)),"0")</f>
        <v>1108.6300000000001</v>
      </c>
      <c r="BA198" s="8">
        <f>IFERROR(INDEX([1]SuSa_2025!AW:AW,MATCH($B198,[1]SuSa_2025!$B:$B,0)),"0")</f>
        <v>1217.2600000000002</v>
      </c>
      <c r="BB198" s="8">
        <f>IFERROR(INDEX([1]SuSa_2025!AX:AX,MATCH($B198,[1]SuSa_2025!$B:$B,0)),"0")</f>
        <v>1325.8900000000003</v>
      </c>
    </row>
    <row r="199" spans="1:54" outlineLevel="1" collapsed="1" x14ac:dyDescent="0.25">
      <c r="A199" s="5" t="s">
        <v>610</v>
      </c>
      <c r="B199" s="6" t="s">
        <v>611</v>
      </c>
      <c r="C199" t="s">
        <v>612</v>
      </c>
      <c r="F199" s="22">
        <f t="shared" si="19"/>
        <v>0</v>
      </c>
      <c r="G199" s="7">
        <f t="shared" si="20"/>
        <v>1850</v>
      </c>
      <c r="H199" s="7">
        <f t="shared" si="21"/>
        <v>0</v>
      </c>
      <c r="I199" s="7" t="str">
        <f t="shared" si="17"/>
        <v>0</v>
      </c>
      <c r="J199" s="8">
        <f t="shared" si="16"/>
        <v>0</v>
      </c>
      <c r="K199" s="8">
        <f t="shared" si="18"/>
        <v>0</v>
      </c>
      <c r="AG199" s="8">
        <v>1973.5</v>
      </c>
      <c r="AH199" s="8">
        <v>1850</v>
      </c>
      <c r="AI199" s="8">
        <v>1850</v>
      </c>
      <c r="AJ199" s="8">
        <f>IFERROR(INDEX([1]SuSa_2024!BN:BN,MATCH($B199,[1]SuSa_2024!$B:$B,0)),"0")</f>
        <v>0</v>
      </c>
      <c r="AK199" s="8">
        <f>IFERROR(INDEX([1]SuSa_2024!BO:BO,MATCH($B199,[1]SuSa_2024!$B:$B,0)),"0")</f>
        <v>0</v>
      </c>
      <c r="AL199" s="8">
        <f>IFERROR(INDEX([1]SuSa_2024!BP:BP,MATCH($B199,[1]SuSa_2024!$B:$B,0)),"0")</f>
        <v>0</v>
      </c>
      <c r="AM199" s="8">
        <f>IFERROR(INDEX([1]SuSa_2024!BQ:BQ,MATCH($B199,[1]SuSa_2024!$B:$B,0)),"0")</f>
        <v>0</v>
      </c>
      <c r="AN199" s="8">
        <f>IFERROR(INDEX([1]SuSa_2024!BR:BR,MATCH($B199,[1]SuSa_2024!$B:$B,0)),"0")</f>
        <v>0</v>
      </c>
      <c r="AO199" s="8">
        <f>IFERROR(INDEX([1]SuSa_2024!BS:BS,MATCH($B199,[1]SuSa_2024!$B:$B,0)),"0")</f>
        <v>0</v>
      </c>
      <c r="AP199" s="8">
        <f>IFERROR(INDEX([1]SuSa_2024!BT:BT,MATCH($B199,[1]SuSa_2024!$B:$B,0)),"0")</f>
        <v>0</v>
      </c>
      <c r="AQ199" s="8">
        <f>IFERROR(INDEX([1]SuSa_2024!BU:BU,MATCH($B199,[1]SuSa_2024!$B:$B,0)),"0")</f>
        <v>0</v>
      </c>
      <c r="AR199" s="8">
        <f>IFERROR(INDEX([1]SuSa_2024!BV:BV,MATCH($B199,[1]SuSa_2024!$B:$B,0)),"0")</f>
        <v>0</v>
      </c>
      <c r="AS199" s="8">
        <f>IFERROR(INDEX([1]SuSa_2024!BW:BW,MATCH($B199,[1]SuSa_2024!$B:$B,0)),"0")</f>
        <v>0</v>
      </c>
      <c r="AT199" s="8">
        <f>IFERROR(INDEX([1]SuSa_2024!BX:BX,MATCH($B199,[1]SuSa_2024!$B:$B,0)),"0")</f>
        <v>0</v>
      </c>
      <c r="AU199" s="8">
        <f>IFERROR(INDEX([1]SuSa_2024!BY:BY,MATCH($B199,[1]SuSa_2024!$B:$B,0)),"0")</f>
        <v>0</v>
      </c>
      <c r="AV199" s="8" t="str">
        <f>IFERROR(INDEX([1]SuSa_2025!AR:AR,MATCH($B199,[1]SuSa_2025!$B:$B,0)),"0")</f>
        <v>0</v>
      </c>
      <c r="AW199" s="8" t="str">
        <f>IFERROR(INDEX([1]SuSa_2025!AS:AS,MATCH($B199,[1]SuSa_2025!$B:$B,0)),"0")</f>
        <v>0</v>
      </c>
      <c r="AX199" s="8" t="str">
        <f>IFERROR(INDEX([1]SuSa_2025!AT:AT,MATCH($B199,[1]SuSa_2025!$B:$B,0)),"0")</f>
        <v>0</v>
      </c>
      <c r="AY199" s="8" t="str">
        <f>IFERROR(INDEX([1]SuSa_2025!AU:AU,MATCH($B199,[1]SuSa_2025!$B:$B,0)),"0")</f>
        <v>0</v>
      </c>
      <c r="AZ199" s="8" t="str">
        <f>IFERROR(INDEX([1]SuSa_2025!AV:AV,MATCH($B199,[1]SuSa_2025!$B:$B,0)),"0")</f>
        <v>0</v>
      </c>
      <c r="BA199" s="8" t="str">
        <f>IFERROR(INDEX([1]SuSa_2025!AW:AW,MATCH($B199,[1]SuSa_2025!$B:$B,0)),"0")</f>
        <v>0</v>
      </c>
      <c r="BB199" s="8" t="str">
        <f>IFERROR(INDEX([1]SuSa_2025!AX:AX,MATCH($B199,[1]SuSa_2025!$B:$B,0)),"0")</f>
        <v>0</v>
      </c>
    </row>
    <row r="200" spans="1:54" outlineLevel="1" collapsed="1" x14ac:dyDescent="0.25">
      <c r="A200" s="5" t="s">
        <v>613</v>
      </c>
      <c r="B200" s="6" t="s">
        <v>614</v>
      </c>
      <c r="C200" t="s">
        <v>615</v>
      </c>
      <c r="F200" s="22">
        <f t="shared" si="19"/>
        <v>0</v>
      </c>
      <c r="G200" s="7">
        <f t="shared" si="20"/>
        <v>0</v>
      </c>
      <c r="H200" s="7">
        <f t="shared" si="21"/>
        <v>28</v>
      </c>
      <c r="I200" s="7">
        <f t="shared" si="17"/>
        <v>414.5</v>
      </c>
      <c r="J200" s="8">
        <f t="shared" si="16"/>
        <v>442.5</v>
      </c>
      <c r="K200" s="8">
        <f t="shared" si="18"/>
        <v>0</v>
      </c>
      <c r="AJ200" s="8">
        <f>IFERROR(INDEX([1]SuSa_2024!BN:BN,MATCH($B200,[1]SuSa_2024!$B:$B,0)),"0")</f>
        <v>0</v>
      </c>
      <c r="AK200" s="8">
        <f>IFERROR(INDEX([1]SuSa_2024!BO:BO,MATCH($B200,[1]SuSa_2024!$B:$B,0)),"0")</f>
        <v>0</v>
      </c>
      <c r="AL200" s="8">
        <f>IFERROR(INDEX([1]SuSa_2024!BP:BP,MATCH($B200,[1]SuSa_2024!$B:$B,0)),"0")</f>
        <v>0</v>
      </c>
      <c r="AM200" s="8">
        <f>IFERROR(INDEX([1]SuSa_2024!BQ:BQ,MATCH($B200,[1]SuSa_2024!$B:$B,0)),"0")</f>
        <v>0</v>
      </c>
      <c r="AN200" s="8">
        <f>IFERROR(INDEX([1]SuSa_2024!BR:BR,MATCH($B200,[1]SuSa_2024!$B:$B,0)),"0")</f>
        <v>0</v>
      </c>
      <c r="AO200" s="8">
        <f>IFERROR(INDEX([1]SuSa_2024!BS:BS,MATCH($B200,[1]SuSa_2024!$B:$B,0)),"0")</f>
        <v>0</v>
      </c>
      <c r="AP200" s="8">
        <f>IFERROR(INDEX([1]SuSa_2024!BT:BT,MATCH($B200,[1]SuSa_2024!$B:$B,0)),"0")</f>
        <v>0</v>
      </c>
      <c r="AQ200" s="8">
        <f>IFERROR(INDEX([1]SuSa_2024!BU:BU,MATCH($B200,[1]SuSa_2024!$B:$B,0)),"0")</f>
        <v>0</v>
      </c>
      <c r="AR200" s="8">
        <f>IFERROR(INDEX([1]SuSa_2024!BV:BV,MATCH($B200,[1]SuSa_2024!$B:$B,0)),"0")</f>
        <v>0</v>
      </c>
      <c r="AS200" s="8">
        <f>IFERROR(INDEX([1]SuSa_2024!BW:BW,MATCH($B200,[1]SuSa_2024!$B:$B,0)),"0")</f>
        <v>0</v>
      </c>
      <c r="AT200" s="8">
        <f>IFERROR(INDEX([1]SuSa_2024!BX:BX,MATCH($B200,[1]SuSa_2024!$B:$B,0)),"0")</f>
        <v>0</v>
      </c>
      <c r="AU200" s="8">
        <f>IFERROR(INDEX([1]SuSa_2024!BY:BY,MATCH($B200,[1]SuSa_2024!$B:$B,0)),"0")</f>
        <v>28</v>
      </c>
      <c r="AV200" s="8">
        <f>IFERROR(INDEX([1]SuSa_2025!AR:AR,MATCH($B200,[1]SuSa_2025!$B:$B,0)),"0")</f>
        <v>5</v>
      </c>
      <c r="AW200" s="8">
        <f>IFERROR(INDEX([1]SuSa_2025!AS:AS,MATCH($B200,[1]SuSa_2025!$B:$B,0)),"0")</f>
        <v>414.5</v>
      </c>
      <c r="AX200" s="8">
        <f>IFERROR(INDEX([1]SuSa_2025!AT:AT,MATCH($B200,[1]SuSa_2025!$B:$B,0)),"0")</f>
        <v>414.5</v>
      </c>
      <c r="AY200" s="8">
        <f>IFERROR(INDEX([1]SuSa_2025!AU:AU,MATCH($B200,[1]SuSa_2025!$B:$B,0)),"0")</f>
        <v>414.5</v>
      </c>
      <c r="AZ200" s="8">
        <f>IFERROR(INDEX([1]SuSa_2025!AV:AV,MATCH($B200,[1]SuSa_2025!$B:$B,0)),"0")</f>
        <v>414.5</v>
      </c>
      <c r="BA200" s="8">
        <f>IFERROR(INDEX([1]SuSa_2025!AW:AW,MATCH($B200,[1]SuSa_2025!$B:$B,0)),"0")</f>
        <v>414.5</v>
      </c>
      <c r="BB200" s="8">
        <f>IFERROR(INDEX([1]SuSa_2025!AX:AX,MATCH($B200,[1]SuSa_2025!$B:$B,0)),"0")</f>
        <v>414.5</v>
      </c>
    </row>
    <row r="201" spans="1:54" outlineLevel="1" collapsed="1" x14ac:dyDescent="0.25">
      <c r="A201" s="5" t="s">
        <v>616</v>
      </c>
      <c r="B201" s="6" t="s">
        <v>617</v>
      </c>
      <c r="C201" t="s">
        <v>618</v>
      </c>
      <c r="F201" s="22">
        <f t="shared" si="19"/>
        <v>0</v>
      </c>
      <c r="G201" s="7">
        <f t="shared" si="20"/>
        <v>0</v>
      </c>
      <c r="H201" s="7">
        <f t="shared" si="21"/>
        <v>5</v>
      </c>
      <c r="I201" s="7">
        <f t="shared" si="17"/>
        <v>0</v>
      </c>
      <c r="J201" s="8">
        <f t="shared" si="16"/>
        <v>-25</v>
      </c>
      <c r="K201" s="8">
        <f t="shared" si="18"/>
        <v>30</v>
      </c>
      <c r="AJ201" s="8">
        <f>IFERROR(INDEX([1]SuSa_2024!BN:BN,MATCH($B201,[1]SuSa_2024!$B:$B,0)),"0")</f>
        <v>0</v>
      </c>
      <c r="AK201" s="8">
        <f>IFERROR(INDEX([1]SuSa_2024!BO:BO,MATCH($B201,[1]SuSa_2024!$B:$B,0)),"0")</f>
        <v>0</v>
      </c>
      <c r="AL201" s="8">
        <f>IFERROR(INDEX([1]SuSa_2024!BP:BP,MATCH($B201,[1]SuSa_2024!$B:$B,0)),"0")</f>
        <v>0</v>
      </c>
      <c r="AM201" s="8">
        <f>IFERROR(INDEX([1]SuSa_2024!BQ:BQ,MATCH($B201,[1]SuSa_2024!$B:$B,0)),"0")</f>
        <v>0</v>
      </c>
      <c r="AN201" s="8">
        <f>IFERROR(INDEX([1]SuSa_2024!BR:BR,MATCH($B201,[1]SuSa_2024!$B:$B,0)),"0")</f>
        <v>0</v>
      </c>
      <c r="AO201" s="8">
        <f>IFERROR(INDEX([1]SuSa_2024!BS:BS,MATCH($B201,[1]SuSa_2024!$B:$B,0)),"0")</f>
        <v>0</v>
      </c>
      <c r="AP201" s="8">
        <f>IFERROR(INDEX([1]SuSa_2024!BT:BT,MATCH($B201,[1]SuSa_2024!$B:$B,0)),"0")</f>
        <v>30</v>
      </c>
      <c r="AQ201" s="8">
        <f>IFERROR(INDEX([1]SuSa_2024!BU:BU,MATCH($B201,[1]SuSa_2024!$B:$B,0)),"0")</f>
        <v>30</v>
      </c>
      <c r="AR201" s="8">
        <f>IFERROR(INDEX([1]SuSa_2024!BV:BV,MATCH($B201,[1]SuSa_2024!$B:$B,0)),"0")</f>
        <v>30</v>
      </c>
      <c r="AS201" s="8">
        <f>IFERROR(INDEX([1]SuSa_2024!BW:BW,MATCH($B201,[1]SuSa_2024!$B:$B,0)),"0")</f>
        <v>30</v>
      </c>
      <c r="AT201" s="8">
        <f>IFERROR(INDEX([1]SuSa_2024!BX:BX,MATCH($B201,[1]SuSa_2024!$B:$B,0)),"0")</f>
        <v>30</v>
      </c>
      <c r="AU201" s="8">
        <f>IFERROR(INDEX([1]SuSa_2024!BY:BY,MATCH($B201,[1]SuSa_2024!$B:$B,0)),"0")</f>
        <v>5</v>
      </c>
      <c r="AV201" s="8">
        <f>IFERROR(INDEX([1]SuSa_2025!AR:AR,MATCH($B201,[1]SuSa_2025!$B:$B,0)),"0")</f>
        <v>0</v>
      </c>
      <c r="AW201" s="8">
        <f>IFERROR(INDEX([1]SuSa_2025!AS:AS,MATCH($B201,[1]SuSa_2025!$B:$B,0)),"0")</f>
        <v>0</v>
      </c>
      <c r="AX201" s="8">
        <f>IFERROR(INDEX([1]SuSa_2025!AT:AT,MATCH($B201,[1]SuSa_2025!$B:$B,0)),"0")</f>
        <v>0</v>
      </c>
      <c r="AY201" s="8">
        <f>IFERROR(INDEX([1]SuSa_2025!AU:AU,MATCH($B201,[1]SuSa_2025!$B:$B,0)),"0")</f>
        <v>0</v>
      </c>
      <c r="AZ201" s="8">
        <f>IFERROR(INDEX([1]SuSa_2025!AV:AV,MATCH($B201,[1]SuSa_2025!$B:$B,0)),"0")</f>
        <v>0</v>
      </c>
      <c r="BA201" s="8">
        <f>IFERROR(INDEX([1]SuSa_2025!AW:AW,MATCH($B201,[1]SuSa_2025!$B:$B,0)),"0")</f>
        <v>0</v>
      </c>
      <c r="BB201" s="8">
        <f>IFERROR(INDEX([1]SuSa_2025!AX:AX,MATCH($B201,[1]SuSa_2025!$B:$B,0)),"0")</f>
        <v>0</v>
      </c>
    </row>
    <row r="202" spans="1:54" outlineLevel="1" collapsed="1" x14ac:dyDescent="0.25">
      <c r="A202" s="5" t="s">
        <v>619</v>
      </c>
      <c r="B202" s="6" t="s">
        <v>620</v>
      </c>
      <c r="C202" t="s">
        <v>621</v>
      </c>
      <c r="F202" s="7">
        <f t="shared" si="19"/>
        <v>93572.82</v>
      </c>
      <c r="G202" s="7">
        <f t="shared" si="20"/>
        <v>1106391.98</v>
      </c>
      <c r="H202" s="7">
        <f t="shared" si="21"/>
        <v>5563.54</v>
      </c>
      <c r="I202" s="7">
        <f t="shared" si="17"/>
        <v>0</v>
      </c>
      <c r="J202" s="8">
        <f t="shared" si="16"/>
        <v>0</v>
      </c>
      <c r="K202" s="8">
        <f t="shared" si="18"/>
        <v>5563.54</v>
      </c>
      <c r="L202" s="8">
        <v>7500</v>
      </c>
      <c r="M202" s="8">
        <v>10327.18</v>
      </c>
      <c r="N202" s="8">
        <v>22327.18</v>
      </c>
      <c r="O202" s="8">
        <v>40636.17</v>
      </c>
      <c r="P202" s="8">
        <v>49668.4</v>
      </c>
      <c r="Q202" s="8">
        <v>60168.4</v>
      </c>
      <c r="R202" s="8">
        <v>69327.960000000006</v>
      </c>
      <c r="S202" s="8">
        <v>70964.84</v>
      </c>
      <c r="T202" s="8">
        <v>72659.42</v>
      </c>
      <c r="U202" s="8">
        <v>75432.67</v>
      </c>
      <c r="V202" s="8">
        <v>86682.67</v>
      </c>
      <c r="W202" s="8">
        <v>93572.82</v>
      </c>
      <c r="X202" s="8">
        <v>3270.72</v>
      </c>
      <c r="Y202" s="8">
        <v>6039.54</v>
      </c>
      <c r="Z202" s="8">
        <v>152492.46</v>
      </c>
      <c r="AA202" s="8">
        <v>329447.02</v>
      </c>
      <c r="AB202" s="8">
        <v>417380.24</v>
      </c>
      <c r="AC202" s="8">
        <v>503030.24</v>
      </c>
      <c r="AD202" s="8">
        <v>588030.24</v>
      </c>
      <c r="AE202" s="8">
        <v>673030.24</v>
      </c>
      <c r="AF202" s="8">
        <v>772746.74</v>
      </c>
      <c r="AG202" s="8">
        <v>894628.76</v>
      </c>
      <c r="AH202" s="8">
        <v>1014783.45</v>
      </c>
      <c r="AI202" s="8">
        <v>1106391.98</v>
      </c>
      <c r="AJ202" s="8">
        <f>IFERROR(INDEX([1]SuSa_2024!BN:BN,MATCH($B202,[1]SuSa_2024!$B:$B,0)),"0")</f>
        <v>1458</v>
      </c>
      <c r="AK202" s="8">
        <f>IFERROR(INDEX([1]SuSa_2024!BO:BO,MATCH($B202,[1]SuSa_2024!$B:$B,0)),"0")</f>
        <v>3632.59</v>
      </c>
      <c r="AL202" s="8">
        <f>IFERROR(INDEX([1]SuSa_2024!BP:BP,MATCH($B202,[1]SuSa_2024!$B:$B,0)),"0")</f>
        <v>4087.33</v>
      </c>
      <c r="AM202" s="8">
        <f>IFERROR(INDEX([1]SuSa_2024!BQ:BQ,MATCH($B202,[1]SuSa_2024!$B:$B,0)),"0")</f>
        <v>4087.33</v>
      </c>
      <c r="AN202" s="8">
        <f>IFERROR(INDEX([1]SuSa_2024!BR:BR,MATCH($B202,[1]SuSa_2024!$B:$B,0)),"0")</f>
        <v>5563.54</v>
      </c>
      <c r="AO202" s="8">
        <f>IFERROR(INDEX([1]SuSa_2024!BS:BS,MATCH($B202,[1]SuSa_2024!$B:$B,0)),"0")</f>
        <v>5563.54</v>
      </c>
      <c r="AP202" s="8">
        <f>IFERROR(INDEX([1]SuSa_2024!BT:BT,MATCH($B202,[1]SuSa_2024!$B:$B,0)),"0")</f>
        <v>5563.54</v>
      </c>
      <c r="AQ202" s="8">
        <f>IFERROR(INDEX([1]SuSa_2024!BU:BU,MATCH($B202,[1]SuSa_2024!$B:$B,0)),"0")</f>
        <v>5563.54</v>
      </c>
      <c r="AR202" s="8">
        <f>IFERROR(INDEX([1]SuSa_2024!BV:BV,MATCH($B202,[1]SuSa_2024!$B:$B,0)),"0")</f>
        <v>5563.54</v>
      </c>
      <c r="AS202" s="8">
        <f>IFERROR(INDEX([1]SuSa_2024!BW:BW,MATCH($B202,[1]SuSa_2024!$B:$B,0)),"0")</f>
        <v>5563.54</v>
      </c>
      <c r="AT202" s="8">
        <f>IFERROR(INDEX([1]SuSa_2024!BX:BX,MATCH($B202,[1]SuSa_2024!$B:$B,0)),"0")</f>
        <v>5563.54</v>
      </c>
      <c r="AU202" s="8">
        <f>IFERROR(INDEX([1]SuSa_2024!BY:BY,MATCH($B202,[1]SuSa_2024!$B:$B,0)),"0")</f>
        <v>5563.54</v>
      </c>
      <c r="AV202" s="8">
        <f>IFERROR(INDEX([1]SuSa_2025!AR:AR,MATCH($B202,[1]SuSa_2025!$B:$B,0)),"0")</f>
        <v>0</v>
      </c>
      <c r="AW202" s="8">
        <f>IFERROR(INDEX([1]SuSa_2025!AS:AS,MATCH($B202,[1]SuSa_2025!$B:$B,0)),"0")</f>
        <v>0</v>
      </c>
      <c r="AX202" s="8">
        <f>IFERROR(INDEX([1]SuSa_2025!AT:AT,MATCH($B202,[1]SuSa_2025!$B:$B,0)),"0")</f>
        <v>0</v>
      </c>
      <c r="AY202" s="8">
        <f>IFERROR(INDEX([1]SuSa_2025!AU:AU,MATCH($B202,[1]SuSa_2025!$B:$B,0)),"0")</f>
        <v>0</v>
      </c>
      <c r="AZ202" s="8">
        <f>IFERROR(INDEX([1]SuSa_2025!AV:AV,MATCH($B202,[1]SuSa_2025!$B:$B,0)),"0")</f>
        <v>0</v>
      </c>
      <c r="BA202" s="8">
        <f>IFERROR(INDEX([1]SuSa_2025!AW:AW,MATCH($B202,[1]SuSa_2025!$B:$B,0)),"0")</f>
        <v>0</v>
      </c>
      <c r="BB202" s="8">
        <f>IFERROR(INDEX([1]SuSa_2025!AX:AX,MATCH($B202,[1]SuSa_2025!$B:$B,0)),"0")</f>
        <v>0</v>
      </c>
    </row>
    <row r="203" spans="1:54" outlineLevel="1" collapsed="1" x14ac:dyDescent="0.25">
      <c r="A203" s="5" t="s">
        <v>619</v>
      </c>
      <c r="B203" s="6" t="s">
        <v>622</v>
      </c>
      <c r="C203" t="s">
        <v>623</v>
      </c>
      <c r="F203" s="7">
        <f t="shared" si="19"/>
        <v>365.68</v>
      </c>
      <c r="G203" s="7">
        <f t="shared" si="20"/>
        <v>0</v>
      </c>
      <c r="H203" s="7" t="str">
        <f t="shared" si="21"/>
        <v>0</v>
      </c>
      <c r="I203" s="7" t="str">
        <f t="shared" si="17"/>
        <v>0</v>
      </c>
      <c r="J203" s="8">
        <f t="shared" si="16"/>
        <v>0</v>
      </c>
      <c r="K203" s="8" t="str">
        <f t="shared" si="18"/>
        <v>0</v>
      </c>
      <c r="N203" s="8">
        <v>201.68</v>
      </c>
      <c r="O203" s="8">
        <v>201.68</v>
      </c>
      <c r="P203" s="8">
        <v>350.68</v>
      </c>
      <c r="Q203" s="8">
        <v>350.68</v>
      </c>
      <c r="R203" s="8">
        <v>350.68</v>
      </c>
      <c r="S203" s="8">
        <v>350.68</v>
      </c>
      <c r="T203" s="8">
        <v>365.68</v>
      </c>
      <c r="U203" s="8">
        <v>365.68</v>
      </c>
      <c r="V203" s="8">
        <v>365.68</v>
      </c>
      <c r="W203" s="8">
        <v>365.68</v>
      </c>
      <c r="AJ203" s="8" t="str">
        <f>IFERROR(INDEX([1]SuSa_2024!BN:BN,MATCH($B203,[1]SuSa_2024!$B:$B,0)),"0")</f>
        <v>0</v>
      </c>
      <c r="AK203" s="8" t="str">
        <f>IFERROR(INDEX([1]SuSa_2024!BO:BO,MATCH($B203,[1]SuSa_2024!$B:$B,0)),"0")</f>
        <v>0</v>
      </c>
      <c r="AL203" s="8" t="str">
        <f>IFERROR(INDEX([1]SuSa_2024!BP:BP,MATCH($B203,[1]SuSa_2024!$B:$B,0)),"0")</f>
        <v>0</v>
      </c>
      <c r="AM203" s="8" t="str">
        <f>IFERROR(INDEX([1]SuSa_2024!BQ:BQ,MATCH($B203,[1]SuSa_2024!$B:$B,0)),"0")</f>
        <v>0</v>
      </c>
      <c r="AN203" s="8" t="str">
        <f>IFERROR(INDEX([1]SuSa_2024!BR:BR,MATCH($B203,[1]SuSa_2024!$B:$B,0)),"0")</f>
        <v>0</v>
      </c>
      <c r="AO203" s="8" t="str">
        <f>IFERROR(INDEX([1]SuSa_2024!BS:BS,MATCH($B203,[1]SuSa_2024!$B:$B,0)),"0")</f>
        <v>0</v>
      </c>
      <c r="AP203" s="8" t="str">
        <f>IFERROR(INDEX([1]SuSa_2024!BT:BT,MATCH($B203,[1]SuSa_2024!$B:$B,0)),"0")</f>
        <v>0</v>
      </c>
      <c r="AQ203" s="8" t="str">
        <f>IFERROR(INDEX([1]SuSa_2024!BU:BU,MATCH($B203,[1]SuSa_2024!$B:$B,0)),"0")</f>
        <v>0</v>
      </c>
      <c r="AR203" s="8" t="str">
        <f>IFERROR(INDEX([1]SuSa_2024!BV:BV,MATCH($B203,[1]SuSa_2024!$B:$B,0)),"0")</f>
        <v>0</v>
      </c>
      <c r="AS203" s="8" t="str">
        <f>IFERROR(INDEX([1]SuSa_2024!BW:BW,MATCH($B203,[1]SuSa_2024!$B:$B,0)),"0")</f>
        <v>0</v>
      </c>
      <c r="AT203" s="8" t="str">
        <f>IFERROR(INDEX([1]SuSa_2024!BX:BX,MATCH($B203,[1]SuSa_2024!$B:$B,0)),"0")</f>
        <v>0</v>
      </c>
      <c r="AU203" s="8" t="str">
        <f>IFERROR(INDEX([1]SuSa_2024!BY:BY,MATCH($B203,[1]SuSa_2024!$B:$B,0)),"0")</f>
        <v>0</v>
      </c>
      <c r="AV203" s="8" t="str">
        <f>IFERROR(INDEX([1]SuSa_2025!AR:AR,MATCH($B203,[1]SuSa_2025!$B:$B,0)),"0")</f>
        <v>0</v>
      </c>
      <c r="AW203" s="8" t="str">
        <f>IFERROR(INDEX([1]SuSa_2025!AS:AS,MATCH($B203,[1]SuSa_2025!$B:$B,0)),"0")</f>
        <v>0</v>
      </c>
      <c r="AX203" s="8" t="str">
        <f>IFERROR(INDEX([1]SuSa_2025!AT:AT,MATCH($B203,[1]SuSa_2025!$B:$B,0)),"0")</f>
        <v>0</v>
      </c>
      <c r="AY203" s="8" t="str">
        <f>IFERROR(INDEX([1]SuSa_2025!AU:AU,MATCH($B203,[1]SuSa_2025!$B:$B,0)),"0")</f>
        <v>0</v>
      </c>
      <c r="AZ203" s="8" t="str">
        <f>IFERROR(INDEX([1]SuSa_2025!AV:AV,MATCH($B203,[1]SuSa_2025!$B:$B,0)),"0")</f>
        <v>0</v>
      </c>
      <c r="BA203" s="8" t="str">
        <f>IFERROR(INDEX([1]SuSa_2025!AW:AW,MATCH($B203,[1]SuSa_2025!$B:$B,0)),"0")</f>
        <v>0</v>
      </c>
      <c r="BB203" s="8" t="str">
        <f>IFERROR(INDEX([1]SuSa_2025!AX:AX,MATCH($B203,[1]SuSa_2025!$B:$B,0)),"0")</f>
        <v>0</v>
      </c>
    </row>
    <row r="204" spans="1:54" outlineLevel="1" collapsed="1" x14ac:dyDescent="0.25">
      <c r="A204" s="5" t="s">
        <v>624</v>
      </c>
      <c r="B204" s="6" t="s">
        <v>625</v>
      </c>
      <c r="C204" t="s">
        <v>626</v>
      </c>
      <c r="F204" s="7">
        <f t="shared" si="19"/>
        <v>491941.57</v>
      </c>
      <c r="G204" s="7">
        <f t="shared" si="20"/>
        <v>37149.629999999997</v>
      </c>
      <c r="H204" s="7">
        <f t="shared" si="21"/>
        <v>211352.05</v>
      </c>
      <c r="I204" s="7">
        <f t="shared" si="17"/>
        <v>27638.199999999997</v>
      </c>
      <c r="J204" s="8">
        <f t="shared" si="16"/>
        <v>152443.31</v>
      </c>
      <c r="K204" s="8">
        <f t="shared" si="18"/>
        <v>86546.94</v>
      </c>
      <c r="L204" s="8">
        <v>21277.52</v>
      </c>
      <c r="M204" s="8">
        <v>25842.32</v>
      </c>
      <c r="N204" s="8">
        <v>31154.63</v>
      </c>
      <c r="O204" s="8">
        <v>68382.679999999993</v>
      </c>
      <c r="P204" s="8">
        <v>93431.679999999993</v>
      </c>
      <c r="Q204" s="8">
        <v>224173.29</v>
      </c>
      <c r="R204" s="8">
        <v>310798.09000000003</v>
      </c>
      <c r="S204" s="8">
        <v>335947.62</v>
      </c>
      <c r="T204" s="8">
        <v>362984.51</v>
      </c>
      <c r="U204" s="8">
        <v>395378.79</v>
      </c>
      <c r="V204" s="8">
        <v>426628.79</v>
      </c>
      <c r="W204" s="8">
        <v>491941.57</v>
      </c>
      <c r="X204" s="8">
        <v>62762.82</v>
      </c>
      <c r="Y204" s="8">
        <v>111736.68</v>
      </c>
      <c r="Z204" s="8">
        <v>15097.21</v>
      </c>
      <c r="AA204" s="8">
        <v>16131.67</v>
      </c>
      <c r="AB204" s="8">
        <v>19925.23</v>
      </c>
      <c r="AC204" s="8">
        <v>26479.360000000001</v>
      </c>
      <c r="AD204" s="8">
        <v>29479.360000000001</v>
      </c>
      <c r="AE204" s="8">
        <v>30279.360000000001</v>
      </c>
      <c r="AF204" s="8">
        <v>31822.46</v>
      </c>
      <c r="AG204" s="8">
        <v>34675.599999999999</v>
      </c>
      <c r="AH204" s="8">
        <v>37684.120000000003</v>
      </c>
      <c r="AI204" s="8">
        <v>37149.629999999997</v>
      </c>
      <c r="AJ204" s="8">
        <f>IFERROR(INDEX([1]SuSa_2024!BN:BN,MATCH($B204,[1]SuSa_2024!$B:$B,0)),"0")</f>
        <v>11260.43</v>
      </c>
      <c r="AK204" s="8">
        <f>IFERROR(INDEX([1]SuSa_2024!BO:BO,MATCH($B204,[1]SuSa_2024!$B:$B,0)),"0")</f>
        <v>20300.53</v>
      </c>
      <c r="AL204" s="8">
        <f>IFERROR(INDEX([1]SuSa_2024!BP:BP,MATCH($B204,[1]SuSa_2024!$B:$B,0)),"0")</f>
        <v>36966.36</v>
      </c>
      <c r="AM204" s="8">
        <f>IFERROR(INDEX([1]SuSa_2024!BQ:BQ,MATCH($B204,[1]SuSa_2024!$B:$B,0)),"0")</f>
        <v>60588.92</v>
      </c>
      <c r="AN204" s="8">
        <f>IFERROR(INDEX([1]SuSa_2024!BR:BR,MATCH($B204,[1]SuSa_2024!$B:$B,0)),"0")</f>
        <v>77403.67</v>
      </c>
      <c r="AO204" s="8">
        <f>IFERROR(INDEX([1]SuSa_2024!BS:BS,MATCH($B204,[1]SuSa_2024!$B:$B,0)),"0")</f>
        <v>86546.94</v>
      </c>
      <c r="AP204" s="8">
        <f>IFERROR(INDEX([1]SuSa_2024!BT:BT,MATCH($B204,[1]SuSa_2024!$B:$B,0)),"0")</f>
        <v>86546.94</v>
      </c>
      <c r="AQ204" s="8">
        <f>IFERROR(INDEX([1]SuSa_2024!BU:BU,MATCH($B204,[1]SuSa_2024!$B:$B,0)),"0")</f>
        <v>86546.94</v>
      </c>
      <c r="AR204" s="8">
        <f>IFERROR(INDEX([1]SuSa_2024!BV:BV,MATCH($B204,[1]SuSa_2024!$B:$B,0)),"0")</f>
        <v>86546.94</v>
      </c>
      <c r="AS204" s="8">
        <f>IFERROR(INDEX([1]SuSa_2024!BW:BW,MATCH($B204,[1]SuSa_2024!$B:$B,0)),"0")</f>
        <v>86546.94</v>
      </c>
      <c r="AT204" s="8">
        <f>IFERROR(INDEX([1]SuSa_2024!BX:BX,MATCH($B204,[1]SuSa_2024!$B:$B,0)),"0")</f>
        <v>86546.94</v>
      </c>
      <c r="AU204" s="8">
        <f>IFERROR(INDEX([1]SuSa_2024!BY:BY,MATCH($B204,[1]SuSa_2024!$B:$B,0)),"0")</f>
        <v>211352.05</v>
      </c>
      <c r="AV204" s="8">
        <f>IFERROR(INDEX([1]SuSa_2025!AR:AR,MATCH($B204,[1]SuSa_2025!$B:$B,0)),"0")</f>
        <v>0</v>
      </c>
      <c r="AW204" s="8">
        <f>IFERROR(INDEX([1]SuSa_2025!AS:AS,MATCH($B204,[1]SuSa_2025!$B:$B,0)),"0")</f>
        <v>0</v>
      </c>
      <c r="AX204" s="8">
        <f>IFERROR(INDEX([1]SuSa_2025!AT:AT,MATCH($B204,[1]SuSa_2025!$B:$B,0)),"0")</f>
        <v>7286.61</v>
      </c>
      <c r="AY204" s="8">
        <f>IFERROR(INDEX([1]SuSa_2025!AU:AU,MATCH($B204,[1]SuSa_2025!$B:$B,0)),"0")</f>
        <v>9715.48</v>
      </c>
      <c r="AZ204" s="8">
        <f>IFERROR(INDEX([1]SuSa_2025!AV:AV,MATCH($B204,[1]SuSa_2025!$B:$B,0)),"0")</f>
        <v>15697.16</v>
      </c>
      <c r="BA204" s="8">
        <f>IFERROR(INDEX([1]SuSa_2025!AW:AW,MATCH($B204,[1]SuSa_2025!$B:$B,0)),"0")</f>
        <v>24865.21</v>
      </c>
      <c r="BB204" s="8">
        <f>IFERROR(INDEX([1]SuSa_2025!AX:AX,MATCH($B204,[1]SuSa_2025!$B:$B,0)),"0")</f>
        <v>27638.199999999997</v>
      </c>
    </row>
    <row r="205" spans="1:54" outlineLevel="1" collapsed="1" x14ac:dyDescent="0.25">
      <c r="A205" s="5" t="s">
        <v>627</v>
      </c>
      <c r="B205" s="6" t="s">
        <v>628</v>
      </c>
      <c r="C205" t="s">
        <v>629</v>
      </c>
      <c r="F205" s="7">
        <f t="shared" si="19"/>
        <v>215.58</v>
      </c>
      <c r="G205" s="7">
        <f t="shared" si="20"/>
        <v>1183.76</v>
      </c>
      <c r="H205" s="7">
        <f t="shared" si="21"/>
        <v>3062.8</v>
      </c>
      <c r="I205" s="7">
        <f t="shared" si="17"/>
        <v>1788.21</v>
      </c>
      <c r="J205" s="8">
        <f t="shared" si="16"/>
        <v>3978.8</v>
      </c>
      <c r="K205" s="8">
        <f t="shared" si="18"/>
        <v>872.21</v>
      </c>
      <c r="Q205" s="8">
        <v>58.82</v>
      </c>
      <c r="R205" s="8">
        <v>58.82</v>
      </c>
      <c r="S205" s="8">
        <v>58.82</v>
      </c>
      <c r="T205" s="8">
        <v>58.82</v>
      </c>
      <c r="U205" s="8">
        <v>58.82</v>
      </c>
      <c r="V205" s="8">
        <v>58.82</v>
      </c>
      <c r="W205" s="8">
        <v>215.58</v>
      </c>
      <c r="Z205" s="8">
        <v>796.76</v>
      </c>
      <c r="AA205" s="8">
        <v>1099.96</v>
      </c>
      <c r="AB205" s="8">
        <v>1122.8</v>
      </c>
      <c r="AC205" s="8">
        <v>1122.8</v>
      </c>
      <c r="AD205" s="8">
        <v>1122.8</v>
      </c>
      <c r="AE205" s="8">
        <v>1183.76</v>
      </c>
      <c r="AF205" s="8">
        <v>1183.76</v>
      </c>
      <c r="AG205" s="8">
        <v>1183.76</v>
      </c>
      <c r="AH205" s="8">
        <v>1183.76</v>
      </c>
      <c r="AI205" s="8">
        <v>1183.76</v>
      </c>
      <c r="AJ205" s="8">
        <f>IFERROR(INDEX([1]SuSa_2024!BN:BN,MATCH($B205,[1]SuSa_2024!$B:$B,0)),"0")</f>
        <v>0</v>
      </c>
      <c r="AK205" s="8">
        <f>IFERROR(INDEX([1]SuSa_2024!BO:BO,MATCH($B205,[1]SuSa_2024!$B:$B,0)),"0")</f>
        <v>0</v>
      </c>
      <c r="AL205" s="8">
        <f>IFERROR(INDEX([1]SuSa_2024!BP:BP,MATCH($B205,[1]SuSa_2024!$B:$B,0)),"0")</f>
        <v>0</v>
      </c>
      <c r="AM205" s="8">
        <f>IFERROR(INDEX([1]SuSa_2024!BQ:BQ,MATCH($B205,[1]SuSa_2024!$B:$B,0)),"0")</f>
        <v>0</v>
      </c>
      <c r="AN205" s="8">
        <f>IFERROR(INDEX([1]SuSa_2024!BR:BR,MATCH($B205,[1]SuSa_2024!$B:$B,0)),"0")</f>
        <v>0</v>
      </c>
      <c r="AO205" s="8">
        <f>IFERROR(INDEX([1]SuSa_2024!BS:BS,MATCH($B205,[1]SuSa_2024!$B:$B,0)),"0")</f>
        <v>99.09</v>
      </c>
      <c r="AP205" s="8">
        <f>IFERROR(INDEX([1]SuSa_2024!BT:BT,MATCH($B205,[1]SuSa_2024!$B:$B,0)),"0")</f>
        <v>872.21</v>
      </c>
      <c r="AQ205" s="8">
        <f>IFERROR(INDEX([1]SuSa_2024!BU:BU,MATCH($B205,[1]SuSa_2024!$B:$B,0)),"0")</f>
        <v>872.21</v>
      </c>
      <c r="AR205" s="8">
        <f>IFERROR(INDEX([1]SuSa_2024!BV:BV,MATCH($B205,[1]SuSa_2024!$B:$B,0)),"0")</f>
        <v>872.21</v>
      </c>
      <c r="AS205" s="8">
        <f>IFERROR(INDEX([1]SuSa_2024!BW:BW,MATCH($B205,[1]SuSa_2024!$B:$B,0)),"0")</f>
        <v>872.21</v>
      </c>
      <c r="AT205" s="8">
        <f>IFERROR(INDEX([1]SuSa_2024!BX:BX,MATCH($B205,[1]SuSa_2024!$B:$B,0)),"0")</f>
        <v>872.21</v>
      </c>
      <c r="AU205" s="8">
        <f>IFERROR(INDEX([1]SuSa_2024!BY:BY,MATCH($B205,[1]SuSa_2024!$B:$B,0)),"0")</f>
        <v>3062.8</v>
      </c>
      <c r="AV205" s="8">
        <f>IFERROR(INDEX([1]SuSa_2025!AR:AR,MATCH($B205,[1]SuSa_2025!$B:$B,0)),"0")</f>
        <v>82.44</v>
      </c>
      <c r="AW205" s="8">
        <f>IFERROR(INDEX([1]SuSa_2025!AS:AS,MATCH($B205,[1]SuSa_2025!$B:$B,0)),"0")</f>
        <v>675.02</v>
      </c>
      <c r="AX205" s="8">
        <f>IFERROR(INDEX([1]SuSa_2025!AT:AT,MATCH($B205,[1]SuSa_2025!$B:$B,0)),"0")</f>
        <v>675.02</v>
      </c>
      <c r="AY205" s="8">
        <f>IFERROR(INDEX([1]SuSa_2025!AU:AU,MATCH($B205,[1]SuSa_2025!$B:$B,0)),"0")</f>
        <v>675.02</v>
      </c>
      <c r="AZ205" s="8">
        <f>IFERROR(INDEX([1]SuSa_2025!AV:AV,MATCH($B205,[1]SuSa_2025!$B:$B,0)),"0")</f>
        <v>675.02</v>
      </c>
      <c r="BA205" s="8">
        <f>IFERROR(INDEX([1]SuSa_2025!AW:AW,MATCH($B205,[1]SuSa_2025!$B:$B,0)),"0")</f>
        <v>837.92</v>
      </c>
      <c r="BB205" s="8">
        <f>IFERROR(INDEX([1]SuSa_2025!AX:AX,MATCH($B205,[1]SuSa_2025!$B:$B,0)),"0")</f>
        <v>1788.21</v>
      </c>
    </row>
    <row r="206" spans="1:54" outlineLevel="1" collapsed="1" x14ac:dyDescent="0.25">
      <c r="A206" s="5" t="s">
        <v>630</v>
      </c>
      <c r="B206" s="6" t="s">
        <v>631</v>
      </c>
      <c r="C206" t="s">
        <v>632</v>
      </c>
      <c r="F206" s="7">
        <f t="shared" si="19"/>
        <v>0</v>
      </c>
      <c r="G206" s="7">
        <f t="shared" si="20"/>
        <v>0</v>
      </c>
      <c r="H206" s="7" t="str">
        <f t="shared" si="21"/>
        <v>0</v>
      </c>
      <c r="I206" s="7">
        <f t="shared" si="17"/>
        <v>2177.7200000000003</v>
      </c>
      <c r="J206" s="8">
        <f t="shared" si="16"/>
        <v>2177.7200000000003</v>
      </c>
      <c r="K206" s="8" t="str">
        <f t="shared" si="18"/>
        <v>0</v>
      </c>
      <c r="AJ206" s="8" t="str">
        <f>IFERROR(INDEX([1]SuSa_2024!BN:BN,MATCH($B206,[1]SuSa_2024!$B:$B,0)),"0")</f>
        <v>0</v>
      </c>
      <c r="AK206" s="8" t="str">
        <f>IFERROR(INDEX([1]SuSa_2024!BO:BO,MATCH($B206,[1]SuSa_2024!$B:$B,0)),"0")</f>
        <v>0</v>
      </c>
      <c r="AL206" s="8" t="str">
        <f>IFERROR(INDEX([1]SuSa_2024!BP:BP,MATCH($B206,[1]SuSa_2024!$B:$B,0)),"0")</f>
        <v>0</v>
      </c>
      <c r="AM206" s="8" t="str">
        <f>IFERROR(INDEX([1]SuSa_2024!BQ:BQ,MATCH($B206,[1]SuSa_2024!$B:$B,0)),"0")</f>
        <v>0</v>
      </c>
      <c r="AN206" s="8" t="str">
        <f>IFERROR(INDEX([1]SuSa_2024!BR:BR,MATCH($B206,[1]SuSa_2024!$B:$B,0)),"0")</f>
        <v>0</v>
      </c>
      <c r="AO206" s="8" t="str">
        <f>IFERROR(INDEX([1]SuSa_2024!BS:BS,MATCH($B206,[1]SuSa_2024!$B:$B,0)),"0")</f>
        <v>0</v>
      </c>
      <c r="AP206" s="8" t="str">
        <f>IFERROR(INDEX([1]SuSa_2024!BT:BT,MATCH($B206,[1]SuSa_2024!$B:$B,0)),"0")</f>
        <v>0</v>
      </c>
      <c r="AQ206" s="8" t="str">
        <f>IFERROR(INDEX([1]SuSa_2024!BU:BU,MATCH($B206,[1]SuSa_2024!$B:$B,0)),"0")</f>
        <v>0</v>
      </c>
      <c r="AR206" s="8" t="str">
        <f>IFERROR(INDEX([1]SuSa_2024!BV:BV,MATCH($B206,[1]SuSa_2024!$B:$B,0)),"0")</f>
        <v>0</v>
      </c>
      <c r="AS206" s="8" t="str">
        <f>IFERROR(INDEX([1]SuSa_2024!BW:BW,MATCH($B206,[1]SuSa_2024!$B:$B,0)),"0")</f>
        <v>0</v>
      </c>
      <c r="AT206" s="8" t="str">
        <f>IFERROR(INDEX([1]SuSa_2024!BX:BX,MATCH($B206,[1]SuSa_2024!$B:$B,0)),"0")</f>
        <v>0</v>
      </c>
      <c r="AU206" s="8" t="str">
        <f>IFERROR(INDEX([1]SuSa_2024!BY:BY,MATCH($B206,[1]SuSa_2024!$B:$B,0)),"0")</f>
        <v>0</v>
      </c>
      <c r="AV206" s="8">
        <f>IFERROR(INDEX([1]SuSa_2025!AR:AR,MATCH($B206,[1]SuSa_2025!$B:$B,0)),"0")</f>
        <v>776.57</v>
      </c>
      <c r="AW206" s="8">
        <f>IFERROR(INDEX([1]SuSa_2025!AS:AS,MATCH($B206,[1]SuSa_2025!$B:$B,0)),"0")</f>
        <v>1474.42</v>
      </c>
      <c r="AX206" s="8">
        <f>IFERROR(INDEX([1]SuSa_2025!AT:AT,MATCH($B206,[1]SuSa_2025!$B:$B,0)),"0")</f>
        <v>1830.0800000000002</v>
      </c>
      <c r="AY206" s="8">
        <f>IFERROR(INDEX([1]SuSa_2025!AU:AU,MATCH($B206,[1]SuSa_2025!$B:$B,0)),"0")</f>
        <v>2177.7200000000003</v>
      </c>
      <c r="AZ206" s="8">
        <f>IFERROR(INDEX([1]SuSa_2025!AV:AV,MATCH($B206,[1]SuSa_2025!$B:$B,0)),"0")</f>
        <v>2177.7200000000003</v>
      </c>
      <c r="BA206" s="8">
        <f>IFERROR(INDEX([1]SuSa_2025!AW:AW,MATCH($B206,[1]SuSa_2025!$B:$B,0)),"0")</f>
        <v>2177.7200000000003</v>
      </c>
      <c r="BB206" s="8">
        <f>IFERROR(INDEX([1]SuSa_2025!AX:AX,MATCH($B206,[1]SuSa_2025!$B:$B,0)),"0")</f>
        <v>2177.7200000000003</v>
      </c>
    </row>
    <row r="207" spans="1:54" outlineLevel="1" collapsed="1" x14ac:dyDescent="0.25">
      <c r="A207" s="5" t="s">
        <v>633</v>
      </c>
      <c r="B207" s="6" t="s">
        <v>634</v>
      </c>
      <c r="C207" t="s">
        <v>635</v>
      </c>
      <c r="F207" s="7">
        <f t="shared" si="19"/>
        <v>2904.38</v>
      </c>
      <c r="G207" s="7">
        <f t="shared" si="20"/>
        <v>2849.03</v>
      </c>
      <c r="H207" s="7">
        <f t="shared" si="21"/>
        <v>289.89999999999998</v>
      </c>
      <c r="I207" s="7">
        <f t="shared" si="17"/>
        <v>0</v>
      </c>
      <c r="J207" s="8">
        <f t="shared" si="16"/>
        <v>289.89999999999998</v>
      </c>
      <c r="K207" s="8">
        <f t="shared" si="18"/>
        <v>0</v>
      </c>
      <c r="N207" s="8">
        <v>-72.8</v>
      </c>
      <c r="O207" s="8">
        <v>-72.8</v>
      </c>
      <c r="P207" s="8">
        <v>72.45</v>
      </c>
      <c r="Q207" s="8">
        <v>756.9</v>
      </c>
      <c r="R207" s="8">
        <v>756.9</v>
      </c>
      <c r="S207" s="8">
        <v>1005.08</v>
      </c>
      <c r="T207" s="8">
        <v>1016</v>
      </c>
      <c r="U207" s="8">
        <v>1053.82</v>
      </c>
      <c r="V207" s="8">
        <v>1053.82</v>
      </c>
      <c r="W207" s="8">
        <v>2904.38</v>
      </c>
      <c r="X207" s="8">
        <v>950</v>
      </c>
      <c r="Y207" s="8">
        <v>950</v>
      </c>
      <c r="Z207" s="8">
        <v>1067.6400000000001</v>
      </c>
      <c r="AA207" s="8">
        <v>1090</v>
      </c>
      <c r="AB207" s="8">
        <v>2050.23</v>
      </c>
      <c r="AC207" s="8">
        <v>2050.23</v>
      </c>
      <c r="AD207" s="8">
        <v>2050.23</v>
      </c>
      <c r="AE207" s="8">
        <v>2650.88</v>
      </c>
      <c r="AF207" s="8">
        <v>2789.78</v>
      </c>
      <c r="AG207" s="8">
        <v>2789.78</v>
      </c>
      <c r="AH207" s="8">
        <v>2849.03</v>
      </c>
      <c r="AI207" s="8">
        <v>2849.03</v>
      </c>
      <c r="AJ207" s="8">
        <f>IFERROR(INDEX([1]SuSa_2024!BN:BN,MATCH($B207,[1]SuSa_2024!$B:$B,0)),"0")</f>
        <v>0</v>
      </c>
      <c r="AK207" s="8">
        <f>IFERROR(INDEX([1]SuSa_2024!BO:BO,MATCH($B207,[1]SuSa_2024!$B:$B,0)),"0")</f>
        <v>0</v>
      </c>
      <c r="AL207" s="8">
        <f>IFERROR(INDEX([1]SuSa_2024!BP:BP,MATCH($B207,[1]SuSa_2024!$B:$B,0)),"0")</f>
        <v>0</v>
      </c>
      <c r="AM207" s="8">
        <f>IFERROR(INDEX([1]SuSa_2024!BQ:BQ,MATCH($B207,[1]SuSa_2024!$B:$B,0)),"0")</f>
        <v>0</v>
      </c>
      <c r="AN207" s="8">
        <f>IFERROR(INDEX([1]SuSa_2024!BR:BR,MATCH($B207,[1]SuSa_2024!$B:$B,0)),"0")</f>
        <v>0</v>
      </c>
      <c r="AO207" s="8">
        <f>IFERROR(INDEX([1]SuSa_2024!BS:BS,MATCH($B207,[1]SuSa_2024!$B:$B,0)),"0")</f>
        <v>0</v>
      </c>
      <c r="AP207" s="8">
        <f>IFERROR(INDEX([1]SuSa_2024!BT:BT,MATCH($B207,[1]SuSa_2024!$B:$B,0)),"0")</f>
        <v>0</v>
      </c>
      <c r="AQ207" s="8">
        <f>IFERROR(INDEX([1]SuSa_2024!BU:BU,MATCH($B207,[1]SuSa_2024!$B:$B,0)),"0")</f>
        <v>0</v>
      </c>
      <c r="AR207" s="8">
        <f>IFERROR(INDEX([1]SuSa_2024!BV:BV,MATCH($B207,[1]SuSa_2024!$B:$B,0)),"0")</f>
        <v>0</v>
      </c>
      <c r="AS207" s="8">
        <f>IFERROR(INDEX([1]SuSa_2024!BW:BW,MATCH($B207,[1]SuSa_2024!$B:$B,0)),"0")</f>
        <v>289.89999999999998</v>
      </c>
      <c r="AT207" s="8">
        <f>IFERROR(INDEX([1]SuSa_2024!BX:BX,MATCH($B207,[1]SuSa_2024!$B:$B,0)),"0")</f>
        <v>289.89999999999998</v>
      </c>
      <c r="AU207" s="8">
        <f>IFERROR(INDEX([1]SuSa_2024!BY:BY,MATCH($B207,[1]SuSa_2024!$B:$B,0)),"0")</f>
        <v>289.89999999999998</v>
      </c>
      <c r="AV207" s="8">
        <f>IFERROR(INDEX([1]SuSa_2025!AR:AR,MATCH($B207,[1]SuSa_2025!$B:$B,0)),"0")</f>
        <v>0</v>
      </c>
      <c r="AW207" s="8">
        <f>IFERROR(INDEX([1]SuSa_2025!AS:AS,MATCH($B207,[1]SuSa_2025!$B:$B,0)),"0")</f>
        <v>0</v>
      </c>
      <c r="AX207" s="8">
        <f>IFERROR(INDEX([1]SuSa_2025!AT:AT,MATCH($B207,[1]SuSa_2025!$B:$B,0)),"0")</f>
        <v>0</v>
      </c>
      <c r="AY207" s="8">
        <f>IFERROR(INDEX([1]SuSa_2025!AU:AU,MATCH($B207,[1]SuSa_2025!$B:$B,0)),"0")</f>
        <v>0</v>
      </c>
      <c r="AZ207" s="8">
        <f>IFERROR(INDEX([1]SuSa_2025!AV:AV,MATCH($B207,[1]SuSa_2025!$B:$B,0)),"0")</f>
        <v>0</v>
      </c>
      <c r="BA207" s="8">
        <f>IFERROR(INDEX([1]SuSa_2025!AW:AW,MATCH($B207,[1]SuSa_2025!$B:$B,0)),"0")</f>
        <v>0</v>
      </c>
      <c r="BB207" s="8">
        <f>IFERROR(INDEX([1]SuSa_2025!AX:AX,MATCH($B207,[1]SuSa_2025!$B:$B,0)),"0")</f>
        <v>0</v>
      </c>
    </row>
    <row r="208" spans="1:54" outlineLevel="1" collapsed="1" x14ac:dyDescent="0.25">
      <c r="A208" s="5" t="s">
        <v>636</v>
      </c>
      <c r="B208" s="6" t="s">
        <v>637</v>
      </c>
      <c r="C208" t="s">
        <v>638</v>
      </c>
      <c r="F208" s="22">
        <f t="shared" si="19"/>
        <v>0</v>
      </c>
      <c r="G208" s="7">
        <f t="shared" si="20"/>
        <v>33.46</v>
      </c>
      <c r="H208" s="7">
        <f t="shared" si="21"/>
        <v>120</v>
      </c>
      <c r="I208" s="7">
        <f t="shared" si="17"/>
        <v>0</v>
      </c>
      <c r="J208" s="8">
        <f t="shared" si="16"/>
        <v>0</v>
      </c>
      <c r="K208" s="8">
        <f t="shared" si="18"/>
        <v>120</v>
      </c>
      <c r="AI208" s="8">
        <v>33.46</v>
      </c>
      <c r="AJ208" s="8">
        <f>IFERROR(INDEX([1]SuSa_2024!BN:BN,MATCH($B208,[1]SuSa_2024!$B:$B,0)),"0")</f>
        <v>0</v>
      </c>
      <c r="AK208" s="8">
        <f>IFERROR(INDEX([1]SuSa_2024!BO:BO,MATCH($B208,[1]SuSa_2024!$B:$B,0)),"0")</f>
        <v>0</v>
      </c>
      <c r="AL208" s="8">
        <f>IFERROR(INDEX([1]SuSa_2024!BP:BP,MATCH($B208,[1]SuSa_2024!$B:$B,0)),"0")</f>
        <v>0</v>
      </c>
      <c r="AM208" s="8">
        <f>IFERROR(INDEX([1]SuSa_2024!BQ:BQ,MATCH($B208,[1]SuSa_2024!$B:$B,0)),"0")</f>
        <v>40</v>
      </c>
      <c r="AN208" s="8">
        <f>IFERROR(INDEX([1]SuSa_2024!BR:BR,MATCH($B208,[1]SuSa_2024!$B:$B,0)),"0")</f>
        <v>80</v>
      </c>
      <c r="AO208" s="8">
        <f>IFERROR(INDEX([1]SuSa_2024!BS:BS,MATCH($B208,[1]SuSa_2024!$B:$B,0)),"0")</f>
        <v>120</v>
      </c>
      <c r="AP208" s="8">
        <f>IFERROR(INDEX([1]SuSa_2024!BT:BT,MATCH($B208,[1]SuSa_2024!$B:$B,0)),"0")</f>
        <v>120</v>
      </c>
      <c r="AQ208" s="8">
        <f>IFERROR(INDEX([1]SuSa_2024!BU:BU,MATCH($B208,[1]SuSa_2024!$B:$B,0)),"0")</f>
        <v>120</v>
      </c>
      <c r="AR208" s="8">
        <f>IFERROR(INDEX([1]SuSa_2024!BV:BV,MATCH($B208,[1]SuSa_2024!$B:$B,0)),"0")</f>
        <v>120</v>
      </c>
      <c r="AS208" s="8">
        <f>IFERROR(INDEX([1]SuSa_2024!BW:BW,MATCH($B208,[1]SuSa_2024!$B:$B,0)),"0")</f>
        <v>120</v>
      </c>
      <c r="AT208" s="8">
        <f>IFERROR(INDEX([1]SuSa_2024!BX:BX,MATCH($B208,[1]SuSa_2024!$B:$B,0)),"0")</f>
        <v>120</v>
      </c>
      <c r="AU208" s="8">
        <f>IFERROR(INDEX([1]SuSa_2024!BY:BY,MATCH($B208,[1]SuSa_2024!$B:$B,0)),"0")</f>
        <v>120</v>
      </c>
      <c r="AV208" s="8">
        <f>IFERROR(INDEX([1]SuSa_2025!AR:AR,MATCH($B208,[1]SuSa_2025!$B:$B,0)),"0")</f>
        <v>0</v>
      </c>
      <c r="AW208" s="8">
        <f>IFERROR(INDEX([1]SuSa_2025!AS:AS,MATCH($B208,[1]SuSa_2025!$B:$B,0)),"0")</f>
        <v>0</v>
      </c>
      <c r="AX208" s="8">
        <f>IFERROR(INDEX([1]SuSa_2025!AT:AT,MATCH($B208,[1]SuSa_2025!$B:$B,0)),"0")</f>
        <v>0</v>
      </c>
      <c r="AY208" s="8">
        <f>IFERROR(INDEX([1]SuSa_2025!AU:AU,MATCH($B208,[1]SuSa_2025!$B:$B,0)),"0")</f>
        <v>0</v>
      </c>
      <c r="AZ208" s="8">
        <f>IFERROR(INDEX([1]SuSa_2025!AV:AV,MATCH($B208,[1]SuSa_2025!$B:$B,0)),"0")</f>
        <v>0</v>
      </c>
      <c r="BA208" s="8">
        <f>IFERROR(INDEX([1]SuSa_2025!AW:AW,MATCH($B208,[1]SuSa_2025!$B:$B,0)),"0")</f>
        <v>0</v>
      </c>
      <c r="BB208" s="8">
        <f>IFERROR(INDEX([1]SuSa_2025!AX:AX,MATCH($B208,[1]SuSa_2025!$B:$B,0)),"0")</f>
        <v>0</v>
      </c>
    </row>
    <row r="209" spans="1:54" outlineLevel="1" collapsed="1" x14ac:dyDescent="0.25">
      <c r="A209" s="5" t="s">
        <v>639</v>
      </c>
      <c r="B209" s="6" t="s">
        <v>640</v>
      </c>
      <c r="C209" t="s">
        <v>641</v>
      </c>
      <c r="F209" s="22">
        <f t="shared" si="19"/>
        <v>0</v>
      </c>
      <c r="G209" s="7">
        <f t="shared" si="20"/>
        <v>126.05</v>
      </c>
      <c r="H209" s="7">
        <f t="shared" si="21"/>
        <v>0</v>
      </c>
      <c r="I209" s="7" t="str">
        <f t="shared" si="17"/>
        <v>0</v>
      </c>
      <c r="J209" s="8">
        <f t="shared" si="16"/>
        <v>0</v>
      </c>
      <c r="K209" s="8">
        <f t="shared" si="18"/>
        <v>0</v>
      </c>
      <c r="AI209" s="8">
        <v>126.05</v>
      </c>
      <c r="AJ209" s="8">
        <f>IFERROR(INDEX([1]SuSa_2024!BN:BN,MATCH($B209,[1]SuSa_2024!$B:$B,0)),"0")</f>
        <v>0</v>
      </c>
      <c r="AK209" s="8">
        <f>IFERROR(INDEX([1]SuSa_2024!BO:BO,MATCH($B209,[1]SuSa_2024!$B:$B,0)),"0")</f>
        <v>0</v>
      </c>
      <c r="AL209" s="8">
        <f>IFERROR(INDEX([1]SuSa_2024!BP:BP,MATCH($B209,[1]SuSa_2024!$B:$B,0)),"0")</f>
        <v>0</v>
      </c>
      <c r="AM209" s="8">
        <f>IFERROR(INDEX([1]SuSa_2024!BQ:BQ,MATCH($B209,[1]SuSa_2024!$B:$B,0)),"0")</f>
        <v>0</v>
      </c>
      <c r="AN209" s="8">
        <f>IFERROR(INDEX([1]SuSa_2024!BR:BR,MATCH($B209,[1]SuSa_2024!$B:$B,0)),"0")</f>
        <v>0</v>
      </c>
      <c r="AO209" s="8">
        <f>IFERROR(INDEX([1]SuSa_2024!BS:BS,MATCH($B209,[1]SuSa_2024!$B:$B,0)),"0")</f>
        <v>0</v>
      </c>
      <c r="AP209" s="8">
        <f>IFERROR(INDEX([1]SuSa_2024!BT:BT,MATCH($B209,[1]SuSa_2024!$B:$B,0)),"0")</f>
        <v>0</v>
      </c>
      <c r="AQ209" s="8">
        <f>IFERROR(INDEX([1]SuSa_2024!BU:BU,MATCH($B209,[1]SuSa_2024!$B:$B,0)),"0")</f>
        <v>0</v>
      </c>
      <c r="AR209" s="8">
        <f>IFERROR(INDEX([1]SuSa_2024!BV:BV,MATCH($B209,[1]SuSa_2024!$B:$B,0)),"0")</f>
        <v>0</v>
      </c>
      <c r="AS209" s="8">
        <f>IFERROR(INDEX([1]SuSa_2024!BW:BW,MATCH($B209,[1]SuSa_2024!$B:$B,0)),"0")</f>
        <v>0</v>
      </c>
      <c r="AT209" s="8">
        <f>IFERROR(INDEX([1]SuSa_2024!BX:BX,MATCH($B209,[1]SuSa_2024!$B:$B,0)),"0")</f>
        <v>0</v>
      </c>
      <c r="AU209" s="8">
        <f>IFERROR(INDEX([1]SuSa_2024!BY:BY,MATCH($B209,[1]SuSa_2024!$B:$B,0)),"0")</f>
        <v>0</v>
      </c>
      <c r="AV209" s="8" t="str">
        <f>IFERROR(INDEX([1]SuSa_2025!AR:AR,MATCH($B209,[1]SuSa_2025!$B:$B,0)),"0")</f>
        <v>0</v>
      </c>
      <c r="AW209" s="8" t="str">
        <f>IFERROR(INDEX([1]SuSa_2025!AS:AS,MATCH($B209,[1]SuSa_2025!$B:$B,0)),"0")</f>
        <v>0</v>
      </c>
      <c r="AX209" s="8" t="str">
        <f>IFERROR(INDEX([1]SuSa_2025!AT:AT,MATCH($B209,[1]SuSa_2025!$B:$B,0)),"0")</f>
        <v>0</v>
      </c>
      <c r="AY209" s="8" t="str">
        <f>IFERROR(INDEX([1]SuSa_2025!AU:AU,MATCH($B209,[1]SuSa_2025!$B:$B,0)),"0")</f>
        <v>0</v>
      </c>
      <c r="AZ209" s="8" t="str">
        <f>IFERROR(INDEX([1]SuSa_2025!AV:AV,MATCH($B209,[1]SuSa_2025!$B:$B,0)),"0")</f>
        <v>0</v>
      </c>
      <c r="BA209" s="8" t="str">
        <f>IFERROR(INDEX([1]SuSa_2025!AW:AW,MATCH($B209,[1]SuSa_2025!$B:$B,0)),"0")</f>
        <v>0</v>
      </c>
      <c r="BB209" s="8" t="str">
        <f>IFERROR(INDEX([1]SuSa_2025!AX:AX,MATCH($B209,[1]SuSa_2025!$B:$B,0)),"0")</f>
        <v>0</v>
      </c>
    </row>
    <row r="210" spans="1:54" outlineLevel="1" collapsed="1" x14ac:dyDescent="0.25">
      <c r="A210" s="5" t="s">
        <v>642</v>
      </c>
      <c r="B210" s="6" t="s">
        <v>643</v>
      </c>
      <c r="C210" t="s">
        <v>644</v>
      </c>
      <c r="F210" s="22">
        <f t="shared" si="19"/>
        <v>42.88</v>
      </c>
      <c r="G210" s="7">
        <f t="shared" si="20"/>
        <v>40</v>
      </c>
      <c r="H210" s="7">
        <f t="shared" si="21"/>
        <v>313.02999999999997</v>
      </c>
      <c r="I210" s="7">
        <f t="shared" si="17"/>
        <v>0</v>
      </c>
      <c r="J210" s="8">
        <f t="shared" si="16"/>
        <v>0</v>
      </c>
      <c r="K210" s="8">
        <f t="shared" si="18"/>
        <v>313.02999999999997</v>
      </c>
      <c r="R210" s="8">
        <v>42.88</v>
      </c>
      <c r="S210" s="8">
        <v>42.88</v>
      </c>
      <c r="T210" s="8">
        <v>42.88</v>
      </c>
      <c r="U210" s="8">
        <v>42.88</v>
      </c>
      <c r="V210" s="8">
        <v>42.88</v>
      </c>
      <c r="W210" s="8">
        <v>42.88</v>
      </c>
      <c r="AI210" s="8">
        <v>40</v>
      </c>
      <c r="AJ210" s="8">
        <f>IFERROR(INDEX([1]SuSa_2024!BN:BN,MATCH($B210,[1]SuSa_2024!$B:$B,0)),"0")</f>
        <v>0</v>
      </c>
      <c r="AK210" s="8">
        <f>IFERROR(INDEX([1]SuSa_2024!BO:BO,MATCH($B210,[1]SuSa_2024!$B:$B,0)),"0")</f>
        <v>0</v>
      </c>
      <c r="AL210" s="8">
        <f>IFERROR(INDEX([1]SuSa_2024!BP:BP,MATCH($B210,[1]SuSa_2024!$B:$B,0)),"0")</f>
        <v>0</v>
      </c>
      <c r="AM210" s="8">
        <f>IFERROR(INDEX([1]SuSa_2024!BQ:BQ,MATCH($B210,[1]SuSa_2024!$B:$B,0)),"0")</f>
        <v>232.53</v>
      </c>
      <c r="AN210" s="8">
        <f>IFERROR(INDEX([1]SuSa_2024!BR:BR,MATCH($B210,[1]SuSa_2024!$B:$B,0)),"0")</f>
        <v>232.53</v>
      </c>
      <c r="AO210" s="8">
        <f>IFERROR(INDEX([1]SuSa_2024!BS:BS,MATCH($B210,[1]SuSa_2024!$B:$B,0)),"0")</f>
        <v>313.02999999999997</v>
      </c>
      <c r="AP210" s="8">
        <f>IFERROR(INDEX([1]SuSa_2024!BT:BT,MATCH($B210,[1]SuSa_2024!$B:$B,0)),"0")</f>
        <v>313.02999999999997</v>
      </c>
      <c r="AQ210" s="8">
        <f>IFERROR(INDEX([1]SuSa_2024!BU:BU,MATCH($B210,[1]SuSa_2024!$B:$B,0)),"0")</f>
        <v>313.02999999999997</v>
      </c>
      <c r="AR210" s="8">
        <f>IFERROR(INDEX([1]SuSa_2024!BV:BV,MATCH($B210,[1]SuSa_2024!$B:$B,0)),"0")</f>
        <v>313.02999999999997</v>
      </c>
      <c r="AS210" s="8">
        <f>IFERROR(INDEX([1]SuSa_2024!BW:BW,MATCH($B210,[1]SuSa_2024!$B:$B,0)),"0")</f>
        <v>313.02999999999997</v>
      </c>
      <c r="AT210" s="8">
        <f>IFERROR(INDEX([1]SuSa_2024!BX:BX,MATCH($B210,[1]SuSa_2024!$B:$B,0)),"0")</f>
        <v>313.02999999999997</v>
      </c>
      <c r="AU210" s="8">
        <f>IFERROR(INDEX([1]SuSa_2024!BY:BY,MATCH($B210,[1]SuSa_2024!$B:$B,0)),"0")</f>
        <v>313.02999999999997</v>
      </c>
      <c r="AV210" s="8">
        <f>IFERROR(INDEX([1]SuSa_2025!AR:AR,MATCH($B210,[1]SuSa_2025!$B:$B,0)),"0")</f>
        <v>0</v>
      </c>
      <c r="AW210" s="8">
        <f>IFERROR(INDEX([1]SuSa_2025!AS:AS,MATCH($B210,[1]SuSa_2025!$B:$B,0)),"0")</f>
        <v>0</v>
      </c>
      <c r="AX210" s="8">
        <f>IFERROR(INDEX([1]SuSa_2025!AT:AT,MATCH($B210,[1]SuSa_2025!$B:$B,0)),"0")</f>
        <v>0</v>
      </c>
      <c r="AY210" s="8">
        <f>IFERROR(INDEX([1]SuSa_2025!AU:AU,MATCH($B210,[1]SuSa_2025!$B:$B,0)),"0")</f>
        <v>0</v>
      </c>
      <c r="AZ210" s="8">
        <f>IFERROR(INDEX([1]SuSa_2025!AV:AV,MATCH($B210,[1]SuSa_2025!$B:$B,0)),"0")</f>
        <v>0</v>
      </c>
      <c r="BA210" s="8">
        <f>IFERROR(INDEX([1]SuSa_2025!AW:AW,MATCH($B210,[1]SuSa_2025!$B:$B,0)),"0")</f>
        <v>0</v>
      </c>
      <c r="BB210" s="8">
        <f>IFERROR(INDEX([1]SuSa_2025!AX:AX,MATCH($B210,[1]SuSa_2025!$B:$B,0)),"0")</f>
        <v>0</v>
      </c>
    </row>
    <row r="211" spans="1:54" outlineLevel="1" collapsed="1" x14ac:dyDescent="0.25">
      <c r="A211" s="5" t="s">
        <v>645</v>
      </c>
      <c r="B211" s="6" t="s">
        <v>646</v>
      </c>
      <c r="C211" t="s">
        <v>647</v>
      </c>
      <c r="F211" s="22">
        <f t="shared" si="19"/>
        <v>0</v>
      </c>
      <c r="G211" s="7">
        <f t="shared" si="20"/>
        <v>50</v>
      </c>
      <c r="H211" s="7">
        <f t="shared" si="21"/>
        <v>0</v>
      </c>
      <c r="I211" s="7" t="str">
        <f t="shared" si="17"/>
        <v>0</v>
      </c>
      <c r="J211" s="8">
        <f t="shared" si="16"/>
        <v>0</v>
      </c>
      <c r="K211" s="8">
        <f t="shared" si="18"/>
        <v>0</v>
      </c>
      <c r="AI211" s="8">
        <v>50</v>
      </c>
      <c r="AJ211" s="8">
        <f>IFERROR(INDEX([1]SuSa_2024!BN:BN,MATCH($B211,[1]SuSa_2024!$B:$B,0)),"0")</f>
        <v>0</v>
      </c>
      <c r="AK211" s="8">
        <f>IFERROR(INDEX([1]SuSa_2024!BO:BO,MATCH($B211,[1]SuSa_2024!$B:$B,0)),"0")</f>
        <v>0</v>
      </c>
      <c r="AL211" s="8">
        <f>IFERROR(INDEX([1]SuSa_2024!BP:BP,MATCH($B211,[1]SuSa_2024!$B:$B,0)),"0")</f>
        <v>0</v>
      </c>
      <c r="AM211" s="8">
        <f>IFERROR(INDEX([1]SuSa_2024!BQ:BQ,MATCH($B211,[1]SuSa_2024!$B:$B,0)),"0")</f>
        <v>0</v>
      </c>
      <c r="AN211" s="8">
        <f>IFERROR(INDEX([1]SuSa_2024!BR:BR,MATCH($B211,[1]SuSa_2024!$B:$B,0)),"0")</f>
        <v>0</v>
      </c>
      <c r="AO211" s="8">
        <f>IFERROR(INDEX([1]SuSa_2024!BS:BS,MATCH($B211,[1]SuSa_2024!$B:$B,0)),"0")</f>
        <v>0</v>
      </c>
      <c r="AP211" s="8">
        <f>IFERROR(INDEX([1]SuSa_2024!BT:BT,MATCH($B211,[1]SuSa_2024!$B:$B,0)),"0")</f>
        <v>0</v>
      </c>
      <c r="AQ211" s="8">
        <f>IFERROR(INDEX([1]SuSa_2024!BU:BU,MATCH($B211,[1]SuSa_2024!$B:$B,0)),"0")</f>
        <v>0</v>
      </c>
      <c r="AR211" s="8">
        <f>IFERROR(INDEX([1]SuSa_2024!BV:BV,MATCH($B211,[1]SuSa_2024!$B:$B,0)),"0")</f>
        <v>0</v>
      </c>
      <c r="AS211" s="8">
        <f>IFERROR(INDEX([1]SuSa_2024!BW:BW,MATCH($B211,[1]SuSa_2024!$B:$B,0)),"0")</f>
        <v>0</v>
      </c>
      <c r="AT211" s="8">
        <f>IFERROR(INDEX([1]SuSa_2024!BX:BX,MATCH($B211,[1]SuSa_2024!$B:$B,0)),"0")</f>
        <v>0</v>
      </c>
      <c r="AU211" s="8">
        <f>IFERROR(INDEX([1]SuSa_2024!BY:BY,MATCH($B211,[1]SuSa_2024!$B:$B,0)),"0")</f>
        <v>0</v>
      </c>
      <c r="AV211" s="8" t="str">
        <f>IFERROR(INDEX([1]SuSa_2025!AR:AR,MATCH($B211,[1]SuSa_2025!$B:$B,0)),"0")</f>
        <v>0</v>
      </c>
      <c r="AW211" s="8" t="str">
        <f>IFERROR(INDEX([1]SuSa_2025!AS:AS,MATCH($B211,[1]SuSa_2025!$B:$B,0)),"0")</f>
        <v>0</v>
      </c>
      <c r="AX211" s="8" t="str">
        <f>IFERROR(INDEX([1]SuSa_2025!AT:AT,MATCH($B211,[1]SuSa_2025!$B:$B,0)),"0")</f>
        <v>0</v>
      </c>
      <c r="AY211" s="8" t="str">
        <f>IFERROR(INDEX([1]SuSa_2025!AU:AU,MATCH($B211,[1]SuSa_2025!$B:$B,0)),"0")</f>
        <v>0</v>
      </c>
      <c r="AZ211" s="8" t="str">
        <f>IFERROR(INDEX([1]SuSa_2025!AV:AV,MATCH($B211,[1]SuSa_2025!$B:$B,0)),"0")</f>
        <v>0</v>
      </c>
      <c r="BA211" s="8" t="str">
        <f>IFERROR(INDEX([1]SuSa_2025!AW:AW,MATCH($B211,[1]SuSa_2025!$B:$B,0)),"0")</f>
        <v>0</v>
      </c>
      <c r="BB211" s="8" t="str">
        <f>IFERROR(INDEX([1]SuSa_2025!AX:AX,MATCH($B211,[1]SuSa_2025!$B:$B,0)),"0")</f>
        <v>0</v>
      </c>
    </row>
    <row r="212" spans="1:54" outlineLevel="1" collapsed="1" x14ac:dyDescent="0.25">
      <c r="A212" s="5" t="s">
        <v>648</v>
      </c>
      <c r="B212" s="6" t="s">
        <v>649</v>
      </c>
      <c r="C212" t="s">
        <v>650</v>
      </c>
      <c r="F212" s="22">
        <f t="shared" si="19"/>
        <v>11416.93</v>
      </c>
      <c r="G212" s="7">
        <f t="shared" si="20"/>
        <v>10619.59</v>
      </c>
      <c r="H212" s="7">
        <f t="shared" si="21"/>
        <v>146.99</v>
      </c>
      <c r="I212" s="7">
        <f t="shared" si="17"/>
        <v>0</v>
      </c>
      <c r="J212" s="8">
        <f t="shared" si="16"/>
        <v>0</v>
      </c>
      <c r="K212" s="8">
        <f t="shared" si="18"/>
        <v>146.99</v>
      </c>
      <c r="L212" s="8">
        <v>775.46</v>
      </c>
      <c r="M212" s="8">
        <v>1798.7</v>
      </c>
      <c r="N212" s="8">
        <v>2411.06</v>
      </c>
      <c r="O212" s="8">
        <v>3046.41</v>
      </c>
      <c r="P212" s="8">
        <v>3820.09</v>
      </c>
      <c r="Q212" s="8">
        <v>5018.3999999999996</v>
      </c>
      <c r="R212" s="8">
        <v>5897.22</v>
      </c>
      <c r="S212" s="8">
        <v>7010.24</v>
      </c>
      <c r="T212" s="8">
        <v>7850.83</v>
      </c>
      <c r="U212" s="8">
        <v>9119.48</v>
      </c>
      <c r="V212" s="8">
        <v>10102.700000000001</v>
      </c>
      <c r="W212" s="8">
        <v>11416.93</v>
      </c>
      <c r="X212" s="8">
        <v>728.44</v>
      </c>
      <c r="Y212" s="8">
        <v>1480.79</v>
      </c>
      <c r="Z212" s="8">
        <v>3184.76</v>
      </c>
      <c r="AA212" s="8">
        <v>3912.61</v>
      </c>
      <c r="AB212" s="8">
        <v>4960.04</v>
      </c>
      <c r="AC212" s="8">
        <v>6017.32</v>
      </c>
      <c r="AD212" s="8">
        <v>6380.44</v>
      </c>
      <c r="AE212" s="8">
        <v>7781.98</v>
      </c>
      <c r="AF212" s="8">
        <v>9132.14</v>
      </c>
      <c r="AG212" s="8">
        <v>9881.48</v>
      </c>
      <c r="AH212" s="8">
        <v>10241.14</v>
      </c>
      <c r="AI212" s="8">
        <v>10619.59</v>
      </c>
      <c r="AJ212" s="8">
        <f>IFERROR(INDEX([1]SuSa_2024!BN:BN,MATCH($B212,[1]SuSa_2024!$B:$B,0)),"0")</f>
        <v>136.16</v>
      </c>
      <c r="AK212" s="8">
        <f>IFERROR(INDEX([1]SuSa_2024!BO:BO,MATCH($B212,[1]SuSa_2024!$B:$B,0)),"0")</f>
        <v>146.99</v>
      </c>
      <c r="AL212" s="8">
        <f>IFERROR(INDEX([1]SuSa_2024!BP:BP,MATCH($B212,[1]SuSa_2024!$B:$B,0)),"0")</f>
        <v>146.99</v>
      </c>
      <c r="AM212" s="8">
        <f>IFERROR(INDEX([1]SuSa_2024!BQ:BQ,MATCH($B212,[1]SuSa_2024!$B:$B,0)),"0")</f>
        <v>146.99</v>
      </c>
      <c r="AN212" s="8">
        <f>IFERROR(INDEX([1]SuSa_2024!BR:BR,MATCH($B212,[1]SuSa_2024!$B:$B,0)),"0")</f>
        <v>146.99</v>
      </c>
      <c r="AO212" s="8">
        <f>IFERROR(INDEX([1]SuSa_2024!BS:BS,MATCH($B212,[1]SuSa_2024!$B:$B,0)),"0")</f>
        <v>146.99</v>
      </c>
      <c r="AP212" s="8">
        <f>IFERROR(INDEX([1]SuSa_2024!BT:BT,MATCH($B212,[1]SuSa_2024!$B:$B,0)),"0")</f>
        <v>146.99</v>
      </c>
      <c r="AQ212" s="8">
        <f>IFERROR(INDEX([1]SuSa_2024!BU:BU,MATCH($B212,[1]SuSa_2024!$B:$B,0)),"0")</f>
        <v>146.99</v>
      </c>
      <c r="AR212" s="8">
        <f>IFERROR(INDEX([1]SuSa_2024!BV:BV,MATCH($B212,[1]SuSa_2024!$B:$B,0)),"0")</f>
        <v>146.99</v>
      </c>
      <c r="AS212" s="8">
        <f>IFERROR(INDEX([1]SuSa_2024!BW:BW,MATCH($B212,[1]SuSa_2024!$B:$B,0)),"0")</f>
        <v>146.99</v>
      </c>
      <c r="AT212" s="8">
        <f>IFERROR(INDEX([1]SuSa_2024!BX:BX,MATCH($B212,[1]SuSa_2024!$B:$B,0)),"0")</f>
        <v>146.99</v>
      </c>
      <c r="AU212" s="8">
        <f>IFERROR(INDEX([1]SuSa_2024!BY:BY,MATCH($B212,[1]SuSa_2024!$B:$B,0)),"0")</f>
        <v>146.99</v>
      </c>
      <c r="AV212" s="8">
        <f>IFERROR(INDEX([1]SuSa_2025!AR:AR,MATCH($B212,[1]SuSa_2025!$B:$B,0)),"0")</f>
        <v>0</v>
      </c>
      <c r="AW212" s="8">
        <f>IFERROR(INDEX([1]SuSa_2025!AS:AS,MATCH($B212,[1]SuSa_2025!$B:$B,0)),"0")</f>
        <v>0</v>
      </c>
      <c r="AX212" s="8">
        <f>IFERROR(INDEX([1]SuSa_2025!AT:AT,MATCH($B212,[1]SuSa_2025!$B:$B,0)),"0")</f>
        <v>0</v>
      </c>
      <c r="AY212" s="8">
        <f>IFERROR(INDEX([1]SuSa_2025!AU:AU,MATCH($B212,[1]SuSa_2025!$B:$B,0)),"0")</f>
        <v>0</v>
      </c>
      <c r="AZ212" s="8">
        <f>IFERROR(INDEX([1]SuSa_2025!AV:AV,MATCH($B212,[1]SuSa_2025!$B:$B,0)),"0")</f>
        <v>0</v>
      </c>
      <c r="BA212" s="8">
        <f>IFERROR(INDEX([1]SuSa_2025!AW:AW,MATCH($B212,[1]SuSa_2025!$B:$B,0)),"0")</f>
        <v>0</v>
      </c>
      <c r="BB212" s="8">
        <f>IFERROR(INDEX([1]SuSa_2025!AX:AX,MATCH($B212,[1]SuSa_2025!$B:$B,0)),"0")</f>
        <v>0</v>
      </c>
    </row>
    <row r="213" spans="1:54" outlineLevel="1" collapsed="1" x14ac:dyDescent="0.25">
      <c r="A213" s="5" t="s">
        <v>651</v>
      </c>
      <c r="B213" s="6" t="s">
        <v>652</v>
      </c>
      <c r="C213" t="s">
        <v>653</v>
      </c>
      <c r="F213" s="22">
        <f t="shared" si="19"/>
        <v>2808.74</v>
      </c>
      <c r="G213" s="7">
        <f t="shared" si="20"/>
        <v>3924.12</v>
      </c>
      <c r="H213" s="7" t="str">
        <f t="shared" si="21"/>
        <v>0</v>
      </c>
      <c r="I213" s="7" t="str">
        <f t="shared" si="17"/>
        <v>0</v>
      </c>
      <c r="J213" s="8">
        <f t="shared" si="16"/>
        <v>0</v>
      </c>
      <c r="K213" s="8" t="str">
        <f t="shared" si="18"/>
        <v>0</v>
      </c>
      <c r="N213" s="8">
        <v>131.88999999999999</v>
      </c>
      <c r="O213" s="8">
        <v>319.54000000000002</v>
      </c>
      <c r="P213" s="8">
        <v>1221.49</v>
      </c>
      <c r="Q213" s="8">
        <v>1640.01</v>
      </c>
      <c r="R213" s="8">
        <v>1762.16</v>
      </c>
      <c r="S213" s="8">
        <v>2297.31</v>
      </c>
      <c r="T213" s="8">
        <v>2524.33</v>
      </c>
      <c r="U213" s="8">
        <v>2597.63</v>
      </c>
      <c r="V213" s="8">
        <v>3169.78</v>
      </c>
      <c r="W213" s="8">
        <v>2808.74</v>
      </c>
      <c r="X213" s="8">
        <v>699.23</v>
      </c>
      <c r="Y213" s="8">
        <v>1333.71</v>
      </c>
      <c r="Z213" s="8">
        <v>1787.44</v>
      </c>
      <c r="AA213" s="8">
        <v>2080.5300000000002</v>
      </c>
      <c r="AB213" s="8">
        <v>2225.9699999999998</v>
      </c>
      <c r="AC213" s="8">
        <v>2670.35</v>
      </c>
      <c r="AD213" s="8">
        <v>2890.21</v>
      </c>
      <c r="AE213" s="8">
        <v>2957.64</v>
      </c>
      <c r="AF213" s="8">
        <v>3404.46</v>
      </c>
      <c r="AG213" s="8">
        <v>3404.46</v>
      </c>
      <c r="AH213" s="8">
        <v>3377.28</v>
      </c>
      <c r="AI213" s="8">
        <v>3924.12</v>
      </c>
      <c r="AJ213" s="8" t="str">
        <f>IFERROR(INDEX([1]SuSa_2024!BN:BN,MATCH($B213,[1]SuSa_2024!$B:$B,0)),"0")</f>
        <v>0</v>
      </c>
      <c r="AK213" s="8" t="str">
        <f>IFERROR(INDEX([1]SuSa_2024!BO:BO,MATCH($B213,[1]SuSa_2024!$B:$B,0)),"0")</f>
        <v>0</v>
      </c>
      <c r="AL213" s="8" t="str">
        <f>IFERROR(INDEX([1]SuSa_2024!BP:BP,MATCH($B213,[1]SuSa_2024!$B:$B,0)),"0")</f>
        <v>0</v>
      </c>
      <c r="AM213" s="8" t="str">
        <f>IFERROR(INDEX([1]SuSa_2024!BQ:BQ,MATCH($B213,[1]SuSa_2024!$B:$B,0)),"0")</f>
        <v>0</v>
      </c>
      <c r="AN213" s="8" t="str">
        <f>IFERROR(INDEX([1]SuSa_2024!BR:BR,MATCH($B213,[1]SuSa_2024!$B:$B,0)),"0")</f>
        <v>0</v>
      </c>
      <c r="AO213" s="8" t="str">
        <f>IFERROR(INDEX([1]SuSa_2024!BS:BS,MATCH($B213,[1]SuSa_2024!$B:$B,0)),"0")</f>
        <v>0</v>
      </c>
      <c r="AP213" s="8" t="str">
        <f>IFERROR(INDEX([1]SuSa_2024!BT:BT,MATCH($B213,[1]SuSa_2024!$B:$B,0)),"0")</f>
        <v>0</v>
      </c>
      <c r="AQ213" s="8" t="str">
        <f>IFERROR(INDEX([1]SuSa_2024!BU:BU,MATCH($B213,[1]SuSa_2024!$B:$B,0)),"0")</f>
        <v>0</v>
      </c>
      <c r="AR213" s="8" t="str">
        <f>IFERROR(INDEX([1]SuSa_2024!BV:BV,MATCH($B213,[1]SuSa_2024!$B:$B,0)),"0")</f>
        <v>0</v>
      </c>
      <c r="AS213" s="8" t="str">
        <f>IFERROR(INDEX([1]SuSa_2024!BW:BW,MATCH($B213,[1]SuSa_2024!$B:$B,0)),"0")</f>
        <v>0</v>
      </c>
      <c r="AT213" s="8" t="str">
        <f>IFERROR(INDEX([1]SuSa_2024!BX:BX,MATCH($B213,[1]SuSa_2024!$B:$B,0)),"0")</f>
        <v>0</v>
      </c>
      <c r="AU213" s="8" t="str">
        <f>IFERROR(INDEX([1]SuSa_2024!BY:BY,MATCH($B213,[1]SuSa_2024!$B:$B,0)),"0")</f>
        <v>0</v>
      </c>
      <c r="AV213" s="8" t="str">
        <f>IFERROR(INDEX([1]SuSa_2025!AR:AR,MATCH($B213,[1]SuSa_2025!$B:$B,0)),"0")</f>
        <v>0</v>
      </c>
      <c r="AW213" s="8" t="str">
        <f>IFERROR(INDEX([1]SuSa_2025!AS:AS,MATCH($B213,[1]SuSa_2025!$B:$B,0)),"0")</f>
        <v>0</v>
      </c>
      <c r="AX213" s="8" t="str">
        <f>IFERROR(INDEX([1]SuSa_2025!AT:AT,MATCH($B213,[1]SuSa_2025!$B:$B,0)),"0")</f>
        <v>0</v>
      </c>
      <c r="AY213" s="8" t="str">
        <f>IFERROR(INDEX([1]SuSa_2025!AU:AU,MATCH($B213,[1]SuSa_2025!$B:$B,0)),"0")</f>
        <v>0</v>
      </c>
      <c r="AZ213" s="8" t="str">
        <f>IFERROR(INDEX([1]SuSa_2025!AV:AV,MATCH($B213,[1]SuSa_2025!$B:$B,0)),"0")</f>
        <v>0</v>
      </c>
      <c r="BA213" s="8" t="str">
        <f>IFERROR(INDEX([1]SuSa_2025!AW:AW,MATCH($B213,[1]SuSa_2025!$B:$B,0)),"0")</f>
        <v>0</v>
      </c>
      <c r="BB213" s="8" t="str">
        <f>IFERROR(INDEX([1]SuSa_2025!AX:AX,MATCH($B213,[1]SuSa_2025!$B:$B,0)),"0")</f>
        <v>0</v>
      </c>
    </row>
    <row r="214" spans="1:54" outlineLevel="1" collapsed="1" x14ac:dyDescent="0.25">
      <c r="A214" s="5" t="s">
        <v>651</v>
      </c>
      <c r="B214" s="6" t="s">
        <v>654</v>
      </c>
      <c r="C214" t="s">
        <v>655</v>
      </c>
      <c r="F214" s="22">
        <f t="shared" si="19"/>
        <v>0</v>
      </c>
      <c r="G214" s="7">
        <f t="shared" si="20"/>
        <v>0</v>
      </c>
      <c r="H214" s="7">
        <f t="shared" si="21"/>
        <v>3154.86</v>
      </c>
      <c r="I214" s="7">
        <f t="shared" si="17"/>
        <v>667.98</v>
      </c>
      <c r="J214" s="8">
        <f t="shared" si="16"/>
        <v>814.17999999999984</v>
      </c>
      <c r="K214" s="8">
        <f t="shared" si="18"/>
        <v>3008.6600000000003</v>
      </c>
      <c r="AJ214" s="8">
        <f>IFERROR(INDEX([1]SuSa_2024!BN:BN,MATCH($B214,[1]SuSa_2024!$B:$B,0)),"0")</f>
        <v>0</v>
      </c>
      <c r="AK214" s="8">
        <f>IFERROR(INDEX([1]SuSa_2024!BO:BO,MATCH($B214,[1]SuSa_2024!$B:$B,0)),"0")</f>
        <v>0</v>
      </c>
      <c r="AL214" s="8">
        <f>IFERROR(INDEX([1]SuSa_2024!BP:BP,MATCH($B214,[1]SuSa_2024!$B:$B,0)),"0")</f>
        <v>1262.74</v>
      </c>
      <c r="AM214" s="8">
        <f>IFERROR(INDEX([1]SuSa_2024!BQ:BQ,MATCH($B214,[1]SuSa_2024!$B:$B,0)),"0")</f>
        <v>1561.96</v>
      </c>
      <c r="AN214" s="8">
        <f>IFERROR(INDEX([1]SuSa_2024!BR:BR,MATCH($B214,[1]SuSa_2024!$B:$B,0)),"0")</f>
        <v>2675.3900000000003</v>
      </c>
      <c r="AO214" s="8">
        <f>IFERROR(INDEX([1]SuSa_2024!BS:BS,MATCH($B214,[1]SuSa_2024!$B:$B,0)),"0")</f>
        <v>2949.84</v>
      </c>
      <c r="AP214" s="8">
        <f>IFERROR(INDEX([1]SuSa_2024!BT:BT,MATCH($B214,[1]SuSa_2024!$B:$B,0)),"0")</f>
        <v>3008.6600000000003</v>
      </c>
      <c r="AQ214" s="8">
        <f>IFERROR(INDEX([1]SuSa_2024!BU:BU,MATCH($B214,[1]SuSa_2024!$B:$B,0)),"0")</f>
        <v>3008.6600000000003</v>
      </c>
      <c r="AR214" s="8">
        <f>IFERROR(INDEX([1]SuSa_2024!BV:BV,MATCH($B214,[1]SuSa_2024!$B:$B,0)),"0")</f>
        <v>3008.6600000000003</v>
      </c>
      <c r="AS214" s="8">
        <f>IFERROR(INDEX([1]SuSa_2024!BW:BW,MATCH($B214,[1]SuSa_2024!$B:$B,0)),"0")</f>
        <v>3008.6600000000003</v>
      </c>
      <c r="AT214" s="8">
        <f>IFERROR(INDEX([1]SuSa_2024!BX:BX,MATCH($B214,[1]SuSa_2024!$B:$B,0)),"0")</f>
        <v>3008.6600000000003</v>
      </c>
      <c r="AU214" s="8">
        <f>IFERROR(INDEX([1]SuSa_2024!BY:BY,MATCH($B214,[1]SuSa_2024!$B:$B,0)),"0")</f>
        <v>3154.86</v>
      </c>
      <c r="AV214" s="8">
        <f>IFERROR(INDEX([1]SuSa_2025!AR:AR,MATCH($B214,[1]SuSa_2025!$B:$B,0)),"0")</f>
        <v>0</v>
      </c>
      <c r="AW214" s="8">
        <f>IFERROR(INDEX([1]SuSa_2025!AS:AS,MATCH($B214,[1]SuSa_2025!$B:$B,0)),"0")</f>
        <v>0</v>
      </c>
      <c r="AX214" s="8">
        <f>IFERROR(INDEX([1]SuSa_2025!AT:AT,MATCH($B214,[1]SuSa_2025!$B:$B,0)),"0")</f>
        <v>0</v>
      </c>
      <c r="AY214" s="8">
        <f>IFERROR(INDEX([1]SuSa_2025!AU:AU,MATCH($B214,[1]SuSa_2025!$B:$B,0)),"0")</f>
        <v>424.91</v>
      </c>
      <c r="AZ214" s="8">
        <f>IFERROR(INDEX([1]SuSa_2025!AV:AV,MATCH($B214,[1]SuSa_2025!$B:$B,0)),"0")</f>
        <v>530.62</v>
      </c>
      <c r="BA214" s="8">
        <f>IFERROR(INDEX([1]SuSa_2025!AW:AW,MATCH($B214,[1]SuSa_2025!$B:$B,0)),"0")</f>
        <v>740</v>
      </c>
      <c r="BB214" s="8">
        <f>IFERROR(INDEX([1]SuSa_2025!AX:AX,MATCH($B214,[1]SuSa_2025!$B:$B,0)),"0")</f>
        <v>667.98</v>
      </c>
    </row>
    <row r="215" spans="1:54" outlineLevel="1" collapsed="1" x14ac:dyDescent="0.25">
      <c r="A215" s="5" t="s">
        <v>656</v>
      </c>
      <c r="B215" s="6" t="s">
        <v>657</v>
      </c>
      <c r="C215" t="s">
        <v>658</v>
      </c>
      <c r="F215" s="22">
        <f t="shared" si="19"/>
        <v>0</v>
      </c>
      <c r="G215" s="7">
        <f t="shared" si="20"/>
        <v>0</v>
      </c>
      <c r="H215" s="7">
        <f t="shared" si="21"/>
        <v>-200.07</v>
      </c>
      <c r="I215" s="7">
        <f t="shared" si="17"/>
        <v>1305.3</v>
      </c>
      <c r="J215" s="8">
        <f t="shared" si="16"/>
        <v>1105.23</v>
      </c>
      <c r="K215" s="8">
        <f t="shared" si="18"/>
        <v>0</v>
      </c>
      <c r="AJ215" s="8">
        <f>IFERROR(INDEX([1]SuSa_2024!BN:BN,MATCH($B215,[1]SuSa_2024!$B:$B,0)),"0")</f>
        <v>370.33</v>
      </c>
      <c r="AK215" s="8">
        <f>IFERROR(INDEX([1]SuSa_2024!BO:BO,MATCH($B215,[1]SuSa_2024!$B:$B,0)),"0")</f>
        <v>888.15000000000009</v>
      </c>
      <c r="AL215" s="8">
        <f>IFERROR(INDEX([1]SuSa_2024!BP:BP,MATCH($B215,[1]SuSa_2024!$B:$B,0)),"0")</f>
        <v>0</v>
      </c>
      <c r="AM215" s="8">
        <f>IFERROR(INDEX([1]SuSa_2024!BQ:BQ,MATCH($B215,[1]SuSa_2024!$B:$B,0)),"0")</f>
        <v>0</v>
      </c>
      <c r="AN215" s="8">
        <f>IFERROR(INDEX([1]SuSa_2024!BR:BR,MATCH($B215,[1]SuSa_2024!$B:$B,0)),"0")</f>
        <v>0</v>
      </c>
      <c r="AO215" s="8">
        <f>IFERROR(INDEX([1]SuSa_2024!BS:BS,MATCH($B215,[1]SuSa_2024!$B:$B,0)),"0")</f>
        <v>0</v>
      </c>
      <c r="AP215" s="8">
        <f>IFERROR(INDEX([1]SuSa_2024!BT:BT,MATCH($B215,[1]SuSa_2024!$B:$B,0)),"0")</f>
        <v>0</v>
      </c>
      <c r="AQ215" s="8">
        <f>IFERROR(INDEX([1]SuSa_2024!BU:BU,MATCH($B215,[1]SuSa_2024!$B:$B,0)),"0")</f>
        <v>0</v>
      </c>
      <c r="AR215" s="8">
        <f>IFERROR(INDEX([1]SuSa_2024!BV:BV,MATCH($B215,[1]SuSa_2024!$B:$B,0)),"0")</f>
        <v>0</v>
      </c>
      <c r="AS215" s="8">
        <f>IFERROR(INDEX([1]SuSa_2024!BW:BW,MATCH($B215,[1]SuSa_2024!$B:$B,0)),"0")</f>
        <v>0</v>
      </c>
      <c r="AT215" s="8">
        <f>IFERROR(INDEX([1]SuSa_2024!BX:BX,MATCH($B215,[1]SuSa_2024!$B:$B,0)),"0")</f>
        <v>0</v>
      </c>
      <c r="AU215" s="8">
        <f>IFERROR(INDEX([1]SuSa_2024!BY:BY,MATCH($B215,[1]SuSa_2024!$B:$B,0)),"0")</f>
        <v>-200.07</v>
      </c>
      <c r="AV215" s="8">
        <f>IFERROR(INDEX([1]SuSa_2025!AR:AR,MATCH($B215,[1]SuSa_2025!$B:$B,0)),"0")</f>
        <v>16.809999999999999</v>
      </c>
      <c r="AW215" s="8">
        <f>IFERROR(INDEX([1]SuSa_2025!AS:AS,MATCH($B215,[1]SuSa_2025!$B:$B,0)),"0")</f>
        <v>303.14999999999998</v>
      </c>
      <c r="AX215" s="8">
        <f>IFERROR(INDEX([1]SuSa_2025!AT:AT,MATCH($B215,[1]SuSa_2025!$B:$B,0)),"0")</f>
        <v>316.09999999999997</v>
      </c>
      <c r="AY215" s="8">
        <f>IFERROR(INDEX([1]SuSa_2025!AU:AU,MATCH($B215,[1]SuSa_2025!$B:$B,0)),"0")</f>
        <v>762.81</v>
      </c>
      <c r="AZ215" s="8">
        <f>IFERROR(INDEX([1]SuSa_2025!AV:AV,MATCH($B215,[1]SuSa_2025!$B:$B,0)),"0")</f>
        <v>762.81</v>
      </c>
      <c r="BA215" s="8">
        <f>IFERROR(INDEX([1]SuSa_2025!AW:AW,MATCH($B215,[1]SuSa_2025!$B:$B,0)),"0")</f>
        <v>1243.1199999999999</v>
      </c>
      <c r="BB215" s="8">
        <f>IFERROR(INDEX([1]SuSa_2025!AX:AX,MATCH($B215,[1]SuSa_2025!$B:$B,0)),"0")</f>
        <v>1305.3</v>
      </c>
    </row>
    <row r="216" spans="1:54" outlineLevel="1" collapsed="1" x14ac:dyDescent="0.25">
      <c r="A216" s="5" t="s">
        <v>659</v>
      </c>
      <c r="B216" s="6" t="s">
        <v>660</v>
      </c>
      <c r="C216" t="s">
        <v>661</v>
      </c>
      <c r="F216" s="22">
        <f t="shared" si="19"/>
        <v>1243.31</v>
      </c>
      <c r="G216" s="7">
        <f t="shared" si="20"/>
        <v>0</v>
      </c>
      <c r="H216" s="7" t="str">
        <f t="shared" si="21"/>
        <v>0</v>
      </c>
      <c r="I216" s="7" t="str">
        <f t="shared" si="17"/>
        <v>0</v>
      </c>
      <c r="J216" s="8">
        <f t="shared" si="16"/>
        <v>0</v>
      </c>
      <c r="K216" s="8" t="str">
        <f t="shared" si="18"/>
        <v>0</v>
      </c>
      <c r="O216" s="8">
        <v>39.57</v>
      </c>
      <c r="P216" s="8">
        <v>39.57</v>
      </c>
      <c r="Q216" s="8">
        <v>39.57</v>
      </c>
      <c r="R216" s="8">
        <v>39.57</v>
      </c>
      <c r="S216" s="8">
        <v>39.57</v>
      </c>
      <c r="T216" s="8">
        <v>39.57</v>
      </c>
      <c r="U216" s="8">
        <v>39.57</v>
      </c>
      <c r="V216" s="8">
        <v>39.57</v>
      </c>
      <c r="W216" s="8">
        <v>1243.31</v>
      </c>
      <c r="AJ216" s="8" t="str">
        <f>IFERROR(INDEX([1]SuSa_2024!BN:BN,MATCH($B216,[1]SuSa_2024!$B:$B,0)),"0")</f>
        <v>0</v>
      </c>
      <c r="AK216" s="8" t="str">
        <f>IFERROR(INDEX([1]SuSa_2024!BO:BO,MATCH($B216,[1]SuSa_2024!$B:$B,0)),"0")</f>
        <v>0</v>
      </c>
      <c r="AL216" s="8" t="str">
        <f>IFERROR(INDEX([1]SuSa_2024!BP:BP,MATCH($B216,[1]SuSa_2024!$B:$B,0)),"0")</f>
        <v>0</v>
      </c>
      <c r="AM216" s="8" t="str">
        <f>IFERROR(INDEX([1]SuSa_2024!BQ:BQ,MATCH($B216,[1]SuSa_2024!$B:$B,0)),"0")</f>
        <v>0</v>
      </c>
      <c r="AN216" s="8" t="str">
        <f>IFERROR(INDEX([1]SuSa_2024!BR:BR,MATCH($B216,[1]SuSa_2024!$B:$B,0)),"0")</f>
        <v>0</v>
      </c>
      <c r="AO216" s="8" t="str">
        <f>IFERROR(INDEX([1]SuSa_2024!BS:BS,MATCH($B216,[1]SuSa_2024!$B:$B,0)),"0")</f>
        <v>0</v>
      </c>
      <c r="AP216" s="8" t="str">
        <f>IFERROR(INDEX([1]SuSa_2024!BT:BT,MATCH($B216,[1]SuSa_2024!$B:$B,0)),"0")</f>
        <v>0</v>
      </c>
      <c r="AQ216" s="8" t="str">
        <f>IFERROR(INDEX([1]SuSa_2024!BU:BU,MATCH($B216,[1]SuSa_2024!$B:$B,0)),"0")</f>
        <v>0</v>
      </c>
      <c r="AR216" s="8" t="str">
        <f>IFERROR(INDEX([1]SuSa_2024!BV:BV,MATCH($B216,[1]SuSa_2024!$B:$B,0)),"0")</f>
        <v>0</v>
      </c>
      <c r="AS216" s="8" t="str">
        <f>IFERROR(INDEX([1]SuSa_2024!BW:BW,MATCH($B216,[1]SuSa_2024!$B:$B,0)),"0")</f>
        <v>0</v>
      </c>
      <c r="AT216" s="8" t="str">
        <f>IFERROR(INDEX([1]SuSa_2024!BX:BX,MATCH($B216,[1]SuSa_2024!$B:$B,0)),"0")</f>
        <v>0</v>
      </c>
      <c r="AU216" s="8" t="str">
        <f>IFERROR(INDEX([1]SuSa_2024!BY:BY,MATCH($B216,[1]SuSa_2024!$B:$B,0)),"0")</f>
        <v>0</v>
      </c>
      <c r="AV216" s="8" t="str">
        <f>IFERROR(INDEX([1]SuSa_2025!AR:AR,MATCH($B216,[1]SuSa_2025!$B:$B,0)),"0")</f>
        <v>0</v>
      </c>
      <c r="AW216" s="8" t="str">
        <f>IFERROR(INDEX([1]SuSa_2025!AS:AS,MATCH($B216,[1]SuSa_2025!$B:$B,0)),"0")</f>
        <v>0</v>
      </c>
      <c r="AX216" s="8" t="str">
        <f>IFERROR(INDEX([1]SuSa_2025!AT:AT,MATCH($B216,[1]SuSa_2025!$B:$B,0)),"0")</f>
        <v>0</v>
      </c>
      <c r="AY216" s="8" t="str">
        <f>IFERROR(INDEX([1]SuSa_2025!AU:AU,MATCH($B216,[1]SuSa_2025!$B:$B,0)),"0")</f>
        <v>0</v>
      </c>
      <c r="AZ216" s="8" t="str">
        <f>IFERROR(INDEX([1]SuSa_2025!AV:AV,MATCH($B216,[1]SuSa_2025!$B:$B,0)),"0")</f>
        <v>0</v>
      </c>
      <c r="BA216" s="8" t="str">
        <f>IFERROR(INDEX([1]SuSa_2025!AW:AW,MATCH($B216,[1]SuSa_2025!$B:$B,0)),"0")</f>
        <v>0</v>
      </c>
      <c r="BB216" s="8" t="str">
        <f>IFERROR(INDEX([1]SuSa_2025!AX:AX,MATCH($B216,[1]SuSa_2025!$B:$B,0)),"0")</f>
        <v>0</v>
      </c>
    </row>
    <row r="217" spans="1:54" outlineLevel="1" collapsed="1" x14ac:dyDescent="0.25">
      <c r="A217" s="5" t="s">
        <v>659</v>
      </c>
      <c r="B217" s="6" t="s">
        <v>662</v>
      </c>
      <c r="C217" t="s">
        <v>663</v>
      </c>
      <c r="F217" s="22">
        <f t="shared" si="19"/>
        <v>0</v>
      </c>
      <c r="G217" s="7">
        <f t="shared" si="20"/>
        <v>0</v>
      </c>
      <c r="H217" s="7">
        <f t="shared" si="21"/>
        <v>659.06</v>
      </c>
      <c r="I217" s="7">
        <f t="shared" si="17"/>
        <v>0</v>
      </c>
      <c r="J217" s="8">
        <f t="shared" si="16"/>
        <v>-449.81999999999994</v>
      </c>
      <c r="K217" s="8">
        <f t="shared" si="18"/>
        <v>1108.8799999999999</v>
      </c>
      <c r="AJ217" s="8">
        <f>IFERROR(INDEX([1]SuSa_2024!BN:BN,MATCH($B217,[1]SuSa_2024!$B:$B,0)),"0")</f>
        <v>0</v>
      </c>
      <c r="AK217" s="8">
        <f>IFERROR(INDEX([1]SuSa_2024!BO:BO,MATCH($B217,[1]SuSa_2024!$B:$B,0)),"0")</f>
        <v>0</v>
      </c>
      <c r="AL217" s="8">
        <f>IFERROR(INDEX([1]SuSa_2024!BP:BP,MATCH($B217,[1]SuSa_2024!$B:$B,0)),"0")</f>
        <v>409.17</v>
      </c>
      <c r="AM217" s="8">
        <f>IFERROR(INDEX([1]SuSa_2024!BQ:BQ,MATCH($B217,[1]SuSa_2024!$B:$B,0)),"0")</f>
        <v>803.25</v>
      </c>
      <c r="AN217" s="8">
        <f>IFERROR(INDEX([1]SuSa_2024!BR:BR,MATCH($B217,[1]SuSa_2024!$B:$B,0)),"0")</f>
        <v>865.43</v>
      </c>
      <c r="AO217" s="8">
        <f>IFERROR(INDEX([1]SuSa_2024!BS:BS,MATCH($B217,[1]SuSa_2024!$B:$B,0)),"0")</f>
        <v>1108.8799999999999</v>
      </c>
      <c r="AP217" s="8">
        <f>IFERROR(INDEX([1]SuSa_2024!BT:BT,MATCH($B217,[1]SuSa_2024!$B:$B,0)),"0")</f>
        <v>1108.8799999999999</v>
      </c>
      <c r="AQ217" s="8">
        <f>IFERROR(INDEX([1]SuSa_2024!BU:BU,MATCH($B217,[1]SuSa_2024!$B:$B,0)),"0")</f>
        <v>1108.8799999999999</v>
      </c>
      <c r="AR217" s="8">
        <f>IFERROR(INDEX([1]SuSa_2024!BV:BV,MATCH($B217,[1]SuSa_2024!$B:$B,0)),"0")</f>
        <v>1108.8799999999999</v>
      </c>
      <c r="AS217" s="8">
        <f>IFERROR(INDEX([1]SuSa_2024!BW:BW,MATCH($B217,[1]SuSa_2024!$B:$B,0)),"0")</f>
        <v>1108.8799999999999</v>
      </c>
      <c r="AT217" s="8">
        <f>IFERROR(INDEX([1]SuSa_2024!BX:BX,MATCH($B217,[1]SuSa_2024!$B:$B,0)),"0")</f>
        <v>1108.8799999999999</v>
      </c>
      <c r="AU217" s="8">
        <f>IFERROR(INDEX([1]SuSa_2024!BY:BY,MATCH($B217,[1]SuSa_2024!$B:$B,0)),"0")</f>
        <v>659.06</v>
      </c>
      <c r="AV217" s="8">
        <f>IFERROR(INDEX([1]SuSa_2025!AR:AR,MATCH($B217,[1]SuSa_2025!$B:$B,0)),"0")</f>
        <v>0</v>
      </c>
      <c r="AW217" s="8">
        <f>IFERROR(INDEX([1]SuSa_2025!AS:AS,MATCH($B217,[1]SuSa_2025!$B:$B,0)),"0")</f>
        <v>0</v>
      </c>
      <c r="AX217" s="8">
        <f>IFERROR(INDEX([1]SuSa_2025!AT:AT,MATCH($B217,[1]SuSa_2025!$B:$B,0)),"0")</f>
        <v>0</v>
      </c>
      <c r="AY217" s="8">
        <f>IFERROR(INDEX([1]SuSa_2025!AU:AU,MATCH($B217,[1]SuSa_2025!$B:$B,0)),"0")</f>
        <v>0</v>
      </c>
      <c r="AZ217" s="8">
        <f>IFERROR(INDEX([1]SuSa_2025!AV:AV,MATCH($B217,[1]SuSa_2025!$B:$B,0)),"0")</f>
        <v>0</v>
      </c>
      <c r="BA217" s="8">
        <f>IFERROR(INDEX([1]SuSa_2025!AW:AW,MATCH($B217,[1]SuSa_2025!$B:$B,0)),"0")</f>
        <v>0</v>
      </c>
      <c r="BB217" s="8">
        <f>IFERROR(INDEX([1]SuSa_2025!AX:AX,MATCH($B217,[1]SuSa_2025!$B:$B,0)),"0")</f>
        <v>0</v>
      </c>
    </row>
    <row r="218" spans="1:54" outlineLevel="1" collapsed="1" x14ac:dyDescent="0.25">
      <c r="A218" s="5" t="s">
        <v>664</v>
      </c>
      <c r="B218" s="6" t="s">
        <v>665</v>
      </c>
      <c r="C218" t="s">
        <v>666</v>
      </c>
      <c r="F218" s="22">
        <f t="shared" si="19"/>
        <v>0</v>
      </c>
      <c r="G218" s="7">
        <f t="shared" si="20"/>
        <v>0</v>
      </c>
      <c r="H218" s="7">
        <f t="shared" si="21"/>
        <v>282</v>
      </c>
      <c r="I218" s="7">
        <f t="shared" si="17"/>
        <v>0</v>
      </c>
      <c r="J218" s="8">
        <f t="shared" si="16"/>
        <v>449.82</v>
      </c>
      <c r="K218" s="8">
        <f t="shared" si="18"/>
        <v>-167.82</v>
      </c>
      <c r="AJ218" s="8">
        <f>IFERROR(INDEX([1]SuSa_2024!BN:BN,MATCH($B218,[1]SuSa_2024!$B:$B,0)),"0")</f>
        <v>0</v>
      </c>
      <c r="AK218" s="8">
        <f>IFERROR(INDEX([1]SuSa_2024!BO:BO,MATCH($B218,[1]SuSa_2024!$B:$B,0)),"0")</f>
        <v>0</v>
      </c>
      <c r="AL218" s="8">
        <f>IFERROR(INDEX([1]SuSa_2024!BP:BP,MATCH($B218,[1]SuSa_2024!$B:$B,0)),"0")</f>
        <v>-93.28</v>
      </c>
      <c r="AM218" s="8">
        <f>IFERROR(INDEX([1]SuSa_2024!BQ:BQ,MATCH($B218,[1]SuSa_2024!$B:$B,0)),"0")</f>
        <v>-167.82</v>
      </c>
      <c r="AN218" s="8">
        <f>IFERROR(INDEX([1]SuSa_2024!BR:BR,MATCH($B218,[1]SuSa_2024!$B:$B,0)),"0")</f>
        <v>-167.82</v>
      </c>
      <c r="AO218" s="8">
        <f>IFERROR(INDEX([1]SuSa_2024!BS:BS,MATCH($B218,[1]SuSa_2024!$B:$B,0)),"0")</f>
        <v>-167.82</v>
      </c>
      <c r="AP218" s="8">
        <f>IFERROR(INDEX([1]SuSa_2024!BT:BT,MATCH($B218,[1]SuSa_2024!$B:$B,0)),"0")</f>
        <v>-167.82</v>
      </c>
      <c r="AQ218" s="8">
        <f>IFERROR(INDEX([1]SuSa_2024!BU:BU,MATCH($B218,[1]SuSa_2024!$B:$B,0)),"0")</f>
        <v>-167.82</v>
      </c>
      <c r="AR218" s="8">
        <f>IFERROR(INDEX([1]SuSa_2024!BV:BV,MATCH($B218,[1]SuSa_2024!$B:$B,0)),"0")</f>
        <v>-167.82</v>
      </c>
      <c r="AS218" s="8">
        <f>IFERROR(INDEX([1]SuSa_2024!BW:BW,MATCH($B218,[1]SuSa_2024!$B:$B,0)),"0")</f>
        <v>-167.82</v>
      </c>
      <c r="AT218" s="8">
        <f>IFERROR(INDEX([1]SuSa_2024!BX:BX,MATCH($B218,[1]SuSa_2024!$B:$B,0)),"0")</f>
        <v>-167.82</v>
      </c>
      <c r="AU218" s="8">
        <f>IFERROR(INDEX([1]SuSa_2024!BY:BY,MATCH($B218,[1]SuSa_2024!$B:$B,0)),"0")</f>
        <v>282</v>
      </c>
      <c r="AV218" s="8">
        <f>IFERROR(INDEX([1]SuSa_2025!AR:AR,MATCH($B218,[1]SuSa_2025!$B:$B,0)),"0")</f>
        <v>0</v>
      </c>
      <c r="AW218" s="8">
        <f>IFERROR(INDEX([1]SuSa_2025!AS:AS,MATCH($B218,[1]SuSa_2025!$B:$B,0)),"0")</f>
        <v>0</v>
      </c>
      <c r="AX218" s="8">
        <f>IFERROR(INDEX([1]SuSa_2025!AT:AT,MATCH($B218,[1]SuSa_2025!$B:$B,0)),"0")</f>
        <v>0</v>
      </c>
      <c r="AY218" s="8">
        <f>IFERROR(INDEX([1]SuSa_2025!AU:AU,MATCH($B218,[1]SuSa_2025!$B:$B,0)),"0")</f>
        <v>0</v>
      </c>
      <c r="AZ218" s="8">
        <f>IFERROR(INDEX([1]SuSa_2025!AV:AV,MATCH($B218,[1]SuSa_2025!$B:$B,0)),"0")</f>
        <v>0</v>
      </c>
      <c r="BA218" s="8">
        <f>IFERROR(INDEX([1]SuSa_2025!AW:AW,MATCH($B218,[1]SuSa_2025!$B:$B,0)),"0")</f>
        <v>0</v>
      </c>
      <c r="BB218" s="8">
        <f>IFERROR(INDEX([1]SuSa_2025!AX:AX,MATCH($B218,[1]SuSa_2025!$B:$B,0)),"0")</f>
        <v>0</v>
      </c>
    </row>
    <row r="219" spans="1:54" outlineLevel="1" collapsed="1" x14ac:dyDescent="0.25">
      <c r="A219" s="5" t="s">
        <v>667</v>
      </c>
      <c r="B219" s="6" t="s">
        <v>668</v>
      </c>
      <c r="C219" t="s">
        <v>669</v>
      </c>
      <c r="F219" s="7">
        <f t="shared" si="19"/>
        <v>0</v>
      </c>
      <c r="G219" s="7">
        <f t="shared" si="20"/>
        <v>368</v>
      </c>
      <c r="H219" s="7">
        <f t="shared" si="21"/>
        <v>0</v>
      </c>
      <c r="I219" s="7" t="str">
        <f t="shared" si="17"/>
        <v>0</v>
      </c>
      <c r="J219" s="8">
        <f t="shared" si="16"/>
        <v>0</v>
      </c>
      <c r="K219" s="8">
        <f t="shared" si="18"/>
        <v>0</v>
      </c>
      <c r="AG219" s="8">
        <v>368</v>
      </c>
      <c r="AH219" s="8">
        <v>368</v>
      </c>
      <c r="AI219" s="8">
        <v>368</v>
      </c>
      <c r="AJ219" s="8">
        <f>IFERROR(INDEX([1]SuSa_2024!BN:BN,MATCH($B219,[1]SuSa_2024!$B:$B,0)),"0")</f>
        <v>0</v>
      </c>
      <c r="AK219" s="8">
        <f>IFERROR(INDEX([1]SuSa_2024!BO:BO,MATCH($B219,[1]SuSa_2024!$B:$B,0)),"0")</f>
        <v>0</v>
      </c>
      <c r="AL219" s="8">
        <f>IFERROR(INDEX([1]SuSa_2024!BP:BP,MATCH($B219,[1]SuSa_2024!$B:$B,0)),"0")</f>
        <v>0</v>
      </c>
      <c r="AM219" s="8">
        <f>IFERROR(INDEX([1]SuSa_2024!BQ:BQ,MATCH($B219,[1]SuSa_2024!$B:$B,0)),"0")</f>
        <v>0</v>
      </c>
      <c r="AN219" s="8">
        <f>IFERROR(INDEX([1]SuSa_2024!BR:BR,MATCH($B219,[1]SuSa_2024!$B:$B,0)),"0")</f>
        <v>0</v>
      </c>
      <c r="AO219" s="8">
        <f>IFERROR(INDEX([1]SuSa_2024!BS:BS,MATCH($B219,[1]SuSa_2024!$B:$B,0)),"0")</f>
        <v>0</v>
      </c>
      <c r="AP219" s="8">
        <f>IFERROR(INDEX([1]SuSa_2024!BT:BT,MATCH($B219,[1]SuSa_2024!$B:$B,0)),"0")</f>
        <v>0</v>
      </c>
      <c r="AQ219" s="8">
        <f>IFERROR(INDEX([1]SuSa_2024!BU:BU,MATCH($B219,[1]SuSa_2024!$B:$B,0)),"0")</f>
        <v>0</v>
      </c>
      <c r="AR219" s="8">
        <f>IFERROR(INDEX([1]SuSa_2024!BV:BV,MATCH($B219,[1]SuSa_2024!$B:$B,0)),"0")</f>
        <v>0</v>
      </c>
      <c r="AS219" s="8">
        <f>IFERROR(INDEX([1]SuSa_2024!BW:BW,MATCH($B219,[1]SuSa_2024!$B:$B,0)),"0")</f>
        <v>0</v>
      </c>
      <c r="AT219" s="8">
        <f>IFERROR(INDEX([1]SuSa_2024!BX:BX,MATCH($B219,[1]SuSa_2024!$B:$B,0)),"0")</f>
        <v>0</v>
      </c>
      <c r="AU219" s="8">
        <f>IFERROR(INDEX([1]SuSa_2024!BY:BY,MATCH($B219,[1]SuSa_2024!$B:$B,0)),"0")</f>
        <v>0</v>
      </c>
      <c r="AV219" s="8" t="str">
        <f>IFERROR(INDEX([1]SuSa_2025!AR:AR,MATCH($B219,[1]SuSa_2025!$B:$B,0)),"0")</f>
        <v>0</v>
      </c>
      <c r="AW219" s="8" t="str">
        <f>IFERROR(INDEX([1]SuSa_2025!AS:AS,MATCH($B219,[1]SuSa_2025!$B:$B,0)),"0")</f>
        <v>0</v>
      </c>
      <c r="AX219" s="8" t="str">
        <f>IFERROR(INDEX([1]SuSa_2025!AT:AT,MATCH($B219,[1]SuSa_2025!$B:$B,0)),"0")</f>
        <v>0</v>
      </c>
      <c r="AY219" s="8" t="str">
        <f>IFERROR(INDEX([1]SuSa_2025!AU:AU,MATCH($B219,[1]SuSa_2025!$B:$B,0)),"0")</f>
        <v>0</v>
      </c>
      <c r="AZ219" s="8" t="str">
        <f>IFERROR(INDEX([1]SuSa_2025!AV:AV,MATCH($B219,[1]SuSa_2025!$B:$B,0)),"0")</f>
        <v>0</v>
      </c>
      <c r="BA219" s="8" t="str">
        <f>IFERROR(INDEX([1]SuSa_2025!AW:AW,MATCH($B219,[1]SuSa_2025!$B:$B,0)),"0")</f>
        <v>0</v>
      </c>
      <c r="BB219" s="8" t="str">
        <f>IFERROR(INDEX([1]SuSa_2025!AX:AX,MATCH($B219,[1]SuSa_2025!$B:$B,0)),"0")</f>
        <v>0</v>
      </c>
    </row>
    <row r="220" spans="1:54" outlineLevel="1" collapsed="1" x14ac:dyDescent="0.25">
      <c r="A220" s="5" t="s">
        <v>670</v>
      </c>
      <c r="B220" s="6" t="s">
        <v>671</v>
      </c>
      <c r="C220" t="s">
        <v>672</v>
      </c>
      <c r="F220" s="7">
        <f t="shared" si="19"/>
        <v>6537.76</v>
      </c>
      <c r="G220" s="7">
        <f t="shared" si="20"/>
        <v>9935.48</v>
      </c>
      <c r="H220" s="7">
        <f t="shared" si="21"/>
        <v>10973.6</v>
      </c>
      <c r="I220" s="7">
        <f t="shared" si="17"/>
        <v>3418.8199999999997</v>
      </c>
      <c r="J220" s="8">
        <f t="shared" si="16"/>
        <v>10151.66</v>
      </c>
      <c r="K220" s="8">
        <f t="shared" si="18"/>
        <v>4240.76</v>
      </c>
      <c r="L220" s="8">
        <v>53.34</v>
      </c>
      <c r="M220" s="8">
        <v>98.98</v>
      </c>
      <c r="N220" s="8">
        <v>144.62</v>
      </c>
      <c r="O220" s="8">
        <v>190.26</v>
      </c>
      <c r="P220" s="8">
        <v>1118.1199999999999</v>
      </c>
      <c r="Q220" s="8">
        <v>1163.76</v>
      </c>
      <c r="R220" s="8">
        <v>1714.75</v>
      </c>
      <c r="S220" s="8">
        <v>2017.61</v>
      </c>
      <c r="T220" s="8">
        <v>3610.97</v>
      </c>
      <c r="U220" s="8">
        <v>5301.5</v>
      </c>
      <c r="V220" s="8">
        <v>5833.14</v>
      </c>
      <c r="W220" s="8">
        <v>6537.76</v>
      </c>
      <c r="X220" s="8">
        <v>608.78</v>
      </c>
      <c r="Y220" s="8">
        <v>878.44</v>
      </c>
      <c r="Z220" s="8">
        <v>2005.86</v>
      </c>
      <c r="AA220" s="8">
        <v>2495.66</v>
      </c>
      <c r="AB220" s="8">
        <v>3411.08</v>
      </c>
      <c r="AC220" s="8">
        <v>4332.43</v>
      </c>
      <c r="AD220" s="8">
        <v>4791.1099999999997</v>
      </c>
      <c r="AE220" s="8">
        <v>5737.85</v>
      </c>
      <c r="AF220" s="8">
        <v>7147.18</v>
      </c>
      <c r="AG220" s="8">
        <v>8617.52</v>
      </c>
      <c r="AH220" s="8">
        <v>9495.94</v>
      </c>
      <c r="AI220" s="8">
        <v>9935.48</v>
      </c>
      <c r="AJ220" s="8">
        <f>IFERROR(INDEX([1]SuSa_2024!BN:BN,MATCH($B220,[1]SuSa_2024!$B:$B,0)),"0")</f>
        <v>456.32</v>
      </c>
      <c r="AK220" s="8">
        <f>IFERROR(INDEX([1]SuSa_2024!BO:BO,MATCH($B220,[1]SuSa_2024!$B:$B,0)),"0")</f>
        <v>797.61</v>
      </c>
      <c r="AL220" s="8">
        <f>IFERROR(INDEX([1]SuSa_2024!BP:BP,MATCH($B220,[1]SuSa_2024!$B:$B,0)),"0")</f>
        <v>1217.31</v>
      </c>
      <c r="AM220" s="8">
        <f>IFERROR(INDEX([1]SuSa_2024!BQ:BQ,MATCH($B220,[1]SuSa_2024!$B:$B,0)),"0")</f>
        <v>2097.19</v>
      </c>
      <c r="AN220" s="8">
        <f>IFERROR(INDEX([1]SuSa_2024!BR:BR,MATCH($B220,[1]SuSa_2024!$B:$B,0)),"0")</f>
        <v>3385.4700000000003</v>
      </c>
      <c r="AO220" s="8">
        <f>IFERROR(INDEX([1]SuSa_2024!BS:BS,MATCH($B220,[1]SuSa_2024!$B:$B,0)),"0")</f>
        <v>4240.76</v>
      </c>
      <c r="AP220" s="8">
        <f>IFERROR(INDEX([1]SuSa_2024!BT:BT,MATCH($B220,[1]SuSa_2024!$B:$B,0)),"0")</f>
        <v>4240.76</v>
      </c>
      <c r="AQ220" s="8">
        <f>IFERROR(INDEX([1]SuSa_2024!BU:BU,MATCH($B220,[1]SuSa_2024!$B:$B,0)),"0")</f>
        <v>6366.92</v>
      </c>
      <c r="AR220" s="8">
        <f>IFERROR(INDEX([1]SuSa_2024!BV:BV,MATCH($B220,[1]SuSa_2024!$B:$B,0)),"0")</f>
        <v>7430</v>
      </c>
      <c r="AS220" s="8">
        <f>IFERROR(INDEX([1]SuSa_2024!BW:BW,MATCH($B220,[1]SuSa_2024!$B:$B,0)),"0")</f>
        <v>8493.08</v>
      </c>
      <c r="AT220" s="8">
        <f>IFERROR(INDEX([1]SuSa_2024!BX:BX,MATCH($B220,[1]SuSa_2024!$B:$B,0)),"0")</f>
        <v>9556.16</v>
      </c>
      <c r="AU220" s="8">
        <f>IFERROR(INDEX([1]SuSa_2024!BY:BY,MATCH($B220,[1]SuSa_2024!$B:$B,0)),"0")</f>
        <v>10973.6</v>
      </c>
      <c r="AV220" s="8">
        <f>IFERROR(INDEX([1]SuSa_2025!AR:AR,MATCH($B220,[1]SuSa_2025!$B:$B,0)),"0")</f>
        <v>1158.26</v>
      </c>
      <c r="AW220" s="8">
        <f>IFERROR(INDEX([1]SuSa_2025!AS:AS,MATCH($B220,[1]SuSa_2025!$B:$B,0)),"0")</f>
        <v>2221.3599999999997</v>
      </c>
      <c r="AX220" s="8">
        <f>IFERROR(INDEX([1]SuSa_2025!AT:AT,MATCH($B220,[1]SuSa_2025!$B:$B,0)),"0")</f>
        <v>3022.5499999999997</v>
      </c>
      <c r="AY220" s="8">
        <f>IFERROR(INDEX([1]SuSa_2025!AU:AU,MATCH($B220,[1]SuSa_2025!$B:$B,0)),"0")</f>
        <v>3376.93</v>
      </c>
      <c r="AZ220" s="8">
        <f>IFERROR(INDEX([1]SuSa_2025!AV:AV,MATCH($B220,[1]SuSa_2025!$B:$B,0)),"0")</f>
        <v>3418.8199999999997</v>
      </c>
      <c r="BA220" s="8">
        <f>IFERROR(INDEX([1]SuSa_2025!AW:AW,MATCH($B220,[1]SuSa_2025!$B:$B,0)),"0")</f>
        <v>3418.8199999999997</v>
      </c>
      <c r="BB220" s="8">
        <f>IFERROR(INDEX([1]SuSa_2025!AX:AX,MATCH($B220,[1]SuSa_2025!$B:$B,0)),"0")</f>
        <v>3418.8199999999997</v>
      </c>
    </row>
    <row r="221" spans="1:54" outlineLevel="1" collapsed="1" x14ac:dyDescent="0.25">
      <c r="A221" s="5" t="s">
        <v>670</v>
      </c>
      <c r="B221" s="6" t="s">
        <v>673</v>
      </c>
      <c r="C221" t="s">
        <v>674</v>
      </c>
      <c r="F221" s="7">
        <f t="shared" si="19"/>
        <v>4197.4399999999996</v>
      </c>
      <c r="G221" s="7">
        <f t="shared" si="20"/>
        <v>2695.75</v>
      </c>
      <c r="H221" s="7">
        <f t="shared" si="21"/>
        <v>1391.29</v>
      </c>
      <c r="I221" s="7">
        <f t="shared" si="17"/>
        <v>0</v>
      </c>
      <c r="J221" s="8">
        <f t="shared" si="16"/>
        <v>1391.29</v>
      </c>
      <c r="K221" s="8">
        <f t="shared" si="18"/>
        <v>0</v>
      </c>
      <c r="L221" s="8">
        <v>313.63</v>
      </c>
      <c r="M221" s="8">
        <v>636.37</v>
      </c>
      <c r="N221" s="8">
        <v>959.11</v>
      </c>
      <c r="O221" s="8">
        <v>1480.73</v>
      </c>
      <c r="P221" s="8">
        <v>1803.47</v>
      </c>
      <c r="Q221" s="8">
        <v>2126.21</v>
      </c>
      <c r="R221" s="8">
        <v>2448.9499999999998</v>
      </c>
      <c r="S221" s="8">
        <v>2870.45</v>
      </c>
      <c r="T221" s="8">
        <v>3229.22</v>
      </c>
      <c r="U221" s="8">
        <v>3551.96</v>
      </c>
      <c r="V221" s="8">
        <v>3874.7</v>
      </c>
      <c r="W221" s="8">
        <v>4197.4399999999996</v>
      </c>
      <c r="X221" s="8">
        <v>322.76</v>
      </c>
      <c r="Y221" s="8">
        <v>404.67</v>
      </c>
      <c r="Z221" s="8">
        <v>1812.4</v>
      </c>
      <c r="AA221" s="8">
        <v>1845.66</v>
      </c>
      <c r="AB221" s="8">
        <v>1845.66</v>
      </c>
      <c r="AC221" s="8">
        <v>1819.64</v>
      </c>
      <c r="AD221" s="8">
        <v>1819.64</v>
      </c>
      <c r="AE221" s="8">
        <v>2410.46</v>
      </c>
      <c r="AF221" s="8">
        <v>2581.46</v>
      </c>
      <c r="AG221" s="8">
        <v>2666.19</v>
      </c>
      <c r="AH221" s="8">
        <v>2666.19</v>
      </c>
      <c r="AI221" s="8">
        <v>2695.75</v>
      </c>
      <c r="AJ221" s="8">
        <f>IFERROR(INDEX([1]SuSa_2024!BN:BN,MATCH($B221,[1]SuSa_2024!$B:$B,0)),"0")</f>
        <v>0</v>
      </c>
      <c r="AK221" s="8">
        <f>IFERROR(INDEX([1]SuSa_2024!BO:BO,MATCH($B221,[1]SuSa_2024!$B:$B,0)),"0")</f>
        <v>0</v>
      </c>
      <c r="AL221" s="8">
        <f>IFERROR(INDEX([1]SuSa_2024!BP:BP,MATCH($B221,[1]SuSa_2024!$B:$B,0)),"0")</f>
        <v>0</v>
      </c>
      <c r="AM221" s="8">
        <f>IFERROR(INDEX([1]SuSa_2024!BQ:BQ,MATCH($B221,[1]SuSa_2024!$B:$B,0)),"0")</f>
        <v>0</v>
      </c>
      <c r="AN221" s="8">
        <f>IFERROR(INDEX([1]SuSa_2024!BR:BR,MATCH($B221,[1]SuSa_2024!$B:$B,0)),"0")</f>
        <v>0</v>
      </c>
      <c r="AO221" s="8">
        <f>IFERROR(INDEX([1]SuSa_2024!BS:BS,MATCH($B221,[1]SuSa_2024!$B:$B,0)),"0")</f>
        <v>0</v>
      </c>
      <c r="AP221" s="8">
        <f>IFERROR(INDEX([1]SuSa_2024!BT:BT,MATCH($B221,[1]SuSa_2024!$B:$B,0)),"0")</f>
        <v>0</v>
      </c>
      <c r="AQ221" s="8">
        <f>IFERROR(INDEX([1]SuSa_2024!BU:BU,MATCH($B221,[1]SuSa_2024!$B:$B,0)),"0")</f>
        <v>0</v>
      </c>
      <c r="AR221" s="8">
        <f>IFERROR(INDEX([1]SuSa_2024!BV:BV,MATCH($B221,[1]SuSa_2024!$B:$B,0)),"0")</f>
        <v>0</v>
      </c>
      <c r="AS221" s="8">
        <f>IFERROR(INDEX([1]SuSa_2024!BW:BW,MATCH($B221,[1]SuSa_2024!$B:$B,0)),"0")</f>
        <v>0</v>
      </c>
      <c r="AT221" s="8">
        <f>IFERROR(INDEX([1]SuSa_2024!BX:BX,MATCH($B221,[1]SuSa_2024!$B:$B,0)),"0")</f>
        <v>0</v>
      </c>
      <c r="AU221" s="8">
        <f>IFERROR(INDEX([1]SuSa_2024!BY:BY,MATCH($B221,[1]SuSa_2024!$B:$B,0)),"0")</f>
        <v>1391.29</v>
      </c>
      <c r="AV221" s="8">
        <f>IFERROR(INDEX([1]SuSa_2025!AR:AR,MATCH($B221,[1]SuSa_2025!$B:$B,0)),"0")</f>
        <v>0</v>
      </c>
      <c r="AW221" s="8">
        <f>IFERROR(INDEX([1]SuSa_2025!AS:AS,MATCH($B221,[1]SuSa_2025!$B:$B,0)),"0")</f>
        <v>0</v>
      </c>
      <c r="AX221" s="8">
        <f>IFERROR(INDEX([1]SuSa_2025!AT:AT,MATCH($B221,[1]SuSa_2025!$B:$B,0)),"0")</f>
        <v>0</v>
      </c>
      <c r="AY221" s="8">
        <f>IFERROR(INDEX([1]SuSa_2025!AU:AU,MATCH($B221,[1]SuSa_2025!$B:$B,0)),"0")</f>
        <v>0</v>
      </c>
      <c r="AZ221" s="8">
        <f>IFERROR(INDEX([1]SuSa_2025!AV:AV,MATCH($B221,[1]SuSa_2025!$B:$B,0)),"0")</f>
        <v>0</v>
      </c>
      <c r="BA221" s="8">
        <f>IFERROR(INDEX([1]SuSa_2025!AW:AW,MATCH($B221,[1]SuSa_2025!$B:$B,0)),"0")</f>
        <v>0</v>
      </c>
      <c r="BB221" s="8">
        <f>IFERROR(INDEX([1]SuSa_2025!AX:AX,MATCH($B221,[1]SuSa_2025!$B:$B,0)),"0")</f>
        <v>0</v>
      </c>
    </row>
    <row r="222" spans="1:54" outlineLevel="1" collapsed="1" x14ac:dyDescent="0.25">
      <c r="A222" s="5" t="s">
        <v>670</v>
      </c>
      <c r="B222" s="6" t="s">
        <v>675</v>
      </c>
      <c r="C222" t="s">
        <v>676</v>
      </c>
      <c r="F222" s="7">
        <f t="shared" si="19"/>
        <v>1577.58</v>
      </c>
      <c r="G222" s="7">
        <f t="shared" si="20"/>
        <v>136.19999999999999</v>
      </c>
      <c r="H222" s="7">
        <f t="shared" si="21"/>
        <v>0</v>
      </c>
      <c r="I222" s="7" t="str">
        <f t="shared" si="17"/>
        <v>0</v>
      </c>
      <c r="J222" s="8">
        <f t="shared" si="16"/>
        <v>0</v>
      </c>
      <c r="K222" s="8">
        <f t="shared" si="18"/>
        <v>0</v>
      </c>
      <c r="N222" s="8">
        <v>544.65</v>
      </c>
      <c r="O222" s="8">
        <v>544.65</v>
      </c>
      <c r="P222" s="8">
        <v>764.56</v>
      </c>
      <c r="Q222" s="8">
        <v>1071.32</v>
      </c>
      <c r="R222" s="8">
        <v>1089.55</v>
      </c>
      <c r="S222" s="8">
        <v>1172.54</v>
      </c>
      <c r="T222" s="8">
        <v>1409.45</v>
      </c>
      <c r="U222" s="8">
        <v>1409.45</v>
      </c>
      <c r="V222" s="8">
        <v>1409.45</v>
      </c>
      <c r="W222" s="8">
        <v>1577.58</v>
      </c>
      <c r="AI222" s="8">
        <v>136.19999999999999</v>
      </c>
      <c r="AJ222" s="8">
        <f>IFERROR(INDEX([1]SuSa_2024!BN:BN,MATCH($B222,[1]SuSa_2024!$B:$B,0)),"0")</f>
        <v>0</v>
      </c>
      <c r="AK222" s="8">
        <f>IFERROR(INDEX([1]SuSa_2024!BO:BO,MATCH($B222,[1]SuSa_2024!$B:$B,0)),"0")</f>
        <v>0</v>
      </c>
      <c r="AL222" s="8">
        <f>IFERROR(INDEX([1]SuSa_2024!BP:BP,MATCH($B222,[1]SuSa_2024!$B:$B,0)),"0")</f>
        <v>0</v>
      </c>
      <c r="AM222" s="8">
        <f>IFERROR(INDEX([1]SuSa_2024!BQ:BQ,MATCH($B222,[1]SuSa_2024!$B:$B,0)),"0")</f>
        <v>0</v>
      </c>
      <c r="AN222" s="8">
        <f>IFERROR(INDEX([1]SuSa_2024!BR:BR,MATCH($B222,[1]SuSa_2024!$B:$B,0)),"0")</f>
        <v>0</v>
      </c>
      <c r="AO222" s="8">
        <f>IFERROR(INDEX([1]SuSa_2024!BS:BS,MATCH($B222,[1]SuSa_2024!$B:$B,0)),"0")</f>
        <v>0</v>
      </c>
      <c r="AP222" s="8">
        <f>IFERROR(INDEX([1]SuSa_2024!BT:BT,MATCH($B222,[1]SuSa_2024!$B:$B,0)),"0")</f>
        <v>0</v>
      </c>
      <c r="AQ222" s="8">
        <f>IFERROR(INDEX([1]SuSa_2024!BU:BU,MATCH($B222,[1]SuSa_2024!$B:$B,0)),"0")</f>
        <v>0</v>
      </c>
      <c r="AR222" s="8">
        <f>IFERROR(INDEX([1]SuSa_2024!BV:BV,MATCH($B222,[1]SuSa_2024!$B:$B,0)),"0")</f>
        <v>0</v>
      </c>
      <c r="AS222" s="8">
        <f>IFERROR(INDEX([1]SuSa_2024!BW:BW,MATCH($B222,[1]SuSa_2024!$B:$B,0)),"0")</f>
        <v>0</v>
      </c>
      <c r="AT222" s="8">
        <f>IFERROR(INDEX([1]SuSa_2024!BX:BX,MATCH($B222,[1]SuSa_2024!$B:$B,0)),"0")</f>
        <v>0</v>
      </c>
      <c r="AU222" s="8">
        <f>IFERROR(INDEX([1]SuSa_2024!BY:BY,MATCH($B222,[1]SuSa_2024!$B:$B,0)),"0")</f>
        <v>0</v>
      </c>
      <c r="AV222" s="8" t="str">
        <f>IFERROR(INDEX([1]SuSa_2025!AR:AR,MATCH($B222,[1]SuSa_2025!$B:$B,0)),"0")</f>
        <v>0</v>
      </c>
      <c r="AW222" s="8" t="str">
        <f>IFERROR(INDEX([1]SuSa_2025!AS:AS,MATCH($B222,[1]SuSa_2025!$B:$B,0)),"0")</f>
        <v>0</v>
      </c>
      <c r="AX222" s="8" t="str">
        <f>IFERROR(INDEX([1]SuSa_2025!AT:AT,MATCH($B222,[1]SuSa_2025!$B:$B,0)),"0")</f>
        <v>0</v>
      </c>
      <c r="AY222" s="8" t="str">
        <f>IFERROR(INDEX([1]SuSa_2025!AU:AU,MATCH($B222,[1]SuSa_2025!$B:$B,0)),"0")</f>
        <v>0</v>
      </c>
      <c r="AZ222" s="8" t="str">
        <f>IFERROR(INDEX([1]SuSa_2025!AV:AV,MATCH($B222,[1]SuSa_2025!$B:$B,0)),"0")</f>
        <v>0</v>
      </c>
      <c r="BA222" s="8" t="str">
        <f>IFERROR(INDEX([1]SuSa_2025!AW:AW,MATCH($B222,[1]SuSa_2025!$B:$B,0)),"0")</f>
        <v>0</v>
      </c>
      <c r="BB222" s="8" t="str">
        <f>IFERROR(INDEX([1]SuSa_2025!AX:AX,MATCH($B222,[1]SuSa_2025!$B:$B,0)),"0")</f>
        <v>0</v>
      </c>
    </row>
    <row r="223" spans="1:54" outlineLevel="1" collapsed="1" x14ac:dyDescent="0.25">
      <c r="A223" s="5" t="s">
        <v>670</v>
      </c>
      <c r="B223" s="6" t="s">
        <v>677</v>
      </c>
      <c r="C223" t="s">
        <v>678</v>
      </c>
      <c r="F223" s="7">
        <f t="shared" si="19"/>
        <v>871.57</v>
      </c>
      <c r="G223" s="7">
        <f t="shared" si="20"/>
        <v>39.6</v>
      </c>
      <c r="H223" s="7">
        <f t="shared" si="21"/>
        <v>0</v>
      </c>
      <c r="I223" s="7" t="str">
        <f t="shared" si="17"/>
        <v>0</v>
      </c>
      <c r="J223" s="8">
        <f t="shared" si="16"/>
        <v>0</v>
      </c>
      <c r="K223" s="8">
        <f t="shared" si="18"/>
        <v>0</v>
      </c>
      <c r="Q223" s="8">
        <v>871.57</v>
      </c>
      <c r="R223" s="8">
        <v>871.57</v>
      </c>
      <c r="S223" s="8">
        <v>871.57</v>
      </c>
      <c r="T223" s="8">
        <v>871.57</v>
      </c>
      <c r="U223" s="8">
        <v>871.57</v>
      </c>
      <c r="V223" s="8">
        <v>871.57</v>
      </c>
      <c r="W223" s="8">
        <v>871.57</v>
      </c>
      <c r="AI223" s="8">
        <v>39.6</v>
      </c>
      <c r="AJ223" s="8">
        <f>IFERROR(INDEX([1]SuSa_2024!BN:BN,MATCH($B223,[1]SuSa_2024!$B:$B,0)),"0")</f>
        <v>0</v>
      </c>
      <c r="AK223" s="8">
        <f>IFERROR(INDEX([1]SuSa_2024!BO:BO,MATCH($B223,[1]SuSa_2024!$B:$B,0)),"0")</f>
        <v>0</v>
      </c>
      <c r="AL223" s="8">
        <f>IFERROR(INDEX([1]SuSa_2024!BP:BP,MATCH($B223,[1]SuSa_2024!$B:$B,0)),"0")</f>
        <v>0</v>
      </c>
      <c r="AM223" s="8">
        <f>IFERROR(INDEX([1]SuSa_2024!BQ:BQ,MATCH($B223,[1]SuSa_2024!$B:$B,0)),"0")</f>
        <v>0</v>
      </c>
      <c r="AN223" s="8">
        <f>IFERROR(INDEX([1]SuSa_2024!BR:BR,MATCH($B223,[1]SuSa_2024!$B:$B,0)),"0")</f>
        <v>0</v>
      </c>
      <c r="AO223" s="8">
        <f>IFERROR(INDEX([1]SuSa_2024!BS:BS,MATCH($B223,[1]SuSa_2024!$B:$B,0)),"0")</f>
        <v>0</v>
      </c>
      <c r="AP223" s="8">
        <f>IFERROR(INDEX([1]SuSa_2024!BT:BT,MATCH($B223,[1]SuSa_2024!$B:$B,0)),"0")</f>
        <v>0</v>
      </c>
      <c r="AQ223" s="8">
        <f>IFERROR(INDEX([1]SuSa_2024!BU:BU,MATCH($B223,[1]SuSa_2024!$B:$B,0)),"0")</f>
        <v>0</v>
      </c>
      <c r="AR223" s="8">
        <f>IFERROR(INDEX([1]SuSa_2024!BV:BV,MATCH($B223,[1]SuSa_2024!$B:$B,0)),"0")</f>
        <v>0</v>
      </c>
      <c r="AS223" s="8">
        <f>IFERROR(INDEX([1]SuSa_2024!BW:BW,MATCH($B223,[1]SuSa_2024!$B:$B,0)),"0")</f>
        <v>0</v>
      </c>
      <c r="AT223" s="8">
        <f>IFERROR(INDEX([1]SuSa_2024!BX:BX,MATCH($B223,[1]SuSa_2024!$B:$B,0)),"0")</f>
        <v>0</v>
      </c>
      <c r="AU223" s="8">
        <f>IFERROR(INDEX([1]SuSa_2024!BY:BY,MATCH($B223,[1]SuSa_2024!$B:$B,0)),"0")</f>
        <v>0</v>
      </c>
      <c r="AV223" s="8" t="str">
        <f>IFERROR(INDEX([1]SuSa_2025!AR:AR,MATCH($B223,[1]SuSa_2025!$B:$B,0)),"0")</f>
        <v>0</v>
      </c>
      <c r="AW223" s="8" t="str">
        <f>IFERROR(INDEX([1]SuSa_2025!AS:AS,MATCH($B223,[1]SuSa_2025!$B:$B,0)),"0")</f>
        <v>0</v>
      </c>
      <c r="AX223" s="8" t="str">
        <f>IFERROR(INDEX([1]SuSa_2025!AT:AT,MATCH($B223,[1]SuSa_2025!$B:$B,0)),"0")</f>
        <v>0</v>
      </c>
      <c r="AY223" s="8" t="str">
        <f>IFERROR(INDEX([1]SuSa_2025!AU:AU,MATCH($B223,[1]SuSa_2025!$B:$B,0)),"0")</f>
        <v>0</v>
      </c>
      <c r="AZ223" s="8" t="str">
        <f>IFERROR(INDEX([1]SuSa_2025!AV:AV,MATCH($B223,[1]SuSa_2025!$B:$B,0)),"0")</f>
        <v>0</v>
      </c>
      <c r="BA223" s="8" t="str">
        <f>IFERROR(INDEX([1]SuSa_2025!AW:AW,MATCH($B223,[1]SuSa_2025!$B:$B,0)),"0")</f>
        <v>0</v>
      </c>
      <c r="BB223" s="8" t="str">
        <f>IFERROR(INDEX([1]SuSa_2025!AX:AX,MATCH($B223,[1]SuSa_2025!$B:$B,0)),"0")</f>
        <v>0</v>
      </c>
    </row>
    <row r="224" spans="1:54" outlineLevel="1" collapsed="1" x14ac:dyDescent="0.25">
      <c r="A224" s="5" t="s">
        <v>679</v>
      </c>
      <c r="B224" s="6" t="s">
        <v>680</v>
      </c>
      <c r="C224" t="s">
        <v>681</v>
      </c>
      <c r="F224" s="7">
        <f t="shared" si="19"/>
        <v>224</v>
      </c>
      <c r="G224" s="7">
        <f t="shared" si="20"/>
        <v>0</v>
      </c>
      <c r="H224" s="7" t="str">
        <f t="shared" si="21"/>
        <v>0</v>
      </c>
      <c r="I224" s="7" t="str">
        <f t="shared" si="17"/>
        <v>0</v>
      </c>
      <c r="J224" s="8">
        <f t="shared" ref="J224:J287" si="22">H224+I224-AP224</f>
        <v>0</v>
      </c>
      <c r="K224" s="8" t="str">
        <f t="shared" si="18"/>
        <v>0</v>
      </c>
      <c r="P224" s="8">
        <v>56</v>
      </c>
      <c r="Q224" s="8">
        <v>224</v>
      </c>
      <c r="R224" s="8">
        <v>224</v>
      </c>
      <c r="S224" s="8">
        <v>224</v>
      </c>
      <c r="T224" s="8">
        <v>224</v>
      </c>
      <c r="U224" s="8">
        <v>224</v>
      </c>
      <c r="V224" s="8">
        <v>224</v>
      </c>
      <c r="W224" s="8">
        <v>224</v>
      </c>
      <c r="AJ224" s="8" t="str">
        <f>IFERROR(INDEX([1]SuSa_2024!BN:BN,MATCH($B224,[1]SuSa_2024!$B:$B,0)),"0")</f>
        <v>0</v>
      </c>
      <c r="AK224" s="8" t="str">
        <f>IFERROR(INDEX([1]SuSa_2024!BO:BO,MATCH($B224,[1]SuSa_2024!$B:$B,0)),"0")</f>
        <v>0</v>
      </c>
      <c r="AL224" s="8" t="str">
        <f>IFERROR(INDEX([1]SuSa_2024!BP:BP,MATCH($B224,[1]SuSa_2024!$B:$B,0)),"0")</f>
        <v>0</v>
      </c>
      <c r="AM224" s="8" t="str">
        <f>IFERROR(INDEX([1]SuSa_2024!BQ:BQ,MATCH($B224,[1]SuSa_2024!$B:$B,0)),"0")</f>
        <v>0</v>
      </c>
      <c r="AN224" s="8" t="str">
        <f>IFERROR(INDEX([1]SuSa_2024!BR:BR,MATCH($B224,[1]SuSa_2024!$B:$B,0)),"0")</f>
        <v>0</v>
      </c>
      <c r="AO224" s="8" t="str">
        <f>IFERROR(INDEX([1]SuSa_2024!BS:BS,MATCH($B224,[1]SuSa_2024!$B:$B,0)),"0")</f>
        <v>0</v>
      </c>
      <c r="AP224" s="8" t="str">
        <f>IFERROR(INDEX([1]SuSa_2024!BT:BT,MATCH($B224,[1]SuSa_2024!$B:$B,0)),"0")</f>
        <v>0</v>
      </c>
      <c r="AQ224" s="8" t="str">
        <f>IFERROR(INDEX([1]SuSa_2024!BU:BU,MATCH($B224,[1]SuSa_2024!$B:$B,0)),"0")</f>
        <v>0</v>
      </c>
      <c r="AR224" s="8" t="str">
        <f>IFERROR(INDEX([1]SuSa_2024!BV:BV,MATCH($B224,[1]SuSa_2024!$B:$B,0)),"0")</f>
        <v>0</v>
      </c>
      <c r="AS224" s="8" t="str">
        <f>IFERROR(INDEX([1]SuSa_2024!BW:BW,MATCH($B224,[1]SuSa_2024!$B:$B,0)),"0")</f>
        <v>0</v>
      </c>
      <c r="AT224" s="8" t="str">
        <f>IFERROR(INDEX([1]SuSa_2024!BX:BX,MATCH($B224,[1]SuSa_2024!$B:$B,0)),"0")</f>
        <v>0</v>
      </c>
      <c r="AU224" s="8" t="str">
        <f>IFERROR(INDEX([1]SuSa_2024!BY:BY,MATCH($B224,[1]SuSa_2024!$B:$B,0)),"0")</f>
        <v>0</v>
      </c>
      <c r="AV224" s="8" t="str">
        <f>IFERROR(INDEX([1]SuSa_2025!AR:AR,MATCH($B224,[1]SuSa_2025!$B:$B,0)),"0")</f>
        <v>0</v>
      </c>
      <c r="AW224" s="8" t="str">
        <f>IFERROR(INDEX([1]SuSa_2025!AS:AS,MATCH($B224,[1]SuSa_2025!$B:$B,0)),"0")</f>
        <v>0</v>
      </c>
      <c r="AX224" s="8" t="str">
        <f>IFERROR(INDEX([1]SuSa_2025!AT:AT,MATCH($B224,[1]SuSa_2025!$B:$B,0)),"0")</f>
        <v>0</v>
      </c>
      <c r="AY224" s="8" t="str">
        <f>IFERROR(INDEX([1]SuSa_2025!AU:AU,MATCH($B224,[1]SuSa_2025!$B:$B,0)),"0")</f>
        <v>0</v>
      </c>
      <c r="AZ224" s="8" t="str">
        <f>IFERROR(INDEX([1]SuSa_2025!AV:AV,MATCH($B224,[1]SuSa_2025!$B:$B,0)),"0")</f>
        <v>0</v>
      </c>
      <c r="BA224" s="8" t="str">
        <f>IFERROR(INDEX([1]SuSa_2025!AW:AW,MATCH($B224,[1]SuSa_2025!$B:$B,0)),"0")</f>
        <v>0</v>
      </c>
      <c r="BB224" s="8" t="str">
        <f>IFERROR(INDEX([1]SuSa_2025!AX:AX,MATCH($B224,[1]SuSa_2025!$B:$B,0)),"0")</f>
        <v>0</v>
      </c>
    </row>
    <row r="225" spans="1:54" outlineLevel="1" collapsed="1" x14ac:dyDescent="0.25">
      <c r="A225" s="5" t="s">
        <v>679</v>
      </c>
      <c r="B225" s="6" t="s">
        <v>682</v>
      </c>
      <c r="C225" t="s">
        <v>683</v>
      </c>
      <c r="F225" s="7">
        <f t="shared" si="19"/>
        <v>405.6</v>
      </c>
      <c r="G225" s="7">
        <f t="shared" si="20"/>
        <v>405.05</v>
      </c>
      <c r="H225" s="7">
        <f t="shared" si="21"/>
        <v>84</v>
      </c>
      <c r="I225" s="7">
        <f t="shared" si="17"/>
        <v>82.31</v>
      </c>
      <c r="J225" s="8">
        <f t="shared" si="22"/>
        <v>82.31</v>
      </c>
      <c r="K225" s="8">
        <f t="shared" si="18"/>
        <v>84</v>
      </c>
      <c r="R225" s="8">
        <v>148</v>
      </c>
      <c r="S225" s="8">
        <v>148</v>
      </c>
      <c r="T225" s="8">
        <v>232</v>
      </c>
      <c r="U225" s="8">
        <v>232</v>
      </c>
      <c r="V225" s="8">
        <v>232</v>
      </c>
      <c r="W225" s="8">
        <v>405.6</v>
      </c>
      <c r="Z225" s="8">
        <v>67.2</v>
      </c>
      <c r="AA225" s="8">
        <v>67.2</v>
      </c>
      <c r="AB225" s="8">
        <v>123.2</v>
      </c>
      <c r="AC225" s="8">
        <v>207.2</v>
      </c>
      <c r="AD225" s="8">
        <v>263.2</v>
      </c>
      <c r="AE225" s="8">
        <v>274.39999999999998</v>
      </c>
      <c r="AF225" s="8">
        <v>308</v>
      </c>
      <c r="AG225" s="8">
        <v>569.79999999999995</v>
      </c>
      <c r="AH225" s="8">
        <v>567.79999999999995</v>
      </c>
      <c r="AI225" s="8">
        <v>405.05</v>
      </c>
      <c r="AJ225" s="8">
        <f>IFERROR(INDEX([1]SuSa_2024!BN:BN,MATCH($B225,[1]SuSa_2024!$B:$B,0)),"0")</f>
        <v>0</v>
      </c>
      <c r="AK225" s="8">
        <f>IFERROR(INDEX([1]SuSa_2024!BO:BO,MATCH($B225,[1]SuSa_2024!$B:$B,0)),"0")</f>
        <v>0</v>
      </c>
      <c r="AL225" s="8">
        <f>IFERROR(INDEX([1]SuSa_2024!BP:BP,MATCH($B225,[1]SuSa_2024!$B:$B,0)),"0")</f>
        <v>28</v>
      </c>
      <c r="AM225" s="8">
        <f>IFERROR(INDEX([1]SuSa_2024!BQ:BQ,MATCH($B225,[1]SuSa_2024!$B:$B,0)),"0")</f>
        <v>56</v>
      </c>
      <c r="AN225" s="8">
        <f>IFERROR(INDEX([1]SuSa_2024!BR:BR,MATCH($B225,[1]SuSa_2024!$B:$B,0)),"0")</f>
        <v>56</v>
      </c>
      <c r="AO225" s="8">
        <f>IFERROR(INDEX([1]SuSa_2024!BS:BS,MATCH($B225,[1]SuSa_2024!$B:$B,0)),"0")</f>
        <v>84</v>
      </c>
      <c r="AP225" s="8">
        <f>IFERROR(INDEX([1]SuSa_2024!BT:BT,MATCH($B225,[1]SuSa_2024!$B:$B,0)),"0")</f>
        <v>84</v>
      </c>
      <c r="AQ225" s="8">
        <f>IFERROR(INDEX([1]SuSa_2024!BU:BU,MATCH($B225,[1]SuSa_2024!$B:$B,0)),"0")</f>
        <v>84</v>
      </c>
      <c r="AR225" s="8">
        <f>IFERROR(INDEX([1]SuSa_2024!BV:BV,MATCH($B225,[1]SuSa_2024!$B:$B,0)),"0")</f>
        <v>84</v>
      </c>
      <c r="AS225" s="8">
        <f>IFERROR(INDEX([1]SuSa_2024!BW:BW,MATCH($B225,[1]SuSa_2024!$B:$B,0)),"0")</f>
        <v>84</v>
      </c>
      <c r="AT225" s="8">
        <f>IFERROR(INDEX([1]SuSa_2024!BX:BX,MATCH($B225,[1]SuSa_2024!$B:$B,0)),"0")</f>
        <v>84</v>
      </c>
      <c r="AU225" s="8">
        <f>IFERROR(INDEX([1]SuSa_2024!BY:BY,MATCH($B225,[1]SuSa_2024!$B:$B,0)),"0")</f>
        <v>84</v>
      </c>
      <c r="AV225" s="8">
        <f>IFERROR(INDEX([1]SuSa_2025!AR:AR,MATCH($B225,[1]SuSa_2025!$B:$B,0)),"0")</f>
        <v>0</v>
      </c>
      <c r="AW225" s="8">
        <f>IFERROR(INDEX([1]SuSa_2025!AS:AS,MATCH($B225,[1]SuSa_2025!$B:$B,0)),"0")</f>
        <v>71.36</v>
      </c>
      <c r="AX225" s="8">
        <f>IFERROR(INDEX([1]SuSa_2025!AT:AT,MATCH($B225,[1]SuSa_2025!$B:$B,0)),"0")</f>
        <v>82.31</v>
      </c>
      <c r="AY225" s="8">
        <f>IFERROR(INDEX([1]SuSa_2025!AU:AU,MATCH($B225,[1]SuSa_2025!$B:$B,0)),"0")</f>
        <v>82.31</v>
      </c>
      <c r="AZ225" s="8">
        <f>IFERROR(INDEX([1]SuSa_2025!AV:AV,MATCH($B225,[1]SuSa_2025!$B:$B,0)),"0")</f>
        <v>82.31</v>
      </c>
      <c r="BA225" s="8">
        <f>IFERROR(INDEX([1]SuSa_2025!AW:AW,MATCH($B225,[1]SuSa_2025!$B:$B,0)),"0")</f>
        <v>82.31</v>
      </c>
      <c r="BB225" s="8">
        <f>IFERROR(INDEX([1]SuSa_2025!AX:AX,MATCH($B225,[1]SuSa_2025!$B:$B,0)),"0")</f>
        <v>82.31</v>
      </c>
    </row>
    <row r="226" spans="1:54" outlineLevel="1" collapsed="1" x14ac:dyDescent="0.25">
      <c r="A226" s="5" t="s">
        <v>679</v>
      </c>
      <c r="B226" s="6" t="s">
        <v>684</v>
      </c>
      <c r="C226" t="s">
        <v>685</v>
      </c>
      <c r="F226" s="7">
        <f t="shared" si="19"/>
        <v>0</v>
      </c>
      <c r="G226" s="7">
        <f t="shared" si="20"/>
        <v>291.2</v>
      </c>
      <c r="H226" s="7">
        <f t="shared" si="21"/>
        <v>0</v>
      </c>
      <c r="I226" s="7" t="str">
        <f t="shared" si="17"/>
        <v>0</v>
      </c>
      <c r="J226" s="8">
        <f t="shared" si="22"/>
        <v>0</v>
      </c>
      <c r="K226" s="8">
        <f t="shared" si="18"/>
        <v>0</v>
      </c>
      <c r="Z226" s="8">
        <v>235.2</v>
      </c>
      <c r="AA226" s="8">
        <v>291.2</v>
      </c>
      <c r="AB226" s="8">
        <v>291.2</v>
      </c>
      <c r="AC226" s="8">
        <v>291.2</v>
      </c>
      <c r="AD226" s="8">
        <v>291.2</v>
      </c>
      <c r="AE226" s="8">
        <v>291.2</v>
      </c>
      <c r="AF226" s="8">
        <v>291.2</v>
      </c>
      <c r="AG226" s="8">
        <v>291.2</v>
      </c>
      <c r="AH226" s="8">
        <v>291.2</v>
      </c>
      <c r="AI226" s="8">
        <v>291.2</v>
      </c>
      <c r="AJ226" s="8">
        <f>IFERROR(INDEX([1]SuSa_2024!BN:BN,MATCH($B226,[1]SuSa_2024!$B:$B,0)),"0")</f>
        <v>0</v>
      </c>
      <c r="AK226" s="8">
        <f>IFERROR(INDEX([1]SuSa_2024!BO:BO,MATCH($B226,[1]SuSa_2024!$B:$B,0)),"0")</f>
        <v>0</v>
      </c>
      <c r="AL226" s="8">
        <f>IFERROR(INDEX([1]SuSa_2024!BP:BP,MATCH($B226,[1]SuSa_2024!$B:$B,0)),"0")</f>
        <v>0</v>
      </c>
      <c r="AM226" s="8">
        <f>IFERROR(INDEX([1]SuSa_2024!BQ:BQ,MATCH($B226,[1]SuSa_2024!$B:$B,0)),"0")</f>
        <v>0</v>
      </c>
      <c r="AN226" s="8">
        <f>IFERROR(INDEX([1]SuSa_2024!BR:BR,MATCH($B226,[1]SuSa_2024!$B:$B,0)),"0")</f>
        <v>0</v>
      </c>
      <c r="AO226" s="8">
        <f>IFERROR(INDEX([1]SuSa_2024!BS:BS,MATCH($B226,[1]SuSa_2024!$B:$B,0)),"0")</f>
        <v>0</v>
      </c>
      <c r="AP226" s="8">
        <f>IFERROR(INDEX([1]SuSa_2024!BT:BT,MATCH($B226,[1]SuSa_2024!$B:$B,0)),"0")</f>
        <v>0</v>
      </c>
      <c r="AQ226" s="8">
        <f>IFERROR(INDEX([1]SuSa_2024!BU:BU,MATCH($B226,[1]SuSa_2024!$B:$B,0)),"0")</f>
        <v>0</v>
      </c>
      <c r="AR226" s="8">
        <f>IFERROR(INDEX([1]SuSa_2024!BV:BV,MATCH($B226,[1]SuSa_2024!$B:$B,0)),"0")</f>
        <v>0</v>
      </c>
      <c r="AS226" s="8">
        <f>IFERROR(INDEX([1]SuSa_2024!BW:BW,MATCH($B226,[1]SuSa_2024!$B:$B,0)),"0")</f>
        <v>0</v>
      </c>
      <c r="AT226" s="8">
        <f>IFERROR(INDEX([1]SuSa_2024!BX:BX,MATCH($B226,[1]SuSa_2024!$B:$B,0)),"0")</f>
        <v>0</v>
      </c>
      <c r="AU226" s="8">
        <f>IFERROR(INDEX([1]SuSa_2024!BY:BY,MATCH($B226,[1]SuSa_2024!$B:$B,0)),"0")</f>
        <v>0</v>
      </c>
      <c r="AV226" s="8" t="str">
        <f>IFERROR(INDEX([1]SuSa_2025!AR:AR,MATCH($B226,[1]SuSa_2025!$B:$B,0)),"0")</f>
        <v>0</v>
      </c>
      <c r="AW226" s="8" t="str">
        <f>IFERROR(INDEX([1]SuSa_2025!AS:AS,MATCH($B226,[1]SuSa_2025!$B:$B,0)),"0")</f>
        <v>0</v>
      </c>
      <c r="AX226" s="8" t="str">
        <f>IFERROR(INDEX([1]SuSa_2025!AT:AT,MATCH($B226,[1]SuSa_2025!$B:$B,0)),"0")</f>
        <v>0</v>
      </c>
      <c r="AY226" s="8" t="str">
        <f>IFERROR(INDEX([1]SuSa_2025!AU:AU,MATCH($B226,[1]SuSa_2025!$B:$B,0)),"0")</f>
        <v>0</v>
      </c>
      <c r="AZ226" s="8" t="str">
        <f>IFERROR(INDEX([1]SuSa_2025!AV:AV,MATCH($B226,[1]SuSa_2025!$B:$B,0)),"0")</f>
        <v>0</v>
      </c>
      <c r="BA226" s="8" t="str">
        <f>IFERROR(INDEX([1]SuSa_2025!AW:AW,MATCH($B226,[1]SuSa_2025!$B:$B,0)),"0")</f>
        <v>0</v>
      </c>
      <c r="BB226" s="8" t="str">
        <f>IFERROR(INDEX([1]SuSa_2025!AX:AX,MATCH($B226,[1]SuSa_2025!$B:$B,0)),"0")</f>
        <v>0</v>
      </c>
    </row>
    <row r="227" spans="1:54" outlineLevel="1" collapsed="1" x14ac:dyDescent="0.25">
      <c r="A227" s="5" t="s">
        <v>686</v>
      </c>
      <c r="B227" s="6" t="s">
        <v>687</v>
      </c>
      <c r="C227" t="s">
        <v>688</v>
      </c>
      <c r="F227" s="7">
        <f t="shared" si="19"/>
        <v>6115.57</v>
      </c>
      <c r="G227" s="7">
        <f t="shared" si="20"/>
        <v>4387.04</v>
      </c>
      <c r="H227" s="7">
        <f t="shared" si="21"/>
        <v>561.26999999999987</v>
      </c>
      <c r="I227" s="7">
        <f t="shared" si="17"/>
        <v>124</v>
      </c>
      <c r="J227" s="8">
        <f t="shared" si="22"/>
        <v>128.67999999999995</v>
      </c>
      <c r="K227" s="8">
        <f t="shared" si="18"/>
        <v>556.58999999999992</v>
      </c>
      <c r="P227" s="8">
        <v>1234.08</v>
      </c>
      <c r="Q227" s="8">
        <v>1234.08</v>
      </c>
      <c r="R227" s="8">
        <v>1949.55</v>
      </c>
      <c r="S227" s="8">
        <v>2032.73</v>
      </c>
      <c r="T227" s="8">
        <v>5375.99</v>
      </c>
      <c r="U227" s="8">
        <v>5659.59</v>
      </c>
      <c r="V227" s="8">
        <v>5909.59</v>
      </c>
      <c r="W227" s="8">
        <v>6115.57</v>
      </c>
      <c r="X227" s="8">
        <v>97.91</v>
      </c>
      <c r="Y227" s="8">
        <v>430.62</v>
      </c>
      <c r="Z227" s="8">
        <v>853.72</v>
      </c>
      <c r="AA227" s="8">
        <v>942.72</v>
      </c>
      <c r="AB227" s="8">
        <v>1375.9</v>
      </c>
      <c r="AC227" s="8">
        <v>1468.42</v>
      </c>
      <c r="AD227" s="8">
        <v>1672.16</v>
      </c>
      <c r="AE227" s="8">
        <v>2326.29</v>
      </c>
      <c r="AF227" s="8">
        <v>3449.48</v>
      </c>
      <c r="AG227" s="8">
        <v>4148.49</v>
      </c>
      <c r="AH227" s="8">
        <v>4148.6400000000003</v>
      </c>
      <c r="AI227" s="8">
        <v>4387.04</v>
      </c>
      <c r="AJ227" s="8">
        <f>IFERROR(INDEX([1]SuSa_2024!BN:BN,MATCH($B227,[1]SuSa_2024!$B:$B,0)),"0")</f>
        <v>76.08</v>
      </c>
      <c r="AK227" s="8">
        <f>IFERROR(INDEX([1]SuSa_2024!BO:BO,MATCH($B227,[1]SuSa_2024!$B:$B,0)),"0")</f>
        <v>254.33999999999997</v>
      </c>
      <c r="AL227" s="8">
        <f>IFERROR(INDEX([1]SuSa_2024!BP:BP,MATCH($B227,[1]SuSa_2024!$B:$B,0)),"0")</f>
        <v>440.40999999999997</v>
      </c>
      <c r="AM227" s="8">
        <f>IFERROR(INDEX([1]SuSa_2024!BQ:BQ,MATCH($B227,[1]SuSa_2024!$B:$B,0)),"0")</f>
        <v>440.40999999999997</v>
      </c>
      <c r="AN227" s="8">
        <f>IFERROR(INDEX([1]SuSa_2024!BR:BR,MATCH($B227,[1]SuSa_2024!$B:$B,0)),"0")</f>
        <v>440.40999999999997</v>
      </c>
      <c r="AO227" s="8">
        <f>IFERROR(INDEX([1]SuSa_2024!BS:BS,MATCH($B227,[1]SuSa_2024!$B:$B,0)),"0")</f>
        <v>556.58999999999992</v>
      </c>
      <c r="AP227" s="8">
        <f>IFERROR(INDEX([1]SuSa_2024!BT:BT,MATCH($B227,[1]SuSa_2024!$B:$B,0)),"0")</f>
        <v>556.58999999999992</v>
      </c>
      <c r="AQ227" s="8">
        <f>IFERROR(INDEX([1]SuSa_2024!BU:BU,MATCH($B227,[1]SuSa_2024!$B:$B,0)),"0")</f>
        <v>556.58999999999992</v>
      </c>
      <c r="AR227" s="8">
        <f>IFERROR(INDEX([1]SuSa_2024!BV:BV,MATCH($B227,[1]SuSa_2024!$B:$B,0)),"0")</f>
        <v>556.58999999999992</v>
      </c>
      <c r="AS227" s="8">
        <f>IFERROR(INDEX([1]SuSa_2024!BW:BW,MATCH($B227,[1]SuSa_2024!$B:$B,0)),"0")</f>
        <v>556.58999999999992</v>
      </c>
      <c r="AT227" s="8">
        <f>IFERROR(INDEX([1]SuSa_2024!BX:BX,MATCH($B227,[1]SuSa_2024!$B:$B,0)),"0")</f>
        <v>556.58999999999992</v>
      </c>
      <c r="AU227" s="8">
        <f>IFERROR(INDEX([1]SuSa_2024!BY:BY,MATCH($B227,[1]SuSa_2024!$B:$B,0)),"0")</f>
        <v>561.26999999999987</v>
      </c>
      <c r="AV227" s="8">
        <f>IFERROR(INDEX([1]SuSa_2025!AR:AR,MATCH($B227,[1]SuSa_2025!$B:$B,0)),"0")</f>
        <v>114</v>
      </c>
      <c r="AW227" s="8">
        <f>IFERROR(INDEX([1]SuSa_2025!AS:AS,MATCH($B227,[1]SuSa_2025!$B:$B,0)),"0")</f>
        <v>124</v>
      </c>
      <c r="AX227" s="8">
        <f>IFERROR(INDEX([1]SuSa_2025!AT:AT,MATCH($B227,[1]SuSa_2025!$B:$B,0)),"0")</f>
        <v>124</v>
      </c>
      <c r="AY227" s="8">
        <f>IFERROR(INDEX([1]SuSa_2025!AU:AU,MATCH($B227,[1]SuSa_2025!$B:$B,0)),"0")</f>
        <v>124</v>
      </c>
      <c r="AZ227" s="8">
        <f>IFERROR(INDEX([1]SuSa_2025!AV:AV,MATCH($B227,[1]SuSa_2025!$B:$B,0)),"0")</f>
        <v>124</v>
      </c>
      <c r="BA227" s="8">
        <f>IFERROR(INDEX([1]SuSa_2025!AW:AW,MATCH($B227,[1]SuSa_2025!$B:$B,0)),"0")</f>
        <v>124</v>
      </c>
      <c r="BB227" s="8">
        <f>IFERROR(INDEX([1]SuSa_2025!AX:AX,MATCH($B227,[1]SuSa_2025!$B:$B,0)),"0")</f>
        <v>124</v>
      </c>
    </row>
    <row r="228" spans="1:54" outlineLevel="1" collapsed="1" x14ac:dyDescent="0.25">
      <c r="A228" s="5" t="s">
        <v>686</v>
      </c>
      <c r="B228" s="6" t="s">
        <v>689</v>
      </c>
      <c r="C228" t="s">
        <v>690</v>
      </c>
      <c r="F228" s="7">
        <f t="shared" si="19"/>
        <v>292.14999999999998</v>
      </c>
      <c r="G228" s="7">
        <f t="shared" si="20"/>
        <v>1519.71</v>
      </c>
      <c r="H228" s="7">
        <f t="shared" si="21"/>
        <v>0</v>
      </c>
      <c r="I228" s="7" t="str">
        <f t="shared" si="17"/>
        <v>0</v>
      </c>
      <c r="J228" s="8">
        <f t="shared" si="22"/>
        <v>0</v>
      </c>
      <c r="K228" s="8">
        <f t="shared" si="18"/>
        <v>0</v>
      </c>
      <c r="P228" s="8">
        <v>292.14999999999998</v>
      </c>
      <c r="Q228" s="8">
        <v>292.14999999999998</v>
      </c>
      <c r="R228" s="8">
        <v>292.14999999999998</v>
      </c>
      <c r="S228" s="8">
        <v>292.14999999999998</v>
      </c>
      <c r="T228" s="8">
        <v>292.14999999999998</v>
      </c>
      <c r="U228" s="8">
        <v>292.14999999999998</v>
      </c>
      <c r="V228" s="8">
        <v>292.14999999999998</v>
      </c>
      <c r="W228" s="8">
        <v>292.14999999999998</v>
      </c>
      <c r="Z228" s="8">
        <v>1174.44</v>
      </c>
      <c r="AA228" s="8">
        <v>1174.44</v>
      </c>
      <c r="AB228" s="8">
        <v>1174.44</v>
      </c>
      <c r="AC228" s="8">
        <v>1174.44</v>
      </c>
      <c r="AD228" s="8">
        <v>1174.44</v>
      </c>
      <c r="AE228" s="8">
        <v>1519.71</v>
      </c>
      <c r="AF228" s="8">
        <v>1519.71</v>
      </c>
      <c r="AG228" s="8">
        <v>1519.71</v>
      </c>
      <c r="AH228" s="8">
        <v>1519.71</v>
      </c>
      <c r="AI228" s="8">
        <v>1519.71</v>
      </c>
      <c r="AJ228" s="8">
        <f>IFERROR(INDEX([1]SuSa_2024!BN:BN,MATCH($B228,[1]SuSa_2024!$B:$B,0)),"0")</f>
        <v>0</v>
      </c>
      <c r="AK228" s="8">
        <f>IFERROR(INDEX([1]SuSa_2024!BO:BO,MATCH($B228,[1]SuSa_2024!$B:$B,0)),"0")</f>
        <v>0</v>
      </c>
      <c r="AL228" s="8">
        <f>IFERROR(INDEX([1]SuSa_2024!BP:BP,MATCH($B228,[1]SuSa_2024!$B:$B,0)),"0")</f>
        <v>0</v>
      </c>
      <c r="AM228" s="8">
        <f>IFERROR(INDEX([1]SuSa_2024!BQ:BQ,MATCH($B228,[1]SuSa_2024!$B:$B,0)),"0")</f>
        <v>0</v>
      </c>
      <c r="AN228" s="8">
        <f>IFERROR(INDEX([1]SuSa_2024!BR:BR,MATCH($B228,[1]SuSa_2024!$B:$B,0)),"0")</f>
        <v>0</v>
      </c>
      <c r="AO228" s="8">
        <f>IFERROR(INDEX([1]SuSa_2024!BS:BS,MATCH($B228,[1]SuSa_2024!$B:$B,0)),"0")</f>
        <v>0</v>
      </c>
      <c r="AP228" s="8">
        <f>IFERROR(INDEX([1]SuSa_2024!BT:BT,MATCH($B228,[1]SuSa_2024!$B:$B,0)),"0")</f>
        <v>0</v>
      </c>
      <c r="AQ228" s="8">
        <f>IFERROR(INDEX([1]SuSa_2024!BU:BU,MATCH($B228,[1]SuSa_2024!$B:$B,0)),"0")</f>
        <v>0</v>
      </c>
      <c r="AR228" s="8">
        <f>IFERROR(INDEX([1]SuSa_2024!BV:BV,MATCH($B228,[1]SuSa_2024!$B:$B,0)),"0")</f>
        <v>0</v>
      </c>
      <c r="AS228" s="8">
        <f>IFERROR(INDEX([1]SuSa_2024!BW:BW,MATCH($B228,[1]SuSa_2024!$B:$B,0)),"0")</f>
        <v>0</v>
      </c>
      <c r="AT228" s="8">
        <f>IFERROR(INDEX([1]SuSa_2024!BX:BX,MATCH($B228,[1]SuSa_2024!$B:$B,0)),"0")</f>
        <v>0</v>
      </c>
      <c r="AU228" s="8">
        <f>IFERROR(INDEX([1]SuSa_2024!BY:BY,MATCH($B228,[1]SuSa_2024!$B:$B,0)),"0")</f>
        <v>0</v>
      </c>
      <c r="AV228" s="8" t="str">
        <f>IFERROR(INDEX([1]SuSa_2025!AR:AR,MATCH($B228,[1]SuSa_2025!$B:$B,0)),"0")</f>
        <v>0</v>
      </c>
      <c r="AW228" s="8" t="str">
        <f>IFERROR(INDEX([1]SuSa_2025!AS:AS,MATCH($B228,[1]SuSa_2025!$B:$B,0)),"0")</f>
        <v>0</v>
      </c>
      <c r="AX228" s="8" t="str">
        <f>IFERROR(INDEX([1]SuSa_2025!AT:AT,MATCH($B228,[1]SuSa_2025!$B:$B,0)),"0")</f>
        <v>0</v>
      </c>
      <c r="AY228" s="8" t="str">
        <f>IFERROR(INDEX([1]SuSa_2025!AU:AU,MATCH($B228,[1]SuSa_2025!$B:$B,0)),"0")</f>
        <v>0</v>
      </c>
      <c r="AZ228" s="8" t="str">
        <f>IFERROR(INDEX([1]SuSa_2025!AV:AV,MATCH($B228,[1]SuSa_2025!$B:$B,0)),"0")</f>
        <v>0</v>
      </c>
      <c r="BA228" s="8" t="str">
        <f>IFERROR(INDEX([1]SuSa_2025!AW:AW,MATCH($B228,[1]SuSa_2025!$B:$B,0)),"0")</f>
        <v>0</v>
      </c>
      <c r="BB228" s="8" t="str">
        <f>IFERROR(INDEX([1]SuSa_2025!AX:AX,MATCH($B228,[1]SuSa_2025!$B:$B,0)),"0")</f>
        <v>0</v>
      </c>
    </row>
    <row r="229" spans="1:54" outlineLevel="1" collapsed="1" x14ac:dyDescent="0.25">
      <c r="A229" s="5" t="s">
        <v>686</v>
      </c>
      <c r="B229" s="6" t="s">
        <v>691</v>
      </c>
      <c r="C229" t="s">
        <v>692</v>
      </c>
      <c r="F229" s="7">
        <f t="shared" si="19"/>
        <v>133.74</v>
      </c>
      <c r="G229" s="7">
        <f t="shared" si="20"/>
        <v>515.88</v>
      </c>
      <c r="H229" s="7">
        <f t="shared" si="21"/>
        <v>0</v>
      </c>
      <c r="I229" s="7">
        <f t="shared" si="17"/>
        <v>251.26</v>
      </c>
      <c r="J229" s="8">
        <f t="shared" si="22"/>
        <v>251.26</v>
      </c>
      <c r="K229" s="8">
        <f t="shared" si="18"/>
        <v>0</v>
      </c>
      <c r="T229" s="8">
        <v>133.74</v>
      </c>
      <c r="U229" s="8">
        <v>133.74</v>
      </c>
      <c r="V229" s="8">
        <v>133.74</v>
      </c>
      <c r="W229" s="8">
        <v>133.74</v>
      </c>
      <c r="AF229" s="8">
        <v>184.72</v>
      </c>
      <c r="AG229" s="8">
        <v>311.72000000000003</v>
      </c>
      <c r="AH229" s="8">
        <v>515.88</v>
      </c>
      <c r="AI229" s="8">
        <v>515.88</v>
      </c>
      <c r="AJ229" s="8">
        <f>IFERROR(INDEX([1]SuSa_2024!BN:BN,MATCH($B229,[1]SuSa_2024!$B:$B,0)),"0")</f>
        <v>0</v>
      </c>
      <c r="AK229" s="8">
        <f>IFERROR(INDEX([1]SuSa_2024!BO:BO,MATCH($B229,[1]SuSa_2024!$B:$B,0)),"0")</f>
        <v>0</v>
      </c>
      <c r="AL229" s="8">
        <f>IFERROR(INDEX([1]SuSa_2024!BP:BP,MATCH($B229,[1]SuSa_2024!$B:$B,0)),"0")</f>
        <v>0</v>
      </c>
      <c r="AM229" s="8">
        <f>IFERROR(INDEX([1]SuSa_2024!BQ:BQ,MATCH($B229,[1]SuSa_2024!$B:$B,0)),"0")</f>
        <v>0</v>
      </c>
      <c r="AN229" s="8">
        <f>IFERROR(INDEX([1]SuSa_2024!BR:BR,MATCH($B229,[1]SuSa_2024!$B:$B,0)),"0")</f>
        <v>0</v>
      </c>
      <c r="AO229" s="8">
        <f>IFERROR(INDEX([1]SuSa_2024!BS:BS,MATCH($B229,[1]SuSa_2024!$B:$B,0)),"0")</f>
        <v>0</v>
      </c>
      <c r="AP229" s="8">
        <f>IFERROR(INDEX([1]SuSa_2024!BT:BT,MATCH($B229,[1]SuSa_2024!$B:$B,0)),"0")</f>
        <v>0</v>
      </c>
      <c r="AQ229" s="8">
        <f>IFERROR(INDEX([1]SuSa_2024!BU:BU,MATCH($B229,[1]SuSa_2024!$B:$B,0)),"0")</f>
        <v>0</v>
      </c>
      <c r="AR229" s="8">
        <f>IFERROR(INDEX([1]SuSa_2024!BV:BV,MATCH($B229,[1]SuSa_2024!$B:$B,0)),"0")</f>
        <v>0</v>
      </c>
      <c r="AS229" s="8">
        <f>IFERROR(INDEX([1]SuSa_2024!BW:BW,MATCH($B229,[1]SuSa_2024!$B:$B,0)),"0")</f>
        <v>0</v>
      </c>
      <c r="AT229" s="8">
        <f>IFERROR(INDEX([1]SuSa_2024!BX:BX,MATCH($B229,[1]SuSa_2024!$B:$B,0)),"0")</f>
        <v>0</v>
      </c>
      <c r="AU229" s="8">
        <f>IFERROR(INDEX([1]SuSa_2024!BY:BY,MATCH($B229,[1]SuSa_2024!$B:$B,0)),"0")</f>
        <v>0</v>
      </c>
      <c r="AV229" s="8">
        <f>IFERROR(INDEX([1]SuSa_2025!AR:AR,MATCH($B229,[1]SuSa_2025!$B:$B,0)),"0")</f>
        <v>0</v>
      </c>
      <c r="AW229" s="8">
        <f>IFERROR(INDEX([1]SuSa_2025!AS:AS,MATCH($B229,[1]SuSa_2025!$B:$B,0)),"0")</f>
        <v>0</v>
      </c>
      <c r="AX229" s="8">
        <f>IFERROR(INDEX([1]SuSa_2025!AT:AT,MATCH($B229,[1]SuSa_2025!$B:$B,0)),"0")</f>
        <v>0</v>
      </c>
      <c r="AY229" s="8">
        <f>IFERROR(INDEX([1]SuSa_2025!AU:AU,MATCH($B229,[1]SuSa_2025!$B:$B,0)),"0")</f>
        <v>0</v>
      </c>
      <c r="AZ229" s="8">
        <f>IFERROR(INDEX([1]SuSa_2025!AV:AV,MATCH($B229,[1]SuSa_2025!$B:$B,0)),"0")</f>
        <v>0</v>
      </c>
      <c r="BA229" s="8">
        <f>IFERROR(INDEX([1]SuSa_2025!AW:AW,MATCH($B229,[1]SuSa_2025!$B:$B,0)),"0")</f>
        <v>251.26</v>
      </c>
      <c r="BB229" s="8">
        <f>IFERROR(INDEX([1]SuSa_2025!AX:AX,MATCH($B229,[1]SuSa_2025!$B:$B,0)),"0")</f>
        <v>251.26</v>
      </c>
    </row>
    <row r="230" spans="1:54" outlineLevel="1" collapsed="1" x14ac:dyDescent="0.25">
      <c r="A230" s="5" t="s">
        <v>693</v>
      </c>
      <c r="B230" s="6" t="s">
        <v>694</v>
      </c>
      <c r="C230" t="s">
        <v>695</v>
      </c>
      <c r="F230" s="7">
        <f t="shared" si="19"/>
        <v>312.36</v>
      </c>
      <c r="G230" s="7">
        <f t="shared" si="20"/>
        <v>44.6</v>
      </c>
      <c r="H230" s="7">
        <f t="shared" si="21"/>
        <v>0</v>
      </c>
      <c r="I230" s="7" t="str">
        <f t="shared" si="17"/>
        <v>0</v>
      </c>
      <c r="J230" s="8">
        <f t="shared" si="22"/>
        <v>0</v>
      </c>
      <c r="K230" s="8">
        <f t="shared" si="18"/>
        <v>0</v>
      </c>
      <c r="T230" s="8">
        <v>312.36</v>
      </c>
      <c r="U230" s="8">
        <v>312.36</v>
      </c>
      <c r="V230" s="8">
        <v>312.36</v>
      </c>
      <c r="W230" s="8">
        <v>312.36</v>
      </c>
      <c r="AE230" s="8">
        <v>44.6</v>
      </c>
      <c r="AF230" s="8">
        <v>44.6</v>
      </c>
      <c r="AG230" s="8">
        <v>44.6</v>
      </c>
      <c r="AH230" s="8">
        <v>44.6</v>
      </c>
      <c r="AI230" s="8">
        <v>44.6</v>
      </c>
      <c r="AJ230" s="8">
        <f>IFERROR(INDEX([1]SuSa_2024!BN:BN,MATCH($B230,[1]SuSa_2024!$B:$B,0)),"0")</f>
        <v>0</v>
      </c>
      <c r="AK230" s="8">
        <f>IFERROR(INDEX([1]SuSa_2024!BO:BO,MATCH($B230,[1]SuSa_2024!$B:$B,0)),"0")</f>
        <v>0</v>
      </c>
      <c r="AL230" s="8">
        <f>IFERROR(INDEX([1]SuSa_2024!BP:BP,MATCH($B230,[1]SuSa_2024!$B:$B,0)),"0")</f>
        <v>0</v>
      </c>
      <c r="AM230" s="8">
        <f>IFERROR(INDEX([1]SuSa_2024!BQ:BQ,MATCH($B230,[1]SuSa_2024!$B:$B,0)),"0")</f>
        <v>0</v>
      </c>
      <c r="AN230" s="8">
        <f>IFERROR(INDEX([1]SuSa_2024!BR:BR,MATCH($B230,[1]SuSa_2024!$B:$B,0)),"0")</f>
        <v>0</v>
      </c>
      <c r="AO230" s="8">
        <f>IFERROR(INDEX([1]SuSa_2024!BS:BS,MATCH($B230,[1]SuSa_2024!$B:$B,0)),"0")</f>
        <v>0</v>
      </c>
      <c r="AP230" s="8">
        <f>IFERROR(INDEX([1]SuSa_2024!BT:BT,MATCH($B230,[1]SuSa_2024!$B:$B,0)),"0")</f>
        <v>0</v>
      </c>
      <c r="AQ230" s="8">
        <f>IFERROR(INDEX([1]SuSa_2024!BU:BU,MATCH($B230,[1]SuSa_2024!$B:$B,0)),"0")</f>
        <v>0</v>
      </c>
      <c r="AR230" s="8">
        <f>IFERROR(INDEX([1]SuSa_2024!BV:BV,MATCH($B230,[1]SuSa_2024!$B:$B,0)),"0")</f>
        <v>0</v>
      </c>
      <c r="AS230" s="8">
        <f>IFERROR(INDEX([1]SuSa_2024!BW:BW,MATCH($B230,[1]SuSa_2024!$B:$B,0)),"0")</f>
        <v>0</v>
      </c>
      <c r="AT230" s="8">
        <f>IFERROR(INDEX([1]SuSa_2024!BX:BX,MATCH($B230,[1]SuSa_2024!$B:$B,0)),"0")</f>
        <v>0</v>
      </c>
      <c r="AU230" s="8">
        <f>IFERROR(INDEX([1]SuSa_2024!BY:BY,MATCH($B230,[1]SuSa_2024!$B:$B,0)),"0")</f>
        <v>0</v>
      </c>
      <c r="AV230" s="8" t="str">
        <f>IFERROR(INDEX([1]SuSa_2025!AR:AR,MATCH($B230,[1]SuSa_2025!$B:$B,0)),"0")</f>
        <v>0</v>
      </c>
      <c r="AW230" s="8" t="str">
        <f>IFERROR(INDEX([1]SuSa_2025!AS:AS,MATCH($B230,[1]SuSa_2025!$B:$B,0)),"0")</f>
        <v>0</v>
      </c>
      <c r="AX230" s="8" t="str">
        <f>IFERROR(INDEX([1]SuSa_2025!AT:AT,MATCH($B230,[1]SuSa_2025!$B:$B,0)),"0")</f>
        <v>0</v>
      </c>
      <c r="AY230" s="8" t="str">
        <f>IFERROR(INDEX([1]SuSa_2025!AU:AU,MATCH($B230,[1]SuSa_2025!$B:$B,0)),"0")</f>
        <v>0</v>
      </c>
      <c r="AZ230" s="8" t="str">
        <f>IFERROR(INDEX([1]SuSa_2025!AV:AV,MATCH($B230,[1]SuSa_2025!$B:$B,0)),"0")</f>
        <v>0</v>
      </c>
      <c r="BA230" s="8" t="str">
        <f>IFERROR(INDEX([1]SuSa_2025!AW:AW,MATCH($B230,[1]SuSa_2025!$B:$B,0)),"0")</f>
        <v>0</v>
      </c>
      <c r="BB230" s="8" t="str">
        <f>IFERROR(INDEX([1]SuSa_2025!AX:AX,MATCH($B230,[1]SuSa_2025!$B:$B,0)),"0")</f>
        <v>0</v>
      </c>
    </row>
    <row r="231" spans="1:54" outlineLevel="1" collapsed="1" x14ac:dyDescent="0.25">
      <c r="A231" s="5" t="s">
        <v>696</v>
      </c>
      <c r="B231" s="6" t="s">
        <v>697</v>
      </c>
      <c r="C231" t="s">
        <v>698</v>
      </c>
      <c r="F231" s="22">
        <f t="shared" si="19"/>
        <v>0</v>
      </c>
      <c r="G231" s="7">
        <f t="shared" si="20"/>
        <v>0</v>
      </c>
      <c r="H231" s="7">
        <f t="shared" si="21"/>
        <v>8350</v>
      </c>
      <c r="I231" s="7">
        <f t="shared" si="17"/>
        <v>3940</v>
      </c>
      <c r="J231" s="8">
        <f t="shared" si="22"/>
        <v>12290</v>
      </c>
      <c r="K231" s="8">
        <f t="shared" si="18"/>
        <v>0</v>
      </c>
      <c r="AJ231" s="8">
        <f>IFERROR(INDEX([1]SuSa_2024!BN:BN,MATCH($B231,[1]SuSa_2024!$B:$B,0)),"0")</f>
        <v>0</v>
      </c>
      <c r="AK231" s="8">
        <f>IFERROR(INDEX([1]SuSa_2024!BO:BO,MATCH($B231,[1]SuSa_2024!$B:$B,0)),"0")</f>
        <v>0</v>
      </c>
      <c r="AL231" s="8">
        <f>IFERROR(INDEX([1]SuSa_2024!BP:BP,MATCH($B231,[1]SuSa_2024!$B:$B,0)),"0")</f>
        <v>0</v>
      </c>
      <c r="AM231" s="8">
        <f>IFERROR(INDEX([1]SuSa_2024!BQ:BQ,MATCH($B231,[1]SuSa_2024!$B:$B,0)),"0")</f>
        <v>0</v>
      </c>
      <c r="AN231" s="8">
        <f>IFERROR(INDEX([1]SuSa_2024!BR:BR,MATCH($B231,[1]SuSa_2024!$B:$B,0)),"0")</f>
        <v>0</v>
      </c>
      <c r="AO231" s="8">
        <f>IFERROR(INDEX([1]SuSa_2024!BS:BS,MATCH($B231,[1]SuSa_2024!$B:$B,0)),"0")</f>
        <v>0</v>
      </c>
      <c r="AP231" s="8">
        <f>IFERROR(INDEX([1]SuSa_2024!BT:BT,MATCH($B231,[1]SuSa_2024!$B:$B,0)),"0")</f>
        <v>0</v>
      </c>
      <c r="AQ231" s="8">
        <f>IFERROR(INDEX([1]SuSa_2024!BU:BU,MATCH($B231,[1]SuSa_2024!$B:$B,0)),"0")</f>
        <v>0</v>
      </c>
      <c r="AR231" s="8">
        <f>IFERROR(INDEX([1]SuSa_2024!BV:BV,MATCH($B231,[1]SuSa_2024!$B:$B,0)),"0")</f>
        <v>0</v>
      </c>
      <c r="AS231" s="8">
        <f>IFERROR(INDEX([1]SuSa_2024!BW:BW,MATCH($B231,[1]SuSa_2024!$B:$B,0)),"0")</f>
        <v>0</v>
      </c>
      <c r="AT231" s="8">
        <f>IFERROR(INDEX([1]SuSa_2024!BX:BX,MATCH($B231,[1]SuSa_2024!$B:$B,0)),"0")</f>
        <v>0</v>
      </c>
      <c r="AU231" s="8">
        <f>IFERROR(INDEX([1]SuSa_2024!BY:BY,MATCH($B231,[1]SuSa_2024!$B:$B,0)),"0")</f>
        <v>8350</v>
      </c>
      <c r="AV231" s="8">
        <f>IFERROR(INDEX([1]SuSa_2025!AR:AR,MATCH($B231,[1]SuSa_2025!$B:$B,0)),"0")</f>
        <v>3940</v>
      </c>
      <c r="AW231" s="8">
        <f>IFERROR(INDEX([1]SuSa_2025!AS:AS,MATCH($B231,[1]SuSa_2025!$B:$B,0)),"0")</f>
        <v>3940</v>
      </c>
      <c r="AX231" s="8">
        <f>IFERROR(INDEX([1]SuSa_2025!AT:AT,MATCH($B231,[1]SuSa_2025!$B:$B,0)),"0")</f>
        <v>3940</v>
      </c>
      <c r="AY231" s="8">
        <f>IFERROR(INDEX([1]SuSa_2025!AU:AU,MATCH($B231,[1]SuSa_2025!$B:$B,0)),"0")</f>
        <v>3940</v>
      </c>
      <c r="AZ231" s="8">
        <f>IFERROR(INDEX([1]SuSa_2025!AV:AV,MATCH($B231,[1]SuSa_2025!$B:$B,0)),"0")</f>
        <v>3940</v>
      </c>
      <c r="BA231" s="8">
        <f>IFERROR(INDEX([1]SuSa_2025!AW:AW,MATCH($B231,[1]SuSa_2025!$B:$B,0)),"0")</f>
        <v>3940</v>
      </c>
      <c r="BB231" s="8">
        <f>IFERROR(INDEX([1]SuSa_2025!AX:AX,MATCH($B231,[1]SuSa_2025!$B:$B,0)),"0")</f>
        <v>3940</v>
      </c>
    </row>
    <row r="232" spans="1:54" outlineLevel="1" collapsed="1" x14ac:dyDescent="0.25">
      <c r="A232" s="5" t="s">
        <v>699</v>
      </c>
      <c r="B232" s="6" t="s">
        <v>700</v>
      </c>
      <c r="C232" t="s">
        <v>701</v>
      </c>
      <c r="F232" s="22">
        <f t="shared" si="19"/>
        <v>1065.54</v>
      </c>
      <c r="G232" s="7">
        <f t="shared" si="20"/>
        <v>807.58</v>
      </c>
      <c r="H232" s="7">
        <f t="shared" si="21"/>
        <v>755.39</v>
      </c>
      <c r="I232" s="7">
        <f t="shared" si="17"/>
        <v>133.53</v>
      </c>
      <c r="J232" s="8">
        <f t="shared" si="22"/>
        <v>739.92</v>
      </c>
      <c r="K232" s="8">
        <f t="shared" si="18"/>
        <v>149</v>
      </c>
      <c r="T232" s="8">
        <v>480</v>
      </c>
      <c r="U232" s="8">
        <v>886.59</v>
      </c>
      <c r="V232" s="8">
        <v>1006.59</v>
      </c>
      <c r="W232" s="8">
        <v>1065.54</v>
      </c>
      <c r="AG232" s="8">
        <v>480</v>
      </c>
      <c r="AH232" s="8">
        <v>807.58</v>
      </c>
      <c r="AI232" s="8">
        <v>807.58</v>
      </c>
      <c r="AJ232" s="8">
        <f>IFERROR(INDEX([1]SuSa_2024!BN:BN,MATCH($B232,[1]SuSa_2024!$B:$B,0)),"0")</f>
        <v>0</v>
      </c>
      <c r="AK232" s="8">
        <f>IFERROR(INDEX([1]SuSa_2024!BO:BO,MATCH($B232,[1]SuSa_2024!$B:$B,0)),"0")</f>
        <v>0</v>
      </c>
      <c r="AL232" s="8">
        <f>IFERROR(INDEX([1]SuSa_2024!BP:BP,MATCH($B232,[1]SuSa_2024!$B:$B,0)),"0")</f>
        <v>0</v>
      </c>
      <c r="AM232" s="8">
        <f>IFERROR(INDEX([1]SuSa_2024!BQ:BQ,MATCH($B232,[1]SuSa_2024!$B:$B,0)),"0")</f>
        <v>149</v>
      </c>
      <c r="AN232" s="8">
        <f>IFERROR(INDEX([1]SuSa_2024!BR:BR,MATCH($B232,[1]SuSa_2024!$B:$B,0)),"0")</f>
        <v>149</v>
      </c>
      <c r="AO232" s="8">
        <f>IFERROR(INDEX([1]SuSa_2024!BS:BS,MATCH($B232,[1]SuSa_2024!$B:$B,0)),"0")</f>
        <v>149</v>
      </c>
      <c r="AP232" s="8">
        <f>IFERROR(INDEX([1]SuSa_2024!BT:BT,MATCH($B232,[1]SuSa_2024!$B:$B,0)),"0")</f>
        <v>149</v>
      </c>
      <c r="AQ232" s="8">
        <f>IFERROR(INDEX([1]SuSa_2024!BU:BU,MATCH($B232,[1]SuSa_2024!$B:$B,0)),"0")</f>
        <v>149</v>
      </c>
      <c r="AR232" s="8">
        <f>IFERROR(INDEX([1]SuSa_2024!BV:BV,MATCH($B232,[1]SuSa_2024!$B:$B,0)),"0")</f>
        <v>149</v>
      </c>
      <c r="AS232" s="8">
        <f>IFERROR(INDEX([1]SuSa_2024!BW:BW,MATCH($B232,[1]SuSa_2024!$B:$B,0)),"0")</f>
        <v>158</v>
      </c>
      <c r="AT232" s="8">
        <f>IFERROR(INDEX([1]SuSa_2024!BX:BX,MATCH($B232,[1]SuSa_2024!$B:$B,0)),"0")</f>
        <v>158</v>
      </c>
      <c r="AU232" s="8">
        <f>IFERROR(INDEX([1]SuSa_2024!BY:BY,MATCH($B232,[1]SuSa_2024!$B:$B,0)),"0")</f>
        <v>755.39</v>
      </c>
      <c r="AV232" s="8">
        <f>IFERROR(INDEX([1]SuSa_2025!AR:AR,MATCH($B232,[1]SuSa_2025!$B:$B,0)),"0")</f>
        <v>0</v>
      </c>
      <c r="AW232" s="8">
        <f>IFERROR(INDEX([1]SuSa_2025!AS:AS,MATCH($B232,[1]SuSa_2025!$B:$B,0)),"0")</f>
        <v>0</v>
      </c>
      <c r="AX232" s="8">
        <f>IFERROR(INDEX([1]SuSa_2025!AT:AT,MATCH($B232,[1]SuSa_2025!$B:$B,0)),"0")</f>
        <v>0</v>
      </c>
      <c r="AY232" s="8">
        <f>IFERROR(INDEX([1]SuSa_2025!AU:AU,MATCH($B232,[1]SuSa_2025!$B:$B,0)),"0")</f>
        <v>0</v>
      </c>
      <c r="AZ232" s="8">
        <f>IFERROR(INDEX([1]SuSa_2025!AV:AV,MATCH($B232,[1]SuSa_2025!$B:$B,0)),"0")</f>
        <v>0</v>
      </c>
      <c r="BA232" s="8">
        <f>IFERROR(INDEX([1]SuSa_2025!AW:AW,MATCH($B232,[1]SuSa_2025!$B:$B,0)),"0")</f>
        <v>133.53</v>
      </c>
      <c r="BB232" s="8">
        <f>IFERROR(INDEX([1]SuSa_2025!AX:AX,MATCH($B232,[1]SuSa_2025!$B:$B,0)),"0")</f>
        <v>133.53</v>
      </c>
    </row>
    <row r="233" spans="1:54" outlineLevel="1" collapsed="1" x14ac:dyDescent="0.25">
      <c r="A233" s="5" t="s">
        <v>702</v>
      </c>
      <c r="B233" s="6" t="s">
        <v>703</v>
      </c>
      <c r="C233" t="s">
        <v>704</v>
      </c>
      <c r="F233" s="22">
        <f t="shared" si="19"/>
        <v>2841.6</v>
      </c>
      <c r="G233" s="7">
        <f t="shared" si="20"/>
        <v>752.1</v>
      </c>
      <c r="H233" s="7">
        <f t="shared" si="21"/>
        <v>1702.44</v>
      </c>
      <c r="I233" s="7">
        <f t="shared" si="17"/>
        <v>3516.6800000000003</v>
      </c>
      <c r="J233" s="8">
        <f t="shared" si="22"/>
        <v>5219.1200000000008</v>
      </c>
      <c r="K233" s="8">
        <f t="shared" si="18"/>
        <v>0</v>
      </c>
      <c r="S233" s="8">
        <v>2437.42</v>
      </c>
      <c r="T233" s="8">
        <v>2437.42</v>
      </c>
      <c r="U233" s="8">
        <v>2437.42</v>
      </c>
      <c r="V233" s="8">
        <v>2437.42</v>
      </c>
      <c r="W233" s="8">
        <v>2841.6</v>
      </c>
      <c r="Z233" s="8">
        <v>752.1</v>
      </c>
      <c r="AA233" s="8">
        <v>752.1</v>
      </c>
      <c r="AB233" s="8">
        <v>752.1</v>
      </c>
      <c r="AC233" s="8">
        <v>752.1</v>
      </c>
      <c r="AD233" s="8">
        <v>752.1</v>
      </c>
      <c r="AE233" s="8">
        <v>752.1</v>
      </c>
      <c r="AF233" s="8">
        <v>752.1</v>
      </c>
      <c r="AG233" s="8">
        <v>752.1</v>
      </c>
      <c r="AH233" s="8">
        <v>752.1</v>
      </c>
      <c r="AI233" s="8">
        <v>752.1</v>
      </c>
      <c r="AJ233" s="8">
        <f>IFERROR(INDEX([1]SuSa_2024!BN:BN,MATCH($B233,[1]SuSa_2024!$B:$B,0)),"0")</f>
        <v>0</v>
      </c>
      <c r="AK233" s="8">
        <f>IFERROR(INDEX([1]SuSa_2024!BO:BO,MATCH($B233,[1]SuSa_2024!$B:$B,0)),"0")</f>
        <v>0</v>
      </c>
      <c r="AL233" s="8">
        <f>IFERROR(INDEX([1]SuSa_2024!BP:BP,MATCH($B233,[1]SuSa_2024!$B:$B,0)),"0")</f>
        <v>0</v>
      </c>
      <c r="AM233" s="8">
        <f>IFERROR(INDEX([1]SuSa_2024!BQ:BQ,MATCH($B233,[1]SuSa_2024!$B:$B,0)),"0")</f>
        <v>0</v>
      </c>
      <c r="AN233" s="8">
        <f>IFERROR(INDEX([1]SuSa_2024!BR:BR,MATCH($B233,[1]SuSa_2024!$B:$B,0)),"0")</f>
        <v>0</v>
      </c>
      <c r="AO233" s="8">
        <f>IFERROR(INDEX([1]SuSa_2024!BS:BS,MATCH($B233,[1]SuSa_2024!$B:$B,0)),"0")</f>
        <v>0</v>
      </c>
      <c r="AP233" s="8">
        <f>IFERROR(INDEX([1]SuSa_2024!BT:BT,MATCH($B233,[1]SuSa_2024!$B:$B,0)),"0")</f>
        <v>0</v>
      </c>
      <c r="AQ233" s="8">
        <f>IFERROR(INDEX([1]SuSa_2024!BU:BU,MATCH($B233,[1]SuSa_2024!$B:$B,0)),"0")</f>
        <v>1076.45</v>
      </c>
      <c r="AR233" s="8">
        <f>IFERROR(INDEX([1]SuSa_2024!BV:BV,MATCH($B233,[1]SuSa_2024!$B:$B,0)),"0")</f>
        <v>1381.45</v>
      </c>
      <c r="AS233" s="8">
        <f>IFERROR(INDEX([1]SuSa_2024!BW:BW,MATCH($B233,[1]SuSa_2024!$B:$B,0)),"0")</f>
        <v>1381.45</v>
      </c>
      <c r="AT233" s="8">
        <f>IFERROR(INDEX([1]SuSa_2024!BX:BX,MATCH($B233,[1]SuSa_2024!$B:$B,0)),"0")</f>
        <v>1381.45</v>
      </c>
      <c r="AU233" s="8">
        <f>IFERROR(INDEX([1]SuSa_2024!BY:BY,MATCH($B233,[1]SuSa_2024!$B:$B,0)),"0")</f>
        <v>1702.44</v>
      </c>
      <c r="AV233" s="8">
        <f>IFERROR(INDEX([1]SuSa_2025!AR:AR,MATCH($B233,[1]SuSa_2025!$B:$B,0)),"0")</f>
        <v>895.22</v>
      </c>
      <c r="AW233" s="8">
        <f>IFERROR(INDEX([1]SuSa_2025!AS:AS,MATCH($B233,[1]SuSa_2025!$B:$B,0)),"0")</f>
        <v>1806.16</v>
      </c>
      <c r="AX233" s="8">
        <f>IFERROR(INDEX([1]SuSa_2025!AT:AT,MATCH($B233,[1]SuSa_2025!$B:$B,0)),"0")</f>
        <v>2107.7600000000002</v>
      </c>
      <c r="AY233" s="8">
        <f>IFERROR(INDEX([1]SuSa_2025!AU:AU,MATCH($B233,[1]SuSa_2025!$B:$B,0)),"0")</f>
        <v>2618.4500000000003</v>
      </c>
      <c r="AZ233" s="8">
        <f>IFERROR(INDEX([1]SuSa_2025!AV:AV,MATCH($B233,[1]SuSa_2025!$B:$B,0)),"0")</f>
        <v>3045.9500000000003</v>
      </c>
      <c r="BA233" s="8">
        <f>IFERROR(INDEX([1]SuSa_2025!AW:AW,MATCH($B233,[1]SuSa_2025!$B:$B,0)),"0")</f>
        <v>3516.6800000000003</v>
      </c>
      <c r="BB233" s="8">
        <f>IFERROR(INDEX([1]SuSa_2025!AX:AX,MATCH($B233,[1]SuSa_2025!$B:$B,0)),"0")</f>
        <v>3516.6800000000003</v>
      </c>
    </row>
    <row r="234" spans="1:54" outlineLevel="1" collapsed="1" x14ac:dyDescent="0.25">
      <c r="A234" s="5" t="s">
        <v>705</v>
      </c>
      <c r="B234" s="6" t="s">
        <v>706</v>
      </c>
      <c r="C234" t="s">
        <v>707</v>
      </c>
      <c r="F234" s="22">
        <f t="shared" si="19"/>
        <v>605.1</v>
      </c>
      <c r="G234" s="7">
        <f t="shared" si="20"/>
        <v>1344.14</v>
      </c>
      <c r="H234" s="7">
        <f t="shared" si="21"/>
        <v>377.3</v>
      </c>
      <c r="I234" s="7">
        <f t="shared" si="17"/>
        <v>0</v>
      </c>
      <c r="J234" s="8">
        <f t="shared" si="22"/>
        <v>377.3</v>
      </c>
      <c r="K234" s="8">
        <f t="shared" si="18"/>
        <v>0</v>
      </c>
      <c r="M234" s="8">
        <v>208.05</v>
      </c>
      <c r="N234" s="8">
        <v>208.05</v>
      </c>
      <c r="O234" s="8">
        <v>276.25</v>
      </c>
      <c r="P234" s="8">
        <v>276.25</v>
      </c>
      <c r="Q234" s="8">
        <v>276.25</v>
      </c>
      <c r="R234" s="8">
        <v>276.25</v>
      </c>
      <c r="S234" s="8">
        <v>353</v>
      </c>
      <c r="T234" s="8">
        <v>353</v>
      </c>
      <c r="U234" s="8">
        <v>353</v>
      </c>
      <c r="V234" s="8">
        <v>353</v>
      </c>
      <c r="W234" s="8">
        <v>605.1</v>
      </c>
      <c r="AC234" s="8">
        <v>699.14</v>
      </c>
      <c r="AD234" s="8">
        <v>699.14</v>
      </c>
      <c r="AE234" s="8">
        <v>699.14</v>
      </c>
      <c r="AF234" s="8">
        <v>1344.14</v>
      </c>
      <c r="AG234" s="8">
        <v>1344.14</v>
      </c>
      <c r="AH234" s="8">
        <v>1344.14</v>
      </c>
      <c r="AI234" s="8">
        <v>1344.14</v>
      </c>
      <c r="AJ234" s="8">
        <f>IFERROR(INDEX([1]SuSa_2024!BN:BN,MATCH($B234,[1]SuSa_2024!$B:$B,0)),"0")</f>
        <v>0</v>
      </c>
      <c r="AK234" s="8">
        <f>IFERROR(INDEX([1]SuSa_2024!BO:BO,MATCH($B234,[1]SuSa_2024!$B:$B,0)),"0")</f>
        <v>0</v>
      </c>
      <c r="AL234" s="8">
        <f>IFERROR(INDEX([1]SuSa_2024!BP:BP,MATCH($B234,[1]SuSa_2024!$B:$B,0)),"0")</f>
        <v>0</v>
      </c>
      <c r="AM234" s="8">
        <f>IFERROR(INDEX([1]SuSa_2024!BQ:BQ,MATCH($B234,[1]SuSa_2024!$B:$B,0)),"0")</f>
        <v>0</v>
      </c>
      <c r="AN234" s="8">
        <f>IFERROR(INDEX([1]SuSa_2024!BR:BR,MATCH($B234,[1]SuSa_2024!$B:$B,0)),"0")</f>
        <v>0</v>
      </c>
      <c r="AO234" s="8">
        <f>IFERROR(INDEX([1]SuSa_2024!BS:BS,MATCH($B234,[1]SuSa_2024!$B:$B,0)),"0")</f>
        <v>0</v>
      </c>
      <c r="AP234" s="8">
        <f>IFERROR(INDEX([1]SuSa_2024!BT:BT,MATCH($B234,[1]SuSa_2024!$B:$B,0)),"0")</f>
        <v>0</v>
      </c>
      <c r="AQ234" s="8">
        <f>IFERROR(INDEX([1]SuSa_2024!BU:BU,MATCH($B234,[1]SuSa_2024!$B:$B,0)),"0")</f>
        <v>0</v>
      </c>
      <c r="AR234" s="8">
        <f>IFERROR(INDEX([1]SuSa_2024!BV:BV,MATCH($B234,[1]SuSa_2024!$B:$B,0)),"0")</f>
        <v>0</v>
      </c>
      <c r="AS234" s="8">
        <f>IFERROR(INDEX([1]SuSa_2024!BW:BW,MATCH($B234,[1]SuSa_2024!$B:$B,0)),"0")</f>
        <v>175</v>
      </c>
      <c r="AT234" s="8">
        <f>IFERROR(INDEX([1]SuSa_2024!BX:BX,MATCH($B234,[1]SuSa_2024!$B:$B,0)),"0")</f>
        <v>175</v>
      </c>
      <c r="AU234" s="8">
        <f>IFERROR(INDEX([1]SuSa_2024!BY:BY,MATCH($B234,[1]SuSa_2024!$B:$B,0)),"0")</f>
        <v>377.3</v>
      </c>
      <c r="AV234" s="8">
        <f>IFERROR(INDEX([1]SuSa_2025!AR:AR,MATCH($B234,[1]SuSa_2025!$B:$B,0)),"0")</f>
        <v>0</v>
      </c>
      <c r="AW234" s="8">
        <f>IFERROR(INDEX([1]SuSa_2025!AS:AS,MATCH($B234,[1]SuSa_2025!$B:$B,0)),"0")</f>
        <v>0</v>
      </c>
      <c r="AX234" s="8">
        <f>IFERROR(INDEX([1]SuSa_2025!AT:AT,MATCH($B234,[1]SuSa_2025!$B:$B,0)),"0")</f>
        <v>0</v>
      </c>
      <c r="AY234" s="8">
        <f>IFERROR(INDEX([1]SuSa_2025!AU:AU,MATCH($B234,[1]SuSa_2025!$B:$B,0)),"0")</f>
        <v>0</v>
      </c>
      <c r="AZ234" s="8">
        <f>IFERROR(INDEX([1]SuSa_2025!AV:AV,MATCH($B234,[1]SuSa_2025!$B:$B,0)),"0")</f>
        <v>0</v>
      </c>
      <c r="BA234" s="8">
        <f>IFERROR(INDEX([1]SuSa_2025!AW:AW,MATCH($B234,[1]SuSa_2025!$B:$B,0)),"0")</f>
        <v>0</v>
      </c>
      <c r="BB234" s="8">
        <f>IFERROR(INDEX([1]SuSa_2025!AX:AX,MATCH($B234,[1]SuSa_2025!$B:$B,0)),"0")</f>
        <v>0</v>
      </c>
    </row>
    <row r="235" spans="1:54" outlineLevel="1" collapsed="1" x14ac:dyDescent="0.25">
      <c r="A235" s="5" t="s">
        <v>708</v>
      </c>
      <c r="B235" s="6" t="s">
        <v>709</v>
      </c>
      <c r="C235" t="s">
        <v>710</v>
      </c>
      <c r="F235" s="22">
        <f t="shared" si="19"/>
        <v>0</v>
      </c>
      <c r="G235" s="7">
        <f t="shared" si="20"/>
        <v>0</v>
      </c>
      <c r="H235" s="7">
        <f t="shared" si="21"/>
        <v>2078.9299999999998</v>
      </c>
      <c r="I235" s="7">
        <f t="shared" si="17"/>
        <v>1293.5899999999999</v>
      </c>
      <c r="J235" s="8">
        <f t="shared" si="22"/>
        <v>2820.4299999999994</v>
      </c>
      <c r="K235" s="8">
        <f t="shared" si="18"/>
        <v>552.09</v>
      </c>
      <c r="AJ235" s="8">
        <f>IFERROR(INDEX([1]SuSa_2024!BN:BN,MATCH($B235,[1]SuSa_2024!$B:$B,0)),"0")</f>
        <v>0</v>
      </c>
      <c r="AK235" s="8">
        <f>IFERROR(INDEX([1]SuSa_2024!BO:BO,MATCH($B235,[1]SuSa_2024!$B:$B,0)),"0")</f>
        <v>0</v>
      </c>
      <c r="AL235" s="8">
        <f>IFERROR(INDEX([1]SuSa_2024!BP:BP,MATCH($B235,[1]SuSa_2024!$B:$B,0)),"0")</f>
        <v>0</v>
      </c>
      <c r="AM235" s="8">
        <f>IFERROR(INDEX([1]SuSa_2024!BQ:BQ,MATCH($B235,[1]SuSa_2024!$B:$B,0)),"0")</f>
        <v>0</v>
      </c>
      <c r="AN235" s="8">
        <f>IFERROR(INDEX([1]SuSa_2024!BR:BR,MATCH($B235,[1]SuSa_2024!$B:$B,0)),"0")</f>
        <v>0</v>
      </c>
      <c r="AO235" s="8">
        <f>IFERROR(INDEX([1]SuSa_2024!BS:BS,MATCH($B235,[1]SuSa_2024!$B:$B,0)),"0")</f>
        <v>552.09</v>
      </c>
      <c r="AP235" s="8">
        <f>IFERROR(INDEX([1]SuSa_2024!BT:BT,MATCH($B235,[1]SuSa_2024!$B:$B,0)),"0")</f>
        <v>552.09</v>
      </c>
      <c r="AQ235" s="8">
        <f>IFERROR(INDEX([1]SuSa_2024!BU:BU,MATCH($B235,[1]SuSa_2024!$B:$B,0)),"0")</f>
        <v>736.88</v>
      </c>
      <c r="AR235" s="8">
        <f>IFERROR(INDEX([1]SuSa_2024!BV:BV,MATCH($B235,[1]SuSa_2024!$B:$B,0)),"0")</f>
        <v>921.67</v>
      </c>
      <c r="AS235" s="8">
        <f>IFERROR(INDEX([1]SuSa_2024!BW:BW,MATCH($B235,[1]SuSa_2024!$B:$B,0)),"0")</f>
        <v>1106.46</v>
      </c>
      <c r="AT235" s="8">
        <f>IFERROR(INDEX([1]SuSa_2024!BX:BX,MATCH($B235,[1]SuSa_2024!$B:$B,0)),"0")</f>
        <v>1291.26</v>
      </c>
      <c r="AU235" s="8">
        <f>IFERROR(INDEX([1]SuSa_2024!BY:BY,MATCH($B235,[1]SuSa_2024!$B:$B,0)),"0")</f>
        <v>2078.9299999999998</v>
      </c>
      <c r="AV235" s="8">
        <f>IFERROR(INDEX([1]SuSa_2025!AR:AR,MATCH($B235,[1]SuSa_2025!$B:$B,0)),"0")</f>
        <v>184.8</v>
      </c>
      <c r="AW235" s="8">
        <f>IFERROR(INDEX([1]SuSa_2025!AS:AS,MATCH($B235,[1]SuSa_2025!$B:$B,0)),"0")</f>
        <v>369.6</v>
      </c>
      <c r="AX235" s="8">
        <f>IFERROR(INDEX([1]SuSa_2025!AT:AT,MATCH($B235,[1]SuSa_2025!$B:$B,0)),"0")</f>
        <v>554.39</v>
      </c>
      <c r="AY235" s="8">
        <f>IFERROR(INDEX([1]SuSa_2025!AU:AU,MATCH($B235,[1]SuSa_2025!$B:$B,0)),"0")</f>
        <v>739.19</v>
      </c>
      <c r="AZ235" s="8">
        <f>IFERROR(INDEX([1]SuSa_2025!AV:AV,MATCH($B235,[1]SuSa_2025!$B:$B,0)),"0")</f>
        <v>923.99</v>
      </c>
      <c r="BA235" s="8">
        <f>IFERROR(INDEX([1]SuSa_2025!AW:AW,MATCH($B235,[1]SuSa_2025!$B:$B,0)),"0")</f>
        <v>1108.79</v>
      </c>
      <c r="BB235" s="8">
        <f>IFERROR(INDEX([1]SuSa_2025!AX:AX,MATCH($B235,[1]SuSa_2025!$B:$B,0)),"0")</f>
        <v>1293.5899999999999</v>
      </c>
    </row>
    <row r="236" spans="1:54" outlineLevel="1" collapsed="1" x14ac:dyDescent="0.25">
      <c r="A236" s="5" t="s">
        <v>711</v>
      </c>
      <c r="B236" s="6" t="s">
        <v>712</v>
      </c>
      <c r="C236" t="s">
        <v>713</v>
      </c>
      <c r="F236" s="7">
        <f t="shared" si="19"/>
        <v>881</v>
      </c>
      <c r="G236" s="7">
        <f t="shared" si="20"/>
        <v>0</v>
      </c>
      <c r="H236" s="7" t="str">
        <f t="shared" si="21"/>
        <v>0</v>
      </c>
      <c r="I236" s="7" t="str">
        <f t="shared" si="17"/>
        <v>0</v>
      </c>
      <c r="J236" s="8">
        <f t="shared" si="22"/>
        <v>0</v>
      </c>
      <c r="K236" s="8" t="str">
        <f t="shared" si="18"/>
        <v>0</v>
      </c>
      <c r="L236" s="8">
        <v>125.85</v>
      </c>
      <c r="M236" s="8">
        <v>251.71</v>
      </c>
      <c r="N236" s="8">
        <v>377.57</v>
      </c>
      <c r="O236" s="8">
        <v>503.42</v>
      </c>
      <c r="P236" s="8">
        <v>629.28</v>
      </c>
      <c r="Q236" s="8">
        <v>755.14</v>
      </c>
      <c r="R236" s="8">
        <v>880.99</v>
      </c>
      <c r="S236" s="8">
        <v>881</v>
      </c>
      <c r="T236" s="8">
        <v>881</v>
      </c>
      <c r="U236" s="8">
        <v>881</v>
      </c>
      <c r="V236" s="8">
        <v>881</v>
      </c>
      <c r="W236" s="8">
        <v>881</v>
      </c>
      <c r="AJ236" s="8" t="str">
        <f>IFERROR(INDEX([1]SuSa_2024!BN:BN,MATCH($B236,[1]SuSa_2024!$B:$B,0)),"0")</f>
        <v>0</v>
      </c>
      <c r="AK236" s="8" t="str">
        <f>IFERROR(INDEX([1]SuSa_2024!BO:BO,MATCH($B236,[1]SuSa_2024!$B:$B,0)),"0")</f>
        <v>0</v>
      </c>
      <c r="AL236" s="8" t="str">
        <f>IFERROR(INDEX([1]SuSa_2024!BP:BP,MATCH($B236,[1]SuSa_2024!$B:$B,0)),"0")</f>
        <v>0</v>
      </c>
      <c r="AM236" s="8" t="str">
        <f>IFERROR(INDEX([1]SuSa_2024!BQ:BQ,MATCH($B236,[1]SuSa_2024!$B:$B,0)),"0")</f>
        <v>0</v>
      </c>
      <c r="AN236" s="8" t="str">
        <f>IFERROR(INDEX([1]SuSa_2024!BR:BR,MATCH($B236,[1]SuSa_2024!$B:$B,0)),"0")</f>
        <v>0</v>
      </c>
      <c r="AO236" s="8" t="str">
        <f>IFERROR(INDEX([1]SuSa_2024!BS:BS,MATCH($B236,[1]SuSa_2024!$B:$B,0)),"0")</f>
        <v>0</v>
      </c>
      <c r="AP236" s="8" t="str">
        <f>IFERROR(INDEX([1]SuSa_2024!BT:BT,MATCH($B236,[1]SuSa_2024!$B:$B,0)),"0")</f>
        <v>0</v>
      </c>
      <c r="AQ236" s="8" t="str">
        <f>IFERROR(INDEX([1]SuSa_2024!BU:BU,MATCH($B236,[1]SuSa_2024!$B:$B,0)),"0")</f>
        <v>0</v>
      </c>
      <c r="AR236" s="8" t="str">
        <f>IFERROR(INDEX([1]SuSa_2024!BV:BV,MATCH($B236,[1]SuSa_2024!$B:$B,0)),"0")</f>
        <v>0</v>
      </c>
      <c r="AS236" s="8" t="str">
        <f>IFERROR(INDEX([1]SuSa_2024!BW:BW,MATCH($B236,[1]SuSa_2024!$B:$B,0)),"0")</f>
        <v>0</v>
      </c>
      <c r="AT236" s="8" t="str">
        <f>IFERROR(INDEX([1]SuSa_2024!BX:BX,MATCH($B236,[1]SuSa_2024!$B:$B,0)),"0")</f>
        <v>0</v>
      </c>
      <c r="AU236" s="8" t="str">
        <f>IFERROR(INDEX([1]SuSa_2024!BY:BY,MATCH($B236,[1]SuSa_2024!$B:$B,0)),"0")</f>
        <v>0</v>
      </c>
      <c r="AV236" s="8" t="str">
        <f>IFERROR(INDEX([1]SuSa_2025!AR:AR,MATCH($B236,[1]SuSa_2025!$B:$B,0)),"0")</f>
        <v>0</v>
      </c>
      <c r="AW236" s="8" t="str">
        <f>IFERROR(INDEX([1]SuSa_2025!AS:AS,MATCH($B236,[1]SuSa_2025!$B:$B,0)),"0")</f>
        <v>0</v>
      </c>
      <c r="AX236" s="8" t="str">
        <f>IFERROR(INDEX([1]SuSa_2025!AT:AT,MATCH($B236,[1]SuSa_2025!$B:$B,0)),"0")</f>
        <v>0</v>
      </c>
      <c r="AY236" s="8" t="str">
        <f>IFERROR(INDEX([1]SuSa_2025!AU:AU,MATCH($B236,[1]SuSa_2025!$B:$B,0)),"0")</f>
        <v>0</v>
      </c>
      <c r="AZ236" s="8" t="str">
        <f>IFERROR(INDEX([1]SuSa_2025!AV:AV,MATCH($B236,[1]SuSa_2025!$B:$B,0)),"0")</f>
        <v>0</v>
      </c>
      <c r="BA236" s="8" t="str">
        <f>IFERROR(INDEX([1]SuSa_2025!AW:AW,MATCH($B236,[1]SuSa_2025!$B:$B,0)),"0")</f>
        <v>0</v>
      </c>
      <c r="BB236" s="8" t="str">
        <f>IFERROR(INDEX([1]SuSa_2025!AX:AX,MATCH($B236,[1]SuSa_2025!$B:$B,0)),"0")</f>
        <v>0</v>
      </c>
    </row>
    <row r="237" spans="1:54" outlineLevel="1" collapsed="1" x14ac:dyDescent="0.25">
      <c r="A237" s="5" t="s">
        <v>714</v>
      </c>
      <c r="B237" s="6" t="s">
        <v>715</v>
      </c>
      <c r="C237" t="s">
        <v>716</v>
      </c>
      <c r="F237" s="7">
        <f t="shared" si="19"/>
        <v>394125</v>
      </c>
      <c r="G237" s="7">
        <f t="shared" si="20"/>
        <v>394122</v>
      </c>
      <c r="H237" s="7">
        <f t="shared" si="21"/>
        <v>0</v>
      </c>
      <c r="I237" s="7" t="str">
        <f t="shared" si="17"/>
        <v>0</v>
      </c>
      <c r="J237" s="8">
        <f t="shared" si="22"/>
        <v>0</v>
      </c>
      <c r="K237" s="8">
        <f t="shared" si="18"/>
        <v>0</v>
      </c>
      <c r="L237" s="8">
        <v>41862.720000000001</v>
      </c>
      <c r="M237" s="8">
        <v>83725.47</v>
      </c>
      <c r="N237" s="8">
        <v>160753.72</v>
      </c>
      <c r="O237" s="8">
        <v>131374.99</v>
      </c>
      <c r="P237" s="8">
        <v>164218.73000000001</v>
      </c>
      <c r="Q237" s="8">
        <v>197062.47</v>
      </c>
      <c r="R237" s="8">
        <v>229906.24</v>
      </c>
      <c r="S237" s="8">
        <v>262749.98</v>
      </c>
      <c r="T237" s="8">
        <v>295593.71999999997</v>
      </c>
      <c r="U237" s="8">
        <v>328437.49</v>
      </c>
      <c r="V237" s="8">
        <v>361281.23</v>
      </c>
      <c r="W237" s="8">
        <v>394125</v>
      </c>
      <c r="X237" s="8">
        <v>32843.49</v>
      </c>
      <c r="Y237" s="8">
        <v>65686.990000000005</v>
      </c>
      <c r="Z237" s="8">
        <v>98530.48</v>
      </c>
      <c r="AA237" s="8">
        <v>131373.99</v>
      </c>
      <c r="AB237" s="8">
        <v>164217.49</v>
      </c>
      <c r="AC237" s="8">
        <v>197060.98</v>
      </c>
      <c r="AD237" s="8">
        <v>229904.49</v>
      </c>
      <c r="AE237" s="8">
        <v>262747.99</v>
      </c>
      <c r="AF237" s="8">
        <v>295591.48</v>
      </c>
      <c r="AG237" s="8">
        <v>328434.99</v>
      </c>
      <c r="AH237" s="8">
        <v>361278.49</v>
      </c>
      <c r="AI237" s="8">
        <v>394122</v>
      </c>
      <c r="AJ237" s="8">
        <f>IFERROR(INDEX([1]SuSa_2024!BN:BN,MATCH($B237,[1]SuSa_2024!$B:$B,0)),"0")</f>
        <v>0</v>
      </c>
      <c r="AK237" s="8">
        <f>IFERROR(INDEX([1]SuSa_2024!BO:BO,MATCH($B237,[1]SuSa_2024!$B:$B,0)),"0")</f>
        <v>0</v>
      </c>
      <c r="AL237" s="8">
        <f>IFERROR(INDEX([1]SuSa_2024!BP:BP,MATCH($B237,[1]SuSa_2024!$B:$B,0)),"0")</f>
        <v>0</v>
      </c>
      <c r="AM237" s="8">
        <f>IFERROR(INDEX([1]SuSa_2024!BQ:BQ,MATCH($B237,[1]SuSa_2024!$B:$B,0)),"0")</f>
        <v>0</v>
      </c>
      <c r="AN237" s="8">
        <f>IFERROR(INDEX([1]SuSa_2024!BR:BR,MATCH($B237,[1]SuSa_2024!$B:$B,0)),"0")</f>
        <v>0</v>
      </c>
      <c r="AO237" s="8">
        <f>IFERROR(INDEX([1]SuSa_2024!BS:BS,MATCH($B237,[1]SuSa_2024!$B:$B,0)),"0")</f>
        <v>0</v>
      </c>
      <c r="AP237" s="8">
        <f>IFERROR(INDEX([1]SuSa_2024!BT:BT,MATCH($B237,[1]SuSa_2024!$B:$B,0)),"0")</f>
        <v>0</v>
      </c>
      <c r="AQ237" s="8">
        <f>IFERROR(INDEX([1]SuSa_2024!BU:BU,MATCH($B237,[1]SuSa_2024!$B:$B,0)),"0")</f>
        <v>0</v>
      </c>
      <c r="AR237" s="8">
        <f>IFERROR(INDEX([1]SuSa_2024!BV:BV,MATCH($B237,[1]SuSa_2024!$B:$B,0)),"0")</f>
        <v>0</v>
      </c>
      <c r="AS237" s="8">
        <f>IFERROR(INDEX([1]SuSa_2024!BW:BW,MATCH($B237,[1]SuSa_2024!$B:$B,0)),"0")</f>
        <v>0</v>
      </c>
      <c r="AT237" s="8">
        <f>IFERROR(INDEX([1]SuSa_2024!BX:BX,MATCH($B237,[1]SuSa_2024!$B:$B,0)),"0")</f>
        <v>0</v>
      </c>
      <c r="AU237" s="8">
        <f>IFERROR(INDEX([1]SuSa_2024!BY:BY,MATCH($B237,[1]SuSa_2024!$B:$B,0)),"0")</f>
        <v>0</v>
      </c>
      <c r="AV237" s="8" t="str">
        <f>IFERROR(INDEX([1]SuSa_2025!AR:AR,MATCH($B237,[1]SuSa_2025!$B:$B,0)),"0")</f>
        <v>0</v>
      </c>
      <c r="AW237" s="8" t="str">
        <f>IFERROR(INDEX([1]SuSa_2025!AS:AS,MATCH($B237,[1]SuSa_2025!$B:$B,0)),"0")</f>
        <v>0</v>
      </c>
      <c r="AX237" s="8" t="str">
        <f>IFERROR(INDEX([1]SuSa_2025!AT:AT,MATCH($B237,[1]SuSa_2025!$B:$B,0)),"0")</f>
        <v>0</v>
      </c>
      <c r="AY237" s="8" t="str">
        <f>IFERROR(INDEX([1]SuSa_2025!AU:AU,MATCH($B237,[1]SuSa_2025!$B:$B,0)),"0")</f>
        <v>0</v>
      </c>
      <c r="AZ237" s="8" t="str">
        <f>IFERROR(INDEX([1]SuSa_2025!AV:AV,MATCH($B237,[1]SuSa_2025!$B:$B,0)),"0")</f>
        <v>0</v>
      </c>
      <c r="BA237" s="8" t="str">
        <f>IFERROR(INDEX([1]SuSa_2025!AW:AW,MATCH($B237,[1]SuSa_2025!$B:$B,0)),"0")</f>
        <v>0</v>
      </c>
      <c r="BB237" s="8" t="str">
        <f>IFERROR(INDEX([1]SuSa_2025!AX:AX,MATCH($B237,[1]SuSa_2025!$B:$B,0)),"0")</f>
        <v>0</v>
      </c>
    </row>
    <row r="238" spans="1:54" outlineLevel="1" collapsed="1" x14ac:dyDescent="0.25">
      <c r="A238" s="5" t="s">
        <v>717</v>
      </c>
      <c r="B238" s="6" t="s">
        <v>718</v>
      </c>
      <c r="C238" t="s">
        <v>719</v>
      </c>
      <c r="F238" s="7">
        <f t="shared" si="19"/>
        <v>83015.179999999993</v>
      </c>
      <c r="G238" s="7">
        <f t="shared" si="20"/>
        <v>81699.039999999994</v>
      </c>
      <c r="H238" s="7">
        <f t="shared" si="21"/>
        <v>66272.84</v>
      </c>
      <c r="I238" s="7">
        <f t="shared" si="17"/>
        <v>34685.25</v>
      </c>
      <c r="J238" s="8">
        <f t="shared" si="22"/>
        <v>61009.84</v>
      </c>
      <c r="K238" s="8">
        <f t="shared" si="18"/>
        <v>39948.25</v>
      </c>
      <c r="L238" s="8">
        <v>6763.08</v>
      </c>
      <c r="M238" s="8">
        <v>13730.71</v>
      </c>
      <c r="N238" s="8">
        <v>20555.37</v>
      </c>
      <c r="O238" s="8">
        <v>27390.31</v>
      </c>
      <c r="P238" s="8">
        <v>34231.019999999997</v>
      </c>
      <c r="Q238" s="8">
        <v>41077.24</v>
      </c>
      <c r="R238" s="8">
        <v>47995.47</v>
      </c>
      <c r="S238" s="8">
        <v>54982.03</v>
      </c>
      <c r="T238" s="8">
        <v>62013.42</v>
      </c>
      <c r="U238" s="8">
        <v>68987.520000000004</v>
      </c>
      <c r="V238" s="8">
        <v>75961.31</v>
      </c>
      <c r="W238" s="8">
        <v>83015.179999999993</v>
      </c>
      <c r="X238" s="8">
        <v>7002.35</v>
      </c>
      <c r="Y238" s="8">
        <v>13925.04</v>
      </c>
      <c r="Z238" s="8">
        <v>20701.400000000001</v>
      </c>
      <c r="AA238" s="8">
        <v>27940.68</v>
      </c>
      <c r="AB238" s="8">
        <v>34873</v>
      </c>
      <c r="AC238" s="8">
        <v>41838.93</v>
      </c>
      <c r="AD238" s="8">
        <v>48666.27</v>
      </c>
      <c r="AE238" s="8">
        <v>55487.56</v>
      </c>
      <c r="AF238" s="8">
        <v>62035.42</v>
      </c>
      <c r="AG238" s="8">
        <v>68490.990000000005</v>
      </c>
      <c r="AH238" s="8">
        <v>75167.61</v>
      </c>
      <c r="AI238" s="8">
        <v>81699.039999999994</v>
      </c>
      <c r="AJ238" s="8">
        <f>IFERROR(INDEX([1]SuSa_2024!BN:BN,MATCH($B238,[1]SuSa_2024!$B:$B,0)),"0")</f>
        <v>6551.06</v>
      </c>
      <c r="AK238" s="8">
        <f>IFERROR(INDEX([1]SuSa_2024!BO:BO,MATCH($B238,[1]SuSa_2024!$B:$B,0)),"0")</f>
        <v>13256.52</v>
      </c>
      <c r="AL238" s="8">
        <f>IFERROR(INDEX([1]SuSa_2024!BP:BP,MATCH($B238,[1]SuSa_2024!$B:$B,0)),"0")</f>
        <v>19882.05</v>
      </c>
      <c r="AM238" s="8">
        <f>IFERROR(INDEX([1]SuSa_2024!BQ:BQ,MATCH($B238,[1]SuSa_2024!$B:$B,0)),"0")</f>
        <v>26566.400000000001</v>
      </c>
      <c r="AN238" s="8">
        <f>IFERROR(INDEX([1]SuSa_2024!BR:BR,MATCH($B238,[1]SuSa_2024!$B:$B,0)),"0")</f>
        <v>28834.030000000002</v>
      </c>
      <c r="AO238" s="8">
        <f>IFERROR(INDEX([1]SuSa_2024!BS:BS,MATCH($B238,[1]SuSa_2024!$B:$B,0)),"0")</f>
        <v>34594.83</v>
      </c>
      <c r="AP238" s="8">
        <f>IFERROR(INDEX([1]SuSa_2024!BT:BT,MATCH($B238,[1]SuSa_2024!$B:$B,0)),"0")</f>
        <v>39948.25</v>
      </c>
      <c r="AQ238" s="8">
        <f>IFERROR(INDEX([1]SuSa_2024!BU:BU,MATCH($B238,[1]SuSa_2024!$B:$B,0)),"0")</f>
        <v>45271.8</v>
      </c>
      <c r="AR238" s="8">
        <f>IFERROR(INDEX([1]SuSa_2024!BV:BV,MATCH($B238,[1]SuSa_2024!$B:$B,0)),"0")</f>
        <v>50576.9</v>
      </c>
      <c r="AS238" s="8">
        <f>IFERROR(INDEX([1]SuSa_2024!BW:BW,MATCH($B238,[1]SuSa_2024!$B:$B,0)),"0")</f>
        <v>55876.86</v>
      </c>
      <c r="AT238" s="8">
        <f>IFERROR(INDEX([1]SuSa_2024!BX:BX,MATCH($B238,[1]SuSa_2024!$B:$B,0)),"0")</f>
        <v>61075.68</v>
      </c>
      <c r="AU238" s="8">
        <f>IFERROR(INDEX([1]SuSa_2024!BY:BY,MATCH($B238,[1]SuSa_2024!$B:$B,0)),"0")</f>
        <v>66272.84</v>
      </c>
      <c r="AV238" s="8">
        <f>IFERROR(INDEX([1]SuSa_2025!AR:AR,MATCH($B238,[1]SuSa_2025!$B:$B,0)),"0")</f>
        <v>5169.91</v>
      </c>
      <c r="AW238" s="8">
        <f>IFERROR(INDEX([1]SuSa_2025!AS:AS,MATCH($B238,[1]SuSa_2025!$B:$B,0)),"0")</f>
        <v>10190.07</v>
      </c>
      <c r="AX238" s="8">
        <f>IFERROR(INDEX([1]SuSa_2025!AT:AT,MATCH($B238,[1]SuSa_2025!$B:$B,0)),"0")</f>
        <v>15143.99</v>
      </c>
      <c r="AY238" s="8">
        <f>IFERROR(INDEX([1]SuSa_2025!AU:AU,MATCH($B238,[1]SuSa_2025!$B:$B,0)),"0")</f>
        <v>15143.99</v>
      </c>
      <c r="AZ238" s="8">
        <f>IFERROR(INDEX([1]SuSa_2025!AV:AV,MATCH($B238,[1]SuSa_2025!$B:$B,0)),"0")</f>
        <v>15143.99</v>
      </c>
      <c r="BA238" s="8">
        <f>IFERROR(INDEX([1]SuSa_2025!AW:AW,MATCH($B238,[1]SuSa_2025!$B:$B,0)),"0")</f>
        <v>29672.17</v>
      </c>
      <c r="BB238" s="8">
        <f>IFERROR(INDEX([1]SuSa_2025!AX:AX,MATCH($B238,[1]SuSa_2025!$B:$B,0)),"0")</f>
        <v>34685.25</v>
      </c>
    </row>
    <row r="239" spans="1:54" outlineLevel="1" collapsed="1" x14ac:dyDescent="0.25">
      <c r="A239" s="5" t="s">
        <v>720</v>
      </c>
      <c r="B239" s="6" t="s">
        <v>721</v>
      </c>
      <c r="C239" t="s">
        <v>722</v>
      </c>
      <c r="F239" s="7">
        <f t="shared" si="19"/>
        <v>0</v>
      </c>
      <c r="G239" s="7">
        <f t="shared" si="20"/>
        <v>0</v>
      </c>
      <c r="H239" s="7">
        <f t="shared" si="21"/>
        <v>640.39</v>
      </c>
      <c r="I239" s="7">
        <f t="shared" si="17"/>
        <v>1262.0999999999999</v>
      </c>
      <c r="J239" s="8">
        <f t="shared" si="22"/>
        <v>1902.4899999999998</v>
      </c>
      <c r="K239" s="8">
        <f t="shared" si="18"/>
        <v>0</v>
      </c>
      <c r="AJ239" s="8">
        <f>IFERROR(INDEX([1]SuSa_2024!BN:BN,MATCH($B239,[1]SuSa_2024!$B:$B,0)),"0")</f>
        <v>0</v>
      </c>
      <c r="AK239" s="8">
        <f>IFERROR(INDEX([1]SuSa_2024!BO:BO,MATCH($B239,[1]SuSa_2024!$B:$B,0)),"0")</f>
        <v>0</v>
      </c>
      <c r="AL239" s="8">
        <f>IFERROR(INDEX([1]SuSa_2024!BP:BP,MATCH($B239,[1]SuSa_2024!$B:$B,0)),"0")</f>
        <v>0</v>
      </c>
      <c r="AM239" s="8">
        <f>IFERROR(INDEX([1]SuSa_2024!BQ:BQ,MATCH($B239,[1]SuSa_2024!$B:$B,0)),"0")</f>
        <v>0</v>
      </c>
      <c r="AN239" s="8">
        <f>IFERROR(INDEX([1]SuSa_2024!BR:BR,MATCH($B239,[1]SuSa_2024!$B:$B,0)),"0")</f>
        <v>0</v>
      </c>
      <c r="AO239" s="8">
        <f>IFERROR(INDEX([1]SuSa_2024!BS:BS,MATCH($B239,[1]SuSa_2024!$B:$B,0)),"0")</f>
        <v>0</v>
      </c>
      <c r="AP239" s="8">
        <f>IFERROR(INDEX([1]SuSa_2024!BT:BT,MATCH($B239,[1]SuSa_2024!$B:$B,0)),"0")</f>
        <v>0</v>
      </c>
      <c r="AQ239" s="8">
        <f>IFERROR(INDEX([1]SuSa_2024!BU:BU,MATCH($B239,[1]SuSa_2024!$B:$B,0)),"0")</f>
        <v>0</v>
      </c>
      <c r="AR239" s="8">
        <f>IFERROR(INDEX([1]SuSa_2024!BV:BV,MATCH($B239,[1]SuSa_2024!$B:$B,0)),"0")</f>
        <v>0</v>
      </c>
      <c r="AS239" s="8">
        <f>IFERROR(INDEX([1]SuSa_2024!BW:BW,MATCH($B239,[1]SuSa_2024!$B:$B,0)),"0")</f>
        <v>0</v>
      </c>
      <c r="AT239" s="8">
        <f>IFERROR(INDEX([1]SuSa_2024!BX:BX,MATCH($B239,[1]SuSa_2024!$B:$B,0)),"0")</f>
        <v>0</v>
      </c>
      <c r="AU239" s="8">
        <f>IFERROR(INDEX([1]SuSa_2024!BY:BY,MATCH($B239,[1]SuSa_2024!$B:$B,0)),"0")</f>
        <v>640.39</v>
      </c>
      <c r="AV239" s="8">
        <f>IFERROR(INDEX([1]SuSa_2025!AR:AR,MATCH($B239,[1]SuSa_2025!$B:$B,0)),"0")</f>
        <v>0</v>
      </c>
      <c r="AW239" s="8">
        <f>IFERROR(INDEX([1]SuSa_2025!AS:AS,MATCH($B239,[1]SuSa_2025!$B:$B,0)),"0")</f>
        <v>0</v>
      </c>
      <c r="AX239" s="8">
        <f>IFERROR(INDEX([1]SuSa_2025!AT:AT,MATCH($B239,[1]SuSa_2025!$B:$B,0)),"0")</f>
        <v>922.65</v>
      </c>
      <c r="AY239" s="8">
        <f>IFERROR(INDEX([1]SuSa_2025!AU:AU,MATCH($B239,[1]SuSa_2025!$B:$B,0)),"0")</f>
        <v>922.65</v>
      </c>
      <c r="AZ239" s="8">
        <f>IFERROR(INDEX([1]SuSa_2025!AV:AV,MATCH($B239,[1]SuSa_2025!$B:$B,0)),"0")</f>
        <v>922.65</v>
      </c>
      <c r="BA239" s="8">
        <f>IFERROR(INDEX([1]SuSa_2025!AW:AW,MATCH($B239,[1]SuSa_2025!$B:$B,0)),"0")</f>
        <v>922.65</v>
      </c>
      <c r="BB239" s="8">
        <f>IFERROR(INDEX([1]SuSa_2025!AX:AX,MATCH($B239,[1]SuSa_2025!$B:$B,0)),"0")</f>
        <v>1262.0999999999999</v>
      </c>
    </row>
    <row r="240" spans="1:54" outlineLevel="1" collapsed="1" x14ac:dyDescent="0.25">
      <c r="A240" s="5" t="s">
        <v>723</v>
      </c>
      <c r="B240" s="6" t="s">
        <v>724</v>
      </c>
      <c r="C240" t="s">
        <v>725</v>
      </c>
      <c r="F240" s="7">
        <f t="shared" si="19"/>
        <v>2487</v>
      </c>
      <c r="G240" s="7">
        <f t="shared" si="20"/>
        <v>2236.6</v>
      </c>
      <c r="H240" s="7">
        <f t="shared" si="21"/>
        <v>1401.7</v>
      </c>
      <c r="I240" s="7">
        <f t="shared" si="17"/>
        <v>492.81</v>
      </c>
      <c r="J240" s="8">
        <f t="shared" si="22"/>
        <v>828.02</v>
      </c>
      <c r="K240" s="8">
        <f t="shared" si="18"/>
        <v>1066.49</v>
      </c>
      <c r="L240" s="8">
        <v>213.34</v>
      </c>
      <c r="M240" s="8">
        <v>426.77</v>
      </c>
      <c r="N240" s="8">
        <v>640.11</v>
      </c>
      <c r="O240" s="8">
        <v>853.59</v>
      </c>
      <c r="P240" s="8">
        <v>1058.02</v>
      </c>
      <c r="Q240" s="8">
        <v>1262.3599999999999</v>
      </c>
      <c r="R240" s="8">
        <v>1466.84</v>
      </c>
      <c r="S240" s="8">
        <v>1671.27</v>
      </c>
      <c r="T240" s="8">
        <v>1875.61</v>
      </c>
      <c r="U240" s="8">
        <v>2080.09</v>
      </c>
      <c r="V240" s="8">
        <v>2284.52</v>
      </c>
      <c r="W240" s="8">
        <v>2487</v>
      </c>
      <c r="X240" s="8">
        <v>187.08</v>
      </c>
      <c r="Y240" s="8">
        <v>374.22</v>
      </c>
      <c r="Z240" s="8">
        <v>570.4</v>
      </c>
      <c r="AA240" s="8">
        <v>766.69</v>
      </c>
      <c r="AB240" s="8">
        <v>976.6</v>
      </c>
      <c r="AC240" s="8">
        <v>1168.43</v>
      </c>
      <c r="AD240" s="8">
        <v>1353.52</v>
      </c>
      <c r="AE240" s="8">
        <v>1538.58</v>
      </c>
      <c r="AF240" s="8">
        <v>1723.57</v>
      </c>
      <c r="AG240" s="8">
        <v>1908.66</v>
      </c>
      <c r="AH240" s="8">
        <v>2074.11</v>
      </c>
      <c r="AI240" s="8">
        <v>2236.6</v>
      </c>
      <c r="AJ240" s="8">
        <f>IFERROR(INDEX([1]SuSa_2024!BN:BN,MATCH($B240,[1]SuSa_2024!$B:$B,0)),"0")</f>
        <v>138.22</v>
      </c>
      <c r="AK240" s="8">
        <f>IFERROR(INDEX([1]SuSa_2024!BO:BO,MATCH($B240,[1]SuSa_2024!$B:$B,0)),"0")</f>
        <v>276.47000000000003</v>
      </c>
      <c r="AL240" s="8">
        <f>IFERROR(INDEX([1]SuSa_2024!BP:BP,MATCH($B240,[1]SuSa_2024!$B:$B,0)),"0")</f>
        <v>457.83000000000004</v>
      </c>
      <c r="AM240" s="8">
        <f>IFERROR(INDEX([1]SuSa_2024!BQ:BQ,MATCH($B240,[1]SuSa_2024!$B:$B,0)),"0")</f>
        <v>639.26</v>
      </c>
      <c r="AN240" s="8">
        <f>IFERROR(INDEX([1]SuSa_2024!BR:BR,MATCH($B240,[1]SuSa_2024!$B:$B,0)),"0")</f>
        <v>809.4</v>
      </c>
      <c r="AO240" s="8">
        <f>IFERROR(INDEX([1]SuSa_2024!BS:BS,MATCH($B240,[1]SuSa_2024!$B:$B,0)),"0")</f>
        <v>937.91</v>
      </c>
      <c r="AP240" s="8">
        <f>IFERROR(INDEX([1]SuSa_2024!BT:BT,MATCH($B240,[1]SuSa_2024!$B:$B,0)),"0")</f>
        <v>1066.49</v>
      </c>
      <c r="AQ240" s="8">
        <f>IFERROR(INDEX([1]SuSa_2024!BU:BU,MATCH($B240,[1]SuSa_2024!$B:$B,0)),"0")</f>
        <v>1195.03</v>
      </c>
      <c r="AR240" s="8">
        <f>IFERROR(INDEX([1]SuSa_2024!BV:BV,MATCH($B240,[1]SuSa_2024!$B:$B,0)),"0")</f>
        <v>1323.53</v>
      </c>
      <c r="AS240" s="8">
        <f>IFERROR(INDEX([1]SuSa_2024!BW:BW,MATCH($B240,[1]SuSa_2024!$B:$B,0)),"0")</f>
        <v>1447.68</v>
      </c>
      <c r="AT240" s="8">
        <f>IFERROR(INDEX([1]SuSa_2024!BX:BX,MATCH($B240,[1]SuSa_2024!$B:$B,0)),"0")</f>
        <v>1571.77</v>
      </c>
      <c r="AU240" s="8">
        <f>IFERROR(INDEX([1]SuSa_2024!BY:BY,MATCH($B240,[1]SuSa_2024!$B:$B,0)),"0")</f>
        <v>1401.7</v>
      </c>
      <c r="AV240" s="8">
        <f>IFERROR(INDEX([1]SuSa_2025!AR:AR,MATCH($B240,[1]SuSa_2025!$B:$B,0)),"0")</f>
        <v>115.81</v>
      </c>
      <c r="AW240" s="8">
        <f>IFERROR(INDEX([1]SuSa_2025!AS:AS,MATCH($B240,[1]SuSa_2025!$B:$B,0)),"0")</f>
        <v>223.64</v>
      </c>
      <c r="AX240" s="8">
        <f>IFERROR(INDEX([1]SuSa_2025!AT:AT,MATCH($B240,[1]SuSa_2025!$B:$B,0)),"0")</f>
        <v>277.45</v>
      </c>
      <c r="AY240" s="8">
        <f>IFERROR(INDEX([1]SuSa_2025!AU:AU,MATCH($B240,[1]SuSa_2025!$B:$B,0)),"0")</f>
        <v>277.45</v>
      </c>
      <c r="AZ240" s="8">
        <f>IFERROR(INDEX([1]SuSa_2025!AV:AV,MATCH($B240,[1]SuSa_2025!$B:$B,0)),"0")</f>
        <v>277.45</v>
      </c>
      <c r="BA240" s="8">
        <f>IFERROR(INDEX([1]SuSa_2025!AW:AW,MATCH($B240,[1]SuSa_2025!$B:$B,0)),"0")</f>
        <v>438.95</v>
      </c>
      <c r="BB240" s="8">
        <f>IFERROR(INDEX([1]SuSa_2025!AX:AX,MATCH($B240,[1]SuSa_2025!$B:$B,0)),"0")</f>
        <v>492.81</v>
      </c>
    </row>
    <row r="241" spans="1:54" outlineLevel="1" collapsed="1" x14ac:dyDescent="0.25">
      <c r="A241" s="5" t="s">
        <v>726</v>
      </c>
      <c r="B241" s="6" t="s">
        <v>727</v>
      </c>
      <c r="C241" t="s">
        <v>728</v>
      </c>
      <c r="F241" s="22">
        <f t="shared" si="19"/>
        <v>3597.24</v>
      </c>
      <c r="G241" s="7">
        <f t="shared" si="20"/>
        <v>2027.59</v>
      </c>
      <c r="H241" s="7">
        <f t="shared" si="21"/>
        <v>1546.23</v>
      </c>
      <c r="I241" s="7">
        <f t="shared" si="17"/>
        <v>1169.31</v>
      </c>
      <c r="J241" s="8">
        <f t="shared" si="22"/>
        <v>1242.47</v>
      </c>
      <c r="K241" s="8">
        <f t="shared" si="18"/>
        <v>1473.07</v>
      </c>
      <c r="L241" s="8">
        <v>760.58</v>
      </c>
      <c r="M241" s="8">
        <v>1874.04</v>
      </c>
      <c r="N241" s="8">
        <v>2180.04</v>
      </c>
      <c r="O241" s="8">
        <v>4340.7700000000004</v>
      </c>
      <c r="P241" s="8">
        <v>5981.86</v>
      </c>
      <c r="Q241" s="8">
        <v>2783.22</v>
      </c>
      <c r="R241" s="8">
        <v>3127.05</v>
      </c>
      <c r="S241" s="8">
        <v>3127.05</v>
      </c>
      <c r="T241" s="8">
        <v>3576.75</v>
      </c>
      <c r="U241" s="8">
        <v>3597.24</v>
      </c>
      <c r="V241" s="8">
        <v>6030.7</v>
      </c>
      <c r="W241" s="8">
        <v>3597.24</v>
      </c>
      <c r="X241" s="8">
        <v>111.75</v>
      </c>
      <c r="Y241" s="8">
        <v>428.41</v>
      </c>
      <c r="Z241" s="8">
        <v>636.74</v>
      </c>
      <c r="AA241" s="8">
        <v>845.07</v>
      </c>
      <c r="AB241" s="8">
        <v>1161.3499999999999</v>
      </c>
      <c r="AC241" s="8">
        <v>1377.57</v>
      </c>
      <c r="AD241" s="8">
        <v>1485.9</v>
      </c>
      <c r="AE241" s="8">
        <v>1594.23</v>
      </c>
      <c r="AF241" s="8">
        <v>1702.56</v>
      </c>
      <c r="AG241" s="8">
        <v>1810.89</v>
      </c>
      <c r="AH241" s="8">
        <v>1919.22</v>
      </c>
      <c r="AI241" s="8">
        <v>2027.59</v>
      </c>
      <c r="AJ241" s="8">
        <f>IFERROR(INDEX([1]SuSa_2024!BN:BN,MATCH($B241,[1]SuSa_2024!$B:$B,0)),"0")</f>
        <v>0</v>
      </c>
      <c r="AK241" s="8">
        <f>IFERROR(INDEX([1]SuSa_2024!BO:BO,MATCH($B241,[1]SuSa_2024!$B:$B,0)),"0")</f>
        <v>0</v>
      </c>
      <c r="AL241" s="8">
        <f>IFERROR(INDEX([1]SuSa_2024!BP:BP,MATCH($B241,[1]SuSa_2024!$B:$B,0)),"0")</f>
        <v>10</v>
      </c>
      <c r="AM241" s="8">
        <f>IFERROR(INDEX([1]SuSa_2024!BQ:BQ,MATCH($B241,[1]SuSa_2024!$B:$B,0)),"0")</f>
        <v>15</v>
      </c>
      <c r="AN241" s="8">
        <f>IFERROR(INDEX([1]SuSa_2024!BR:BR,MATCH($B241,[1]SuSa_2024!$B:$B,0)),"0")</f>
        <v>1473.07</v>
      </c>
      <c r="AO241" s="8">
        <f>IFERROR(INDEX([1]SuSa_2024!BS:BS,MATCH($B241,[1]SuSa_2024!$B:$B,0)),"0")</f>
        <v>1473.07</v>
      </c>
      <c r="AP241" s="8">
        <f>IFERROR(INDEX([1]SuSa_2024!BT:BT,MATCH($B241,[1]SuSa_2024!$B:$B,0)),"0")</f>
        <v>1473.07</v>
      </c>
      <c r="AQ241" s="8">
        <f>IFERROR(INDEX([1]SuSa_2024!BU:BU,MATCH($B241,[1]SuSa_2024!$B:$B,0)),"0")</f>
        <v>1473.07</v>
      </c>
      <c r="AR241" s="8">
        <f>IFERROR(INDEX([1]SuSa_2024!BV:BV,MATCH($B241,[1]SuSa_2024!$B:$B,0)),"0")</f>
        <v>1473.07</v>
      </c>
      <c r="AS241" s="8">
        <f>IFERROR(INDEX([1]SuSa_2024!BW:BW,MATCH($B241,[1]SuSa_2024!$B:$B,0)),"0")</f>
        <v>1473.07</v>
      </c>
      <c r="AT241" s="8">
        <f>IFERROR(INDEX([1]SuSa_2024!BX:BX,MATCH($B241,[1]SuSa_2024!$B:$B,0)),"0")</f>
        <v>1473.07</v>
      </c>
      <c r="AU241" s="8">
        <f>IFERROR(INDEX([1]SuSa_2024!BY:BY,MATCH($B241,[1]SuSa_2024!$B:$B,0)),"0")</f>
        <v>1546.23</v>
      </c>
      <c r="AV241" s="8">
        <f>IFERROR(INDEX([1]SuSa_2025!AR:AR,MATCH($B241,[1]SuSa_2025!$B:$B,0)),"0")</f>
        <v>108.33</v>
      </c>
      <c r="AW241" s="8">
        <f>IFERROR(INDEX([1]SuSa_2025!AS:AS,MATCH($B241,[1]SuSa_2025!$B:$B,0)),"0")</f>
        <v>216.66</v>
      </c>
      <c r="AX241" s="8">
        <f>IFERROR(INDEX([1]SuSa_2025!AT:AT,MATCH($B241,[1]SuSa_2025!$B:$B,0)),"0")</f>
        <v>324.99</v>
      </c>
      <c r="AY241" s="8">
        <f>IFERROR(INDEX([1]SuSa_2025!AU:AU,MATCH($B241,[1]SuSa_2025!$B:$B,0)),"0")</f>
        <v>433.32</v>
      </c>
      <c r="AZ241" s="8">
        <f>IFERROR(INDEX([1]SuSa_2025!AV:AV,MATCH($B241,[1]SuSa_2025!$B:$B,0)),"0")</f>
        <v>541.65</v>
      </c>
      <c r="BA241" s="8">
        <f>IFERROR(INDEX([1]SuSa_2025!AW:AW,MATCH($B241,[1]SuSa_2025!$B:$B,0)),"0")</f>
        <v>1060.98</v>
      </c>
      <c r="BB241" s="8">
        <f>IFERROR(INDEX([1]SuSa_2025!AX:AX,MATCH($B241,[1]SuSa_2025!$B:$B,0)),"0")</f>
        <v>1169.31</v>
      </c>
    </row>
    <row r="242" spans="1:54" outlineLevel="1" collapsed="1" x14ac:dyDescent="0.25">
      <c r="A242" s="5" t="s">
        <v>729</v>
      </c>
      <c r="B242" s="6" t="s">
        <v>730</v>
      </c>
      <c r="C242" t="s">
        <v>731</v>
      </c>
      <c r="F242" s="22">
        <f t="shared" si="19"/>
        <v>0</v>
      </c>
      <c r="G242" s="7">
        <f t="shared" si="20"/>
        <v>19135</v>
      </c>
      <c r="H242" s="7">
        <f t="shared" si="21"/>
        <v>0</v>
      </c>
      <c r="I242" s="7" t="str">
        <f t="shared" si="17"/>
        <v>0</v>
      </c>
      <c r="J242" s="8">
        <f t="shared" si="22"/>
        <v>0</v>
      </c>
      <c r="K242" s="8">
        <f t="shared" si="18"/>
        <v>0</v>
      </c>
      <c r="Y242" s="8">
        <v>8775</v>
      </c>
      <c r="Z242" s="8">
        <v>10855</v>
      </c>
      <c r="AA242" s="8">
        <v>10855</v>
      </c>
      <c r="AB242" s="8">
        <v>19135</v>
      </c>
      <c r="AC242" s="8">
        <v>19135</v>
      </c>
      <c r="AD242" s="8">
        <v>19135</v>
      </c>
      <c r="AE242" s="8">
        <v>19135</v>
      </c>
      <c r="AF242" s="8">
        <v>19135</v>
      </c>
      <c r="AG242" s="8">
        <v>19135</v>
      </c>
      <c r="AH242" s="8">
        <v>19135</v>
      </c>
      <c r="AI242" s="8">
        <v>19135</v>
      </c>
      <c r="AJ242" s="8">
        <f>IFERROR(INDEX([1]SuSa_2024!BN:BN,MATCH($B242,[1]SuSa_2024!$B:$B,0)),"0")</f>
        <v>0</v>
      </c>
      <c r="AK242" s="8">
        <f>IFERROR(INDEX([1]SuSa_2024!BO:BO,MATCH($B242,[1]SuSa_2024!$B:$B,0)),"0")</f>
        <v>0</v>
      </c>
      <c r="AL242" s="8">
        <f>IFERROR(INDEX([1]SuSa_2024!BP:BP,MATCH($B242,[1]SuSa_2024!$B:$B,0)),"0")</f>
        <v>0</v>
      </c>
      <c r="AM242" s="8">
        <f>IFERROR(INDEX([1]SuSa_2024!BQ:BQ,MATCH($B242,[1]SuSa_2024!$B:$B,0)),"0")</f>
        <v>0</v>
      </c>
      <c r="AN242" s="8">
        <f>IFERROR(INDEX([1]SuSa_2024!BR:BR,MATCH($B242,[1]SuSa_2024!$B:$B,0)),"0")</f>
        <v>0</v>
      </c>
      <c r="AO242" s="8">
        <f>IFERROR(INDEX([1]SuSa_2024!BS:BS,MATCH($B242,[1]SuSa_2024!$B:$B,0)),"0")</f>
        <v>0</v>
      </c>
      <c r="AP242" s="8">
        <f>IFERROR(INDEX([1]SuSa_2024!BT:BT,MATCH($B242,[1]SuSa_2024!$B:$B,0)),"0")</f>
        <v>0</v>
      </c>
      <c r="AQ242" s="8">
        <f>IFERROR(INDEX([1]SuSa_2024!BU:BU,MATCH($B242,[1]SuSa_2024!$B:$B,0)),"0")</f>
        <v>0</v>
      </c>
      <c r="AR242" s="8">
        <f>IFERROR(INDEX([1]SuSa_2024!BV:BV,MATCH($B242,[1]SuSa_2024!$B:$B,0)),"0")</f>
        <v>0</v>
      </c>
      <c r="AS242" s="8">
        <f>IFERROR(INDEX([1]SuSa_2024!BW:BW,MATCH($B242,[1]SuSa_2024!$B:$B,0)),"0")</f>
        <v>0</v>
      </c>
      <c r="AT242" s="8">
        <f>IFERROR(INDEX([1]SuSa_2024!BX:BX,MATCH($B242,[1]SuSa_2024!$B:$B,0)),"0")</f>
        <v>0</v>
      </c>
      <c r="AU242" s="8">
        <f>IFERROR(INDEX([1]SuSa_2024!BY:BY,MATCH($B242,[1]SuSa_2024!$B:$B,0)),"0")</f>
        <v>0</v>
      </c>
      <c r="AV242" s="8" t="str">
        <f>IFERROR(INDEX([1]SuSa_2025!AR:AR,MATCH($B242,[1]SuSa_2025!$B:$B,0)),"0")</f>
        <v>0</v>
      </c>
      <c r="AW242" s="8" t="str">
        <f>IFERROR(INDEX([1]SuSa_2025!AS:AS,MATCH($B242,[1]SuSa_2025!$B:$B,0)),"0")</f>
        <v>0</v>
      </c>
      <c r="AX242" s="8" t="str">
        <f>IFERROR(INDEX([1]SuSa_2025!AT:AT,MATCH($B242,[1]SuSa_2025!$B:$B,0)),"0")</f>
        <v>0</v>
      </c>
      <c r="AY242" s="8" t="str">
        <f>IFERROR(INDEX([1]SuSa_2025!AU:AU,MATCH($B242,[1]SuSa_2025!$B:$B,0)),"0")</f>
        <v>0</v>
      </c>
      <c r="AZ242" s="8" t="str">
        <f>IFERROR(INDEX([1]SuSa_2025!AV:AV,MATCH($B242,[1]SuSa_2025!$B:$B,0)),"0")</f>
        <v>0</v>
      </c>
      <c r="BA242" s="8" t="str">
        <f>IFERROR(INDEX([1]SuSa_2025!AW:AW,MATCH($B242,[1]SuSa_2025!$B:$B,0)),"0")</f>
        <v>0</v>
      </c>
      <c r="BB242" s="8" t="str">
        <f>IFERROR(INDEX([1]SuSa_2025!AX:AX,MATCH($B242,[1]SuSa_2025!$B:$B,0)),"0")</f>
        <v>0</v>
      </c>
    </row>
    <row r="243" spans="1:54" outlineLevel="1" collapsed="1" x14ac:dyDescent="0.25">
      <c r="A243" s="5" t="s">
        <v>732</v>
      </c>
      <c r="B243" s="6" t="s">
        <v>733</v>
      </c>
      <c r="C243" t="s">
        <v>734</v>
      </c>
      <c r="F243" s="22">
        <f t="shared" si="19"/>
        <v>1781.85</v>
      </c>
      <c r="G243" s="7">
        <f t="shared" si="20"/>
        <v>1833.58</v>
      </c>
      <c r="H243" s="7">
        <f t="shared" si="21"/>
        <v>1577.8600000000001</v>
      </c>
      <c r="I243" s="7">
        <f t="shared" si="17"/>
        <v>950.31000000000006</v>
      </c>
      <c r="J243" s="8">
        <f t="shared" si="22"/>
        <v>1428.3899999999999</v>
      </c>
      <c r="K243" s="8">
        <f t="shared" si="18"/>
        <v>1099.7800000000002</v>
      </c>
      <c r="L243" s="8">
        <v>668.51</v>
      </c>
      <c r="M243" s="8">
        <v>791.18</v>
      </c>
      <c r="N243" s="8">
        <v>791.18</v>
      </c>
      <c r="O243" s="8">
        <v>812.69</v>
      </c>
      <c r="P243" s="8">
        <v>812.69</v>
      </c>
      <c r="Q243" s="8">
        <v>812.69</v>
      </c>
      <c r="R243" s="8">
        <v>839.64</v>
      </c>
      <c r="S243" s="8">
        <v>861.41</v>
      </c>
      <c r="T243" s="8">
        <v>991.3</v>
      </c>
      <c r="U243" s="8">
        <v>1009.42</v>
      </c>
      <c r="V243" s="8">
        <v>1059.92</v>
      </c>
      <c r="W243" s="8">
        <v>1781.85</v>
      </c>
      <c r="X243" s="8">
        <v>95.57</v>
      </c>
      <c r="Y243" s="8">
        <v>201.55</v>
      </c>
      <c r="Z243" s="8">
        <v>378.87</v>
      </c>
      <c r="AA243" s="8">
        <v>453.32</v>
      </c>
      <c r="AB243" s="8">
        <v>453.32</v>
      </c>
      <c r="AC243" s="8">
        <v>692.15</v>
      </c>
      <c r="AD243" s="8">
        <v>692.15</v>
      </c>
      <c r="AE243" s="8">
        <v>830.34</v>
      </c>
      <c r="AF243" s="8">
        <v>982.33</v>
      </c>
      <c r="AG243" s="8">
        <v>1058.0899999999999</v>
      </c>
      <c r="AH243" s="8">
        <v>1300.1400000000001</v>
      </c>
      <c r="AI243" s="8">
        <v>1833.58</v>
      </c>
      <c r="AJ243" s="8">
        <f>IFERROR(INDEX([1]SuSa_2024!BN:BN,MATCH($B243,[1]SuSa_2024!$B:$B,0)),"0")</f>
        <v>0</v>
      </c>
      <c r="AK243" s="8">
        <f>IFERROR(INDEX([1]SuSa_2024!BO:BO,MATCH($B243,[1]SuSa_2024!$B:$B,0)),"0")</f>
        <v>155.4</v>
      </c>
      <c r="AL243" s="8">
        <f>IFERROR(INDEX([1]SuSa_2024!BP:BP,MATCH($B243,[1]SuSa_2024!$B:$B,0)),"0")</f>
        <v>-181.85</v>
      </c>
      <c r="AM243" s="8">
        <f>IFERROR(INDEX([1]SuSa_2024!BQ:BQ,MATCH($B243,[1]SuSa_2024!$B:$B,0)),"0")</f>
        <v>-90.059999999999988</v>
      </c>
      <c r="AN243" s="8">
        <f>IFERROR(INDEX([1]SuSa_2024!BR:BR,MATCH($B243,[1]SuSa_2024!$B:$B,0)),"0")</f>
        <v>204.92000000000002</v>
      </c>
      <c r="AO243" s="8">
        <f>IFERROR(INDEX([1]SuSa_2024!BS:BS,MATCH($B243,[1]SuSa_2024!$B:$B,0)),"0")</f>
        <v>1024.6300000000001</v>
      </c>
      <c r="AP243" s="8">
        <f>IFERROR(INDEX([1]SuSa_2024!BT:BT,MATCH($B243,[1]SuSa_2024!$B:$B,0)),"0")</f>
        <v>1099.7800000000002</v>
      </c>
      <c r="AQ243" s="8">
        <f>IFERROR(INDEX([1]SuSa_2024!BU:BU,MATCH($B243,[1]SuSa_2024!$B:$B,0)),"0")</f>
        <v>1099.7800000000002</v>
      </c>
      <c r="AR243" s="8">
        <f>IFERROR(INDEX([1]SuSa_2024!BV:BV,MATCH($B243,[1]SuSa_2024!$B:$B,0)),"0")</f>
        <v>1099.7800000000002</v>
      </c>
      <c r="AS243" s="8">
        <f>IFERROR(INDEX([1]SuSa_2024!BW:BW,MATCH($B243,[1]SuSa_2024!$B:$B,0)),"0")</f>
        <v>1099.7800000000002</v>
      </c>
      <c r="AT243" s="8">
        <f>IFERROR(INDEX([1]SuSa_2024!BX:BX,MATCH($B243,[1]SuSa_2024!$B:$B,0)),"0")</f>
        <v>1154.5800000000002</v>
      </c>
      <c r="AU243" s="8">
        <f>IFERROR(INDEX([1]SuSa_2024!BY:BY,MATCH($B243,[1]SuSa_2024!$B:$B,0)),"0")</f>
        <v>1577.8600000000001</v>
      </c>
      <c r="AV243" s="8">
        <f>IFERROR(INDEX([1]SuSa_2025!AR:AR,MATCH($B243,[1]SuSa_2025!$B:$B,0)),"0")</f>
        <v>26.08</v>
      </c>
      <c r="AW243" s="8">
        <f>IFERROR(INDEX([1]SuSa_2025!AS:AS,MATCH($B243,[1]SuSa_2025!$B:$B,0)),"0")</f>
        <v>26.08</v>
      </c>
      <c r="AX243" s="8">
        <f>IFERROR(INDEX([1]SuSa_2025!AT:AT,MATCH($B243,[1]SuSa_2025!$B:$B,0)),"0")</f>
        <v>783.82</v>
      </c>
      <c r="AY243" s="8">
        <f>IFERROR(INDEX([1]SuSa_2025!AU:AU,MATCH($B243,[1]SuSa_2025!$B:$B,0)),"0")</f>
        <v>950.31000000000006</v>
      </c>
      <c r="AZ243" s="8">
        <f>IFERROR(INDEX([1]SuSa_2025!AV:AV,MATCH($B243,[1]SuSa_2025!$B:$B,0)),"0")</f>
        <v>950.31000000000006</v>
      </c>
      <c r="BA243" s="8">
        <f>IFERROR(INDEX([1]SuSa_2025!AW:AW,MATCH($B243,[1]SuSa_2025!$B:$B,0)),"0")</f>
        <v>950.31000000000006</v>
      </c>
      <c r="BB243" s="8">
        <f>IFERROR(INDEX([1]SuSa_2025!AX:AX,MATCH($B243,[1]SuSa_2025!$B:$B,0)),"0")</f>
        <v>950.31000000000006</v>
      </c>
    </row>
    <row r="244" spans="1:54" outlineLevel="1" collapsed="1" x14ac:dyDescent="0.25">
      <c r="A244" s="5" t="s">
        <v>735</v>
      </c>
      <c r="B244" s="6" t="s">
        <v>736</v>
      </c>
      <c r="C244" t="s">
        <v>737</v>
      </c>
      <c r="F244" s="22">
        <f t="shared" si="19"/>
        <v>4402.74</v>
      </c>
      <c r="G244" s="7">
        <f t="shared" si="20"/>
        <v>3320.74</v>
      </c>
      <c r="H244" s="7">
        <f t="shared" si="21"/>
        <v>2152.4100000000003</v>
      </c>
      <c r="I244" s="7">
        <f t="shared" si="17"/>
        <v>255.74</v>
      </c>
      <c r="J244" s="8">
        <f t="shared" si="22"/>
        <v>742.54000000000042</v>
      </c>
      <c r="K244" s="8">
        <f t="shared" si="18"/>
        <v>1665.6100000000001</v>
      </c>
      <c r="L244" s="8">
        <v>230</v>
      </c>
      <c r="M244" s="8">
        <v>460</v>
      </c>
      <c r="N244" s="8">
        <v>698</v>
      </c>
      <c r="O244" s="8">
        <v>946.51</v>
      </c>
      <c r="P244" s="8">
        <v>1251.9100000000001</v>
      </c>
      <c r="Q244" s="8">
        <v>1507.54</v>
      </c>
      <c r="R244" s="8">
        <v>2627.3</v>
      </c>
      <c r="S244" s="8">
        <v>2642.46</v>
      </c>
      <c r="T244" s="8">
        <v>3181.32</v>
      </c>
      <c r="U244" s="8">
        <v>3441.79</v>
      </c>
      <c r="V244" s="8">
        <v>4234.24</v>
      </c>
      <c r="W244" s="8">
        <v>4402.74</v>
      </c>
      <c r="X244" s="8">
        <v>262.29000000000002</v>
      </c>
      <c r="Y244" s="8">
        <v>522.62</v>
      </c>
      <c r="Z244" s="8">
        <v>944.51</v>
      </c>
      <c r="AA244" s="8">
        <v>1332.9</v>
      </c>
      <c r="AB244" s="8">
        <v>1607.48</v>
      </c>
      <c r="AC244" s="8">
        <v>1866.07</v>
      </c>
      <c r="AD244" s="8">
        <v>2197.9899999999998</v>
      </c>
      <c r="AE244" s="8">
        <v>2457.5700000000002</v>
      </c>
      <c r="AF244" s="8">
        <v>2471.85</v>
      </c>
      <c r="AG244" s="8">
        <v>2499.58</v>
      </c>
      <c r="AH244" s="8">
        <v>3538.49</v>
      </c>
      <c r="AI244" s="8">
        <v>3320.74</v>
      </c>
      <c r="AJ244" s="8">
        <f>IFERROR(INDEX([1]SuSa_2024!BN:BN,MATCH($B244,[1]SuSa_2024!$B:$B,0)),"0")</f>
        <v>502.6</v>
      </c>
      <c r="AK244" s="8">
        <f>IFERROR(INDEX([1]SuSa_2024!BO:BO,MATCH($B244,[1]SuSa_2024!$B:$B,0)),"0")</f>
        <v>780.36</v>
      </c>
      <c r="AL244" s="8">
        <f>IFERROR(INDEX([1]SuSa_2024!BP:BP,MATCH($B244,[1]SuSa_2024!$B:$B,0)),"0")</f>
        <v>1043.8400000000001</v>
      </c>
      <c r="AM244" s="8">
        <f>IFERROR(INDEX([1]SuSa_2024!BQ:BQ,MATCH($B244,[1]SuSa_2024!$B:$B,0)),"0")</f>
        <v>1344.0100000000002</v>
      </c>
      <c r="AN244" s="8">
        <f>IFERROR(INDEX([1]SuSa_2024!BR:BR,MATCH($B244,[1]SuSa_2024!$B:$B,0)),"0")</f>
        <v>1357.4900000000002</v>
      </c>
      <c r="AO244" s="8">
        <f>IFERROR(INDEX([1]SuSa_2024!BS:BS,MATCH($B244,[1]SuSa_2024!$B:$B,0)),"0")</f>
        <v>1511.5500000000002</v>
      </c>
      <c r="AP244" s="8">
        <f>IFERROR(INDEX([1]SuSa_2024!BT:BT,MATCH($B244,[1]SuSa_2024!$B:$B,0)),"0")</f>
        <v>1665.6100000000001</v>
      </c>
      <c r="AQ244" s="8">
        <f>IFERROR(INDEX([1]SuSa_2024!BU:BU,MATCH($B244,[1]SuSa_2024!$B:$B,0)),"0")</f>
        <v>1679.0900000000001</v>
      </c>
      <c r="AR244" s="8">
        <f>IFERROR(INDEX([1]SuSa_2024!BV:BV,MATCH($B244,[1]SuSa_2024!$B:$B,0)),"0")</f>
        <v>1679.0900000000001</v>
      </c>
      <c r="AS244" s="8">
        <f>IFERROR(INDEX([1]SuSa_2024!BW:BW,MATCH($B244,[1]SuSa_2024!$B:$B,0)),"0")</f>
        <v>1679.0900000000001</v>
      </c>
      <c r="AT244" s="8">
        <f>IFERROR(INDEX([1]SuSa_2024!BX:BX,MATCH($B244,[1]SuSa_2024!$B:$B,0)),"0")</f>
        <v>1679.0900000000001</v>
      </c>
      <c r="AU244" s="8">
        <f>IFERROR(INDEX([1]SuSa_2024!BY:BY,MATCH($B244,[1]SuSa_2024!$B:$B,0)),"0")</f>
        <v>2152.4100000000003</v>
      </c>
      <c r="AV244" s="8">
        <f>IFERROR(INDEX([1]SuSa_2025!AR:AR,MATCH($B244,[1]SuSa_2025!$B:$B,0)),"0")</f>
        <v>26.04</v>
      </c>
      <c r="AW244" s="8">
        <f>IFERROR(INDEX([1]SuSa_2025!AS:AS,MATCH($B244,[1]SuSa_2025!$B:$B,0)),"0")</f>
        <v>52.07</v>
      </c>
      <c r="AX244" s="8">
        <f>IFERROR(INDEX([1]SuSa_2025!AT:AT,MATCH($B244,[1]SuSa_2025!$B:$B,0)),"0")</f>
        <v>65.53</v>
      </c>
      <c r="AY244" s="8">
        <f>IFERROR(INDEX([1]SuSa_2025!AU:AU,MATCH($B244,[1]SuSa_2025!$B:$B,0)),"0")</f>
        <v>215.33</v>
      </c>
      <c r="AZ244" s="8">
        <f>IFERROR(INDEX([1]SuSa_2025!AV:AV,MATCH($B244,[1]SuSa_2025!$B:$B,0)),"0")</f>
        <v>228.8</v>
      </c>
      <c r="BA244" s="8">
        <f>IFERROR(INDEX([1]SuSa_2025!AW:AW,MATCH($B244,[1]SuSa_2025!$B:$B,0)),"0")</f>
        <v>242.27</v>
      </c>
      <c r="BB244" s="8">
        <f>IFERROR(INDEX([1]SuSa_2025!AX:AX,MATCH($B244,[1]SuSa_2025!$B:$B,0)),"0")</f>
        <v>255.74</v>
      </c>
    </row>
    <row r="245" spans="1:54" outlineLevel="1" collapsed="1" x14ac:dyDescent="0.25">
      <c r="A245" s="5" t="s">
        <v>738</v>
      </c>
      <c r="B245" s="6" t="s">
        <v>739</v>
      </c>
      <c r="C245" t="s">
        <v>740</v>
      </c>
      <c r="F245" s="22">
        <f t="shared" si="19"/>
        <v>3132.53</v>
      </c>
      <c r="G245" s="7">
        <f t="shared" si="20"/>
        <v>8722.7900000000009</v>
      </c>
      <c r="H245" s="7" t="str">
        <f t="shared" si="21"/>
        <v>0</v>
      </c>
      <c r="I245" s="7" t="str">
        <f t="shared" si="17"/>
        <v>0</v>
      </c>
      <c r="J245" s="8">
        <f t="shared" si="22"/>
        <v>0</v>
      </c>
      <c r="K245" s="8" t="str">
        <f t="shared" si="18"/>
        <v>0</v>
      </c>
      <c r="L245" s="8">
        <v>1184.8599999999999</v>
      </c>
      <c r="M245" s="8">
        <v>2368.5500000000002</v>
      </c>
      <c r="N245" s="8">
        <v>3150.12</v>
      </c>
      <c r="O245" s="8">
        <v>3834.22</v>
      </c>
      <c r="P245" s="8">
        <v>4518.22</v>
      </c>
      <c r="Q245" s="8">
        <v>5202.22</v>
      </c>
      <c r="R245" s="8">
        <v>5886.22</v>
      </c>
      <c r="S245" s="8">
        <v>6589.88</v>
      </c>
      <c r="T245" s="8">
        <v>7254.22</v>
      </c>
      <c r="U245" s="8">
        <v>1764.53</v>
      </c>
      <c r="V245" s="8">
        <v>2466.8000000000002</v>
      </c>
      <c r="W245" s="8">
        <v>3132.53</v>
      </c>
      <c r="X245" s="8">
        <v>684</v>
      </c>
      <c r="Y245" s="8">
        <v>1368</v>
      </c>
      <c r="Z245" s="8">
        <v>2053.79</v>
      </c>
      <c r="AA245" s="8">
        <v>2737.79</v>
      </c>
      <c r="AB245" s="8">
        <v>3421.79</v>
      </c>
      <c r="AC245" s="8">
        <v>4105.79</v>
      </c>
      <c r="AD245" s="8">
        <v>4105.79</v>
      </c>
      <c r="AE245" s="8">
        <v>4105.79</v>
      </c>
      <c r="AF245" s="8">
        <v>4105.79</v>
      </c>
      <c r="AG245" s="8">
        <v>4960.79</v>
      </c>
      <c r="AH245" s="8">
        <v>6499.79</v>
      </c>
      <c r="AI245" s="8">
        <v>8722.7900000000009</v>
      </c>
      <c r="AJ245" s="8" t="str">
        <f>IFERROR(INDEX([1]SuSa_2024!BN:BN,MATCH($B245,[1]SuSa_2024!$B:$B,0)),"0")</f>
        <v>0</v>
      </c>
      <c r="AK245" s="8" t="str">
        <f>IFERROR(INDEX([1]SuSa_2024!BO:BO,MATCH($B245,[1]SuSa_2024!$B:$B,0)),"0")</f>
        <v>0</v>
      </c>
      <c r="AL245" s="8" t="str">
        <f>IFERROR(INDEX([1]SuSa_2024!BP:BP,MATCH($B245,[1]SuSa_2024!$B:$B,0)),"0")</f>
        <v>0</v>
      </c>
      <c r="AM245" s="8" t="str">
        <f>IFERROR(INDEX([1]SuSa_2024!BQ:BQ,MATCH($B245,[1]SuSa_2024!$B:$B,0)),"0")</f>
        <v>0</v>
      </c>
      <c r="AN245" s="8" t="str">
        <f>IFERROR(INDEX([1]SuSa_2024!BR:BR,MATCH($B245,[1]SuSa_2024!$B:$B,0)),"0")</f>
        <v>0</v>
      </c>
      <c r="AO245" s="8" t="str">
        <f>IFERROR(INDEX([1]SuSa_2024!BS:BS,MATCH($B245,[1]SuSa_2024!$B:$B,0)),"0")</f>
        <v>0</v>
      </c>
      <c r="AP245" s="8" t="str">
        <f>IFERROR(INDEX([1]SuSa_2024!BT:BT,MATCH($B245,[1]SuSa_2024!$B:$B,0)),"0")</f>
        <v>0</v>
      </c>
      <c r="AQ245" s="8" t="str">
        <f>IFERROR(INDEX([1]SuSa_2024!BU:BU,MATCH($B245,[1]SuSa_2024!$B:$B,0)),"0")</f>
        <v>0</v>
      </c>
      <c r="AR245" s="8" t="str">
        <f>IFERROR(INDEX([1]SuSa_2024!BV:BV,MATCH($B245,[1]SuSa_2024!$B:$B,0)),"0")</f>
        <v>0</v>
      </c>
      <c r="AS245" s="8" t="str">
        <f>IFERROR(INDEX([1]SuSa_2024!BW:BW,MATCH($B245,[1]SuSa_2024!$B:$B,0)),"0")</f>
        <v>0</v>
      </c>
      <c r="AT245" s="8" t="str">
        <f>IFERROR(INDEX([1]SuSa_2024!BX:BX,MATCH($B245,[1]SuSa_2024!$B:$B,0)),"0")</f>
        <v>0</v>
      </c>
      <c r="AU245" s="8" t="str">
        <f>IFERROR(INDEX([1]SuSa_2024!BY:BY,MATCH($B245,[1]SuSa_2024!$B:$B,0)),"0")</f>
        <v>0</v>
      </c>
      <c r="AV245" s="8" t="str">
        <f>IFERROR(INDEX([1]SuSa_2025!AR:AR,MATCH($B245,[1]SuSa_2025!$B:$B,0)),"0")</f>
        <v>0</v>
      </c>
      <c r="AW245" s="8" t="str">
        <f>IFERROR(INDEX([1]SuSa_2025!AS:AS,MATCH($B245,[1]SuSa_2025!$B:$B,0)),"0")</f>
        <v>0</v>
      </c>
      <c r="AX245" s="8" t="str">
        <f>IFERROR(INDEX([1]SuSa_2025!AT:AT,MATCH($B245,[1]SuSa_2025!$B:$B,0)),"0")</f>
        <v>0</v>
      </c>
      <c r="AY245" s="8" t="str">
        <f>IFERROR(INDEX([1]SuSa_2025!AU:AU,MATCH($B245,[1]SuSa_2025!$B:$B,0)),"0")</f>
        <v>0</v>
      </c>
      <c r="AZ245" s="8" t="str">
        <f>IFERROR(INDEX([1]SuSa_2025!AV:AV,MATCH($B245,[1]SuSa_2025!$B:$B,0)),"0")</f>
        <v>0</v>
      </c>
      <c r="BA245" s="8" t="str">
        <f>IFERROR(INDEX([1]SuSa_2025!AW:AW,MATCH($B245,[1]SuSa_2025!$B:$B,0)),"0")</f>
        <v>0</v>
      </c>
      <c r="BB245" s="8" t="str">
        <f>IFERROR(INDEX([1]SuSa_2025!AX:AX,MATCH($B245,[1]SuSa_2025!$B:$B,0)),"0")</f>
        <v>0</v>
      </c>
    </row>
    <row r="246" spans="1:54" outlineLevel="1" collapsed="1" x14ac:dyDescent="0.25">
      <c r="A246" s="5" t="s">
        <v>738</v>
      </c>
      <c r="B246" s="6" t="s">
        <v>741</v>
      </c>
      <c r="C246" t="s">
        <v>742</v>
      </c>
      <c r="F246" s="22">
        <f t="shared" si="19"/>
        <v>0</v>
      </c>
      <c r="G246" s="7">
        <f t="shared" si="20"/>
        <v>0</v>
      </c>
      <c r="H246" s="7">
        <f t="shared" si="21"/>
        <v>6411.04</v>
      </c>
      <c r="I246" s="7">
        <f t="shared" si="17"/>
        <v>2849.38</v>
      </c>
      <c r="J246" s="8">
        <f t="shared" si="22"/>
        <v>4949.38</v>
      </c>
      <c r="K246" s="8">
        <f t="shared" si="18"/>
        <v>4311.04</v>
      </c>
      <c r="AJ246" s="8">
        <f>IFERROR(INDEX([1]SuSa_2024!BN:BN,MATCH($B246,[1]SuSa_2024!$B:$B,0)),"0")</f>
        <v>684</v>
      </c>
      <c r="AK246" s="8">
        <f>IFERROR(INDEX([1]SuSa_2024!BO:BO,MATCH($B246,[1]SuSa_2024!$B:$B,0)),"0")</f>
        <v>1368</v>
      </c>
      <c r="AL246" s="8">
        <f>IFERROR(INDEX([1]SuSa_2024!BP:BP,MATCH($B246,[1]SuSa_2024!$B:$B,0)),"0")</f>
        <v>2052</v>
      </c>
      <c r="AM246" s="8">
        <f>IFERROR(INDEX([1]SuSa_2024!BQ:BQ,MATCH($B246,[1]SuSa_2024!$B:$B,0)),"0")</f>
        <v>2736</v>
      </c>
      <c r="AN246" s="8">
        <f>IFERROR(INDEX([1]SuSa_2024!BR:BR,MATCH($B246,[1]SuSa_2024!$B:$B,0)),"0")</f>
        <v>3611.04</v>
      </c>
      <c r="AO246" s="8">
        <f>IFERROR(INDEX([1]SuSa_2024!BS:BS,MATCH($B246,[1]SuSa_2024!$B:$B,0)),"0")</f>
        <v>3961.04</v>
      </c>
      <c r="AP246" s="8">
        <f>IFERROR(INDEX([1]SuSa_2024!BT:BT,MATCH($B246,[1]SuSa_2024!$B:$B,0)),"0")</f>
        <v>4311.04</v>
      </c>
      <c r="AQ246" s="8">
        <f>IFERROR(INDEX([1]SuSa_2024!BU:BU,MATCH($B246,[1]SuSa_2024!$B:$B,0)),"0")</f>
        <v>4661.04</v>
      </c>
      <c r="AR246" s="8">
        <f>IFERROR(INDEX([1]SuSa_2024!BV:BV,MATCH($B246,[1]SuSa_2024!$B:$B,0)),"0")</f>
        <v>4661.04</v>
      </c>
      <c r="AS246" s="8">
        <f>IFERROR(INDEX([1]SuSa_2024!BW:BW,MATCH($B246,[1]SuSa_2024!$B:$B,0)),"0")</f>
        <v>4661.04</v>
      </c>
      <c r="AT246" s="8">
        <f>IFERROR(INDEX([1]SuSa_2024!BX:BX,MATCH($B246,[1]SuSa_2024!$B:$B,0)),"0")</f>
        <v>4661.04</v>
      </c>
      <c r="AU246" s="8">
        <f>IFERROR(INDEX([1]SuSa_2024!BY:BY,MATCH($B246,[1]SuSa_2024!$B:$B,0)),"0")</f>
        <v>6411.04</v>
      </c>
      <c r="AV246" s="8">
        <f>IFERROR(INDEX([1]SuSa_2025!AR:AR,MATCH($B246,[1]SuSa_2025!$B:$B,0)),"0")</f>
        <v>365.46</v>
      </c>
      <c r="AW246" s="8">
        <f>IFERROR(INDEX([1]SuSa_2025!AS:AS,MATCH($B246,[1]SuSa_2025!$B:$B,0)),"0")</f>
        <v>1080.92</v>
      </c>
      <c r="AX246" s="8">
        <f>IFERROR(INDEX([1]SuSa_2025!AT:AT,MATCH($B246,[1]SuSa_2025!$B:$B,0)),"0")</f>
        <v>1446.38</v>
      </c>
      <c r="AY246" s="8">
        <f>IFERROR(INDEX([1]SuSa_2025!AU:AU,MATCH($B246,[1]SuSa_2025!$B:$B,0)),"0")</f>
        <v>1796.38</v>
      </c>
      <c r="AZ246" s="8">
        <f>IFERROR(INDEX([1]SuSa_2025!AV:AV,MATCH($B246,[1]SuSa_2025!$B:$B,0)),"0")</f>
        <v>2146.38</v>
      </c>
      <c r="BA246" s="8">
        <f>IFERROR(INDEX([1]SuSa_2025!AW:AW,MATCH($B246,[1]SuSa_2025!$B:$B,0)),"0")</f>
        <v>2496.38</v>
      </c>
      <c r="BB246" s="8">
        <f>IFERROR(INDEX([1]SuSa_2025!AX:AX,MATCH($B246,[1]SuSa_2025!$B:$B,0)),"0")</f>
        <v>2849.38</v>
      </c>
    </row>
    <row r="247" spans="1:54" outlineLevel="1" collapsed="1" x14ac:dyDescent="0.25">
      <c r="A247" s="5" t="s">
        <v>743</v>
      </c>
      <c r="B247" s="6" t="s">
        <v>744</v>
      </c>
      <c r="C247" t="s">
        <v>745</v>
      </c>
      <c r="F247" s="22">
        <f t="shared" si="19"/>
        <v>3690.12</v>
      </c>
      <c r="G247" s="7">
        <f t="shared" si="20"/>
        <v>4790.6499999999996</v>
      </c>
      <c r="H247" s="7">
        <f t="shared" si="21"/>
        <v>3333.06</v>
      </c>
      <c r="I247" s="7">
        <f t="shared" si="17"/>
        <v>339.78999999999996</v>
      </c>
      <c r="J247" s="8">
        <f t="shared" si="22"/>
        <v>779.40000000000009</v>
      </c>
      <c r="K247" s="8">
        <f t="shared" si="18"/>
        <v>2893.45</v>
      </c>
      <c r="L247" s="8">
        <v>461.96</v>
      </c>
      <c r="M247" s="8">
        <v>705.48</v>
      </c>
      <c r="N247" s="8">
        <v>873.09</v>
      </c>
      <c r="O247" s="8">
        <v>1333.54</v>
      </c>
      <c r="P247" s="8">
        <v>1773.66</v>
      </c>
      <c r="Q247" s="8">
        <v>1998.82</v>
      </c>
      <c r="R247" s="8">
        <v>2155.81</v>
      </c>
      <c r="S247" s="8">
        <v>2356.5300000000002</v>
      </c>
      <c r="T247" s="8">
        <v>2736.16</v>
      </c>
      <c r="U247" s="8">
        <v>2970.64</v>
      </c>
      <c r="V247" s="8">
        <v>3646.89</v>
      </c>
      <c r="W247" s="8">
        <v>3690.12</v>
      </c>
      <c r="X247" s="8">
        <v>703.29</v>
      </c>
      <c r="Y247" s="8">
        <v>1434.26</v>
      </c>
      <c r="Z247" s="8">
        <v>1840.3</v>
      </c>
      <c r="AA247" s="8">
        <v>2039.48</v>
      </c>
      <c r="AB247" s="8">
        <v>2414.15</v>
      </c>
      <c r="AC247" s="8">
        <v>2735.87</v>
      </c>
      <c r="AD247" s="8">
        <v>2735.87</v>
      </c>
      <c r="AE247" s="8">
        <v>3543.32</v>
      </c>
      <c r="AF247" s="8">
        <v>3614.56</v>
      </c>
      <c r="AG247" s="8">
        <v>3870.69</v>
      </c>
      <c r="AH247" s="8">
        <v>4148.42</v>
      </c>
      <c r="AI247" s="8">
        <v>4790.6499999999996</v>
      </c>
      <c r="AJ247" s="8">
        <f>IFERROR(INDEX([1]SuSa_2024!BN:BN,MATCH($B247,[1]SuSa_2024!$B:$B,0)),"0")</f>
        <v>232.1</v>
      </c>
      <c r="AK247" s="8">
        <f>IFERROR(INDEX([1]SuSa_2024!BO:BO,MATCH($B247,[1]SuSa_2024!$B:$B,0)),"0")</f>
        <v>544.80999999999995</v>
      </c>
      <c r="AL247" s="8">
        <f>IFERROR(INDEX([1]SuSa_2024!BP:BP,MATCH($B247,[1]SuSa_2024!$B:$B,0)),"0")</f>
        <v>1291.58</v>
      </c>
      <c r="AM247" s="8">
        <f>IFERROR(INDEX([1]SuSa_2024!BQ:BQ,MATCH($B247,[1]SuSa_2024!$B:$B,0)),"0")</f>
        <v>2131.37</v>
      </c>
      <c r="AN247" s="8">
        <f>IFERROR(INDEX([1]SuSa_2024!BR:BR,MATCH($B247,[1]SuSa_2024!$B:$B,0)),"0")</f>
        <v>2436.81</v>
      </c>
      <c r="AO247" s="8">
        <f>IFERROR(INDEX([1]SuSa_2024!BS:BS,MATCH($B247,[1]SuSa_2024!$B:$B,0)),"0")</f>
        <v>2619.98</v>
      </c>
      <c r="AP247" s="8">
        <f>IFERROR(INDEX([1]SuSa_2024!BT:BT,MATCH($B247,[1]SuSa_2024!$B:$B,0)),"0")</f>
        <v>2893.45</v>
      </c>
      <c r="AQ247" s="8">
        <f>IFERROR(INDEX([1]SuSa_2024!BU:BU,MATCH($B247,[1]SuSa_2024!$B:$B,0)),"0")</f>
        <v>2963.43</v>
      </c>
      <c r="AR247" s="8">
        <f>IFERROR(INDEX([1]SuSa_2024!BV:BV,MATCH($B247,[1]SuSa_2024!$B:$B,0)),"0")</f>
        <v>3132.95</v>
      </c>
      <c r="AS247" s="8">
        <f>IFERROR(INDEX([1]SuSa_2024!BW:BW,MATCH($B247,[1]SuSa_2024!$B:$B,0)),"0")</f>
        <v>3206.95</v>
      </c>
      <c r="AT247" s="8">
        <f>IFERROR(INDEX([1]SuSa_2024!BX:BX,MATCH($B247,[1]SuSa_2024!$B:$B,0)),"0")</f>
        <v>3260.89</v>
      </c>
      <c r="AU247" s="8">
        <f>IFERROR(INDEX([1]SuSa_2024!BY:BY,MATCH($B247,[1]SuSa_2024!$B:$B,0)),"0")</f>
        <v>3333.06</v>
      </c>
      <c r="AV247" s="8">
        <f>IFERROR(INDEX([1]SuSa_2025!AR:AR,MATCH($B247,[1]SuSa_2025!$B:$B,0)),"0")</f>
        <v>55.44</v>
      </c>
      <c r="AW247" s="8">
        <f>IFERROR(INDEX([1]SuSa_2025!AS:AS,MATCH($B247,[1]SuSa_2025!$B:$B,0)),"0")</f>
        <v>232.91</v>
      </c>
      <c r="AX247" s="8">
        <f>IFERROR(INDEX([1]SuSa_2025!AT:AT,MATCH($B247,[1]SuSa_2025!$B:$B,0)),"0")</f>
        <v>232.91</v>
      </c>
      <c r="AY247" s="8">
        <f>IFERROR(INDEX([1]SuSa_2025!AU:AU,MATCH($B247,[1]SuSa_2025!$B:$B,0)),"0")</f>
        <v>317.87</v>
      </c>
      <c r="AZ247" s="8">
        <f>IFERROR(INDEX([1]SuSa_2025!AV:AV,MATCH($B247,[1]SuSa_2025!$B:$B,0)),"0")</f>
        <v>317.87</v>
      </c>
      <c r="BA247" s="8">
        <f>IFERROR(INDEX([1]SuSa_2025!AW:AW,MATCH($B247,[1]SuSa_2025!$B:$B,0)),"0")</f>
        <v>343.96</v>
      </c>
      <c r="BB247" s="8">
        <f>IFERROR(INDEX([1]SuSa_2025!AX:AX,MATCH($B247,[1]SuSa_2025!$B:$B,0)),"0")</f>
        <v>339.78999999999996</v>
      </c>
    </row>
    <row r="248" spans="1:54" outlineLevel="1" collapsed="1" x14ac:dyDescent="0.25">
      <c r="A248" s="5" t="s">
        <v>746</v>
      </c>
      <c r="B248" s="6" t="s">
        <v>747</v>
      </c>
      <c r="C248" t="s">
        <v>748</v>
      </c>
      <c r="F248" s="22">
        <f t="shared" si="19"/>
        <v>1190.24</v>
      </c>
      <c r="G248" s="7">
        <f t="shared" si="20"/>
        <v>1785.12</v>
      </c>
      <c r="H248" s="7" t="str">
        <f t="shared" si="21"/>
        <v>0</v>
      </c>
      <c r="I248" s="7" t="str">
        <f t="shared" si="17"/>
        <v>0</v>
      </c>
      <c r="J248" s="8">
        <f t="shared" si="22"/>
        <v>0</v>
      </c>
      <c r="K248" s="8" t="str">
        <f t="shared" si="18"/>
        <v>0</v>
      </c>
      <c r="L248" s="8">
        <v>328.36</v>
      </c>
      <c r="M248" s="8">
        <v>333.36</v>
      </c>
      <c r="N248" s="8">
        <v>338.36</v>
      </c>
      <c r="O248" s="8">
        <v>432.13</v>
      </c>
      <c r="P248" s="8">
        <v>445.53</v>
      </c>
      <c r="Q248" s="8">
        <v>450.53</v>
      </c>
      <c r="R248" s="8">
        <v>779.26</v>
      </c>
      <c r="S248" s="8">
        <v>830.99</v>
      </c>
      <c r="T248" s="8">
        <v>947.91</v>
      </c>
      <c r="U248" s="8">
        <v>1079.95</v>
      </c>
      <c r="V248" s="8">
        <v>1087.01</v>
      </c>
      <c r="W248" s="8">
        <v>1190.24</v>
      </c>
      <c r="X248" s="8">
        <v>334</v>
      </c>
      <c r="Y248" s="8">
        <v>422.97</v>
      </c>
      <c r="Z248" s="8">
        <v>1402.9</v>
      </c>
      <c r="AA248" s="8">
        <v>1420.05</v>
      </c>
      <c r="AB248" s="8">
        <v>1420.05</v>
      </c>
      <c r="AC248" s="8">
        <v>1425.05</v>
      </c>
      <c r="AD248" s="8">
        <v>1435.05</v>
      </c>
      <c r="AE248" s="8">
        <v>1440.05</v>
      </c>
      <c r="AF248" s="8">
        <v>6988.04</v>
      </c>
      <c r="AG248" s="8">
        <v>6993.04</v>
      </c>
      <c r="AH248" s="8">
        <v>1780.12</v>
      </c>
      <c r="AI248" s="8">
        <v>1785.12</v>
      </c>
      <c r="AJ248" s="8" t="str">
        <f>IFERROR(INDEX([1]SuSa_2024!BN:BN,MATCH($B248,[1]SuSa_2024!$B:$B,0)),"0")</f>
        <v>0</v>
      </c>
      <c r="AK248" s="8" t="str">
        <f>IFERROR(INDEX([1]SuSa_2024!BO:BO,MATCH($B248,[1]SuSa_2024!$B:$B,0)),"0")</f>
        <v>0</v>
      </c>
      <c r="AL248" s="8" t="str">
        <f>IFERROR(INDEX([1]SuSa_2024!BP:BP,MATCH($B248,[1]SuSa_2024!$B:$B,0)),"0")</f>
        <v>0</v>
      </c>
      <c r="AM248" s="8" t="str">
        <f>IFERROR(INDEX([1]SuSa_2024!BQ:BQ,MATCH($B248,[1]SuSa_2024!$B:$B,0)),"0")</f>
        <v>0</v>
      </c>
      <c r="AN248" s="8" t="str">
        <f>IFERROR(INDEX([1]SuSa_2024!BR:BR,MATCH($B248,[1]SuSa_2024!$B:$B,0)),"0")</f>
        <v>0</v>
      </c>
      <c r="AO248" s="8" t="str">
        <f>IFERROR(INDEX([1]SuSa_2024!BS:BS,MATCH($B248,[1]SuSa_2024!$B:$B,0)),"0")</f>
        <v>0</v>
      </c>
      <c r="AP248" s="8" t="str">
        <f>IFERROR(INDEX([1]SuSa_2024!BT:BT,MATCH($B248,[1]SuSa_2024!$B:$B,0)),"0")</f>
        <v>0</v>
      </c>
      <c r="AQ248" s="8" t="str">
        <f>IFERROR(INDEX([1]SuSa_2024!BU:BU,MATCH($B248,[1]SuSa_2024!$B:$B,0)),"0")</f>
        <v>0</v>
      </c>
      <c r="AR248" s="8" t="str">
        <f>IFERROR(INDEX([1]SuSa_2024!BV:BV,MATCH($B248,[1]SuSa_2024!$B:$B,0)),"0")</f>
        <v>0</v>
      </c>
      <c r="AS248" s="8" t="str">
        <f>IFERROR(INDEX([1]SuSa_2024!BW:BW,MATCH($B248,[1]SuSa_2024!$B:$B,0)),"0")</f>
        <v>0</v>
      </c>
      <c r="AT248" s="8" t="str">
        <f>IFERROR(INDEX([1]SuSa_2024!BX:BX,MATCH($B248,[1]SuSa_2024!$B:$B,0)),"0")</f>
        <v>0</v>
      </c>
      <c r="AU248" s="8" t="str">
        <f>IFERROR(INDEX([1]SuSa_2024!BY:BY,MATCH($B248,[1]SuSa_2024!$B:$B,0)),"0")</f>
        <v>0</v>
      </c>
      <c r="AV248" s="8" t="str">
        <f>IFERROR(INDEX([1]SuSa_2025!AR:AR,MATCH($B248,[1]SuSa_2025!$B:$B,0)),"0")</f>
        <v>0</v>
      </c>
      <c r="AW248" s="8" t="str">
        <f>IFERROR(INDEX([1]SuSa_2025!AS:AS,MATCH($B248,[1]SuSa_2025!$B:$B,0)),"0")</f>
        <v>0</v>
      </c>
      <c r="AX248" s="8" t="str">
        <f>IFERROR(INDEX([1]SuSa_2025!AT:AT,MATCH($B248,[1]SuSa_2025!$B:$B,0)),"0")</f>
        <v>0</v>
      </c>
      <c r="AY248" s="8" t="str">
        <f>IFERROR(INDEX([1]SuSa_2025!AU:AU,MATCH($B248,[1]SuSa_2025!$B:$B,0)),"0")</f>
        <v>0</v>
      </c>
      <c r="AZ248" s="8" t="str">
        <f>IFERROR(INDEX([1]SuSa_2025!AV:AV,MATCH($B248,[1]SuSa_2025!$B:$B,0)),"0")</f>
        <v>0</v>
      </c>
      <c r="BA248" s="8" t="str">
        <f>IFERROR(INDEX([1]SuSa_2025!AW:AW,MATCH($B248,[1]SuSa_2025!$B:$B,0)),"0")</f>
        <v>0</v>
      </c>
      <c r="BB248" s="8" t="str">
        <f>IFERROR(INDEX([1]SuSa_2025!AX:AX,MATCH($B248,[1]SuSa_2025!$B:$B,0)),"0")</f>
        <v>0</v>
      </c>
    </row>
    <row r="249" spans="1:54" outlineLevel="1" collapsed="1" x14ac:dyDescent="0.25">
      <c r="A249" s="5" t="s">
        <v>746</v>
      </c>
      <c r="B249" s="6" t="s">
        <v>749</v>
      </c>
      <c r="C249" t="s">
        <v>750</v>
      </c>
      <c r="F249" s="22">
        <f t="shared" si="19"/>
        <v>0</v>
      </c>
      <c r="G249" s="7">
        <f t="shared" si="20"/>
        <v>0</v>
      </c>
      <c r="H249" s="7">
        <f t="shared" si="21"/>
        <v>594.76</v>
      </c>
      <c r="I249" s="7">
        <f t="shared" si="17"/>
        <v>0</v>
      </c>
      <c r="J249" s="8">
        <f t="shared" si="22"/>
        <v>159.93999999999994</v>
      </c>
      <c r="K249" s="8">
        <f t="shared" si="18"/>
        <v>434.82000000000005</v>
      </c>
      <c r="AJ249" s="8">
        <f>IFERROR(INDEX([1]SuSa_2024!BN:BN,MATCH($B249,[1]SuSa_2024!$B:$B,0)),"0")</f>
        <v>5</v>
      </c>
      <c r="AK249" s="8">
        <f>IFERROR(INDEX([1]SuSa_2024!BO:BO,MATCH($B249,[1]SuSa_2024!$B:$B,0)),"0")</f>
        <v>773.83</v>
      </c>
      <c r="AL249" s="8">
        <f>IFERROR(INDEX([1]SuSa_2024!BP:BP,MATCH($B249,[1]SuSa_2024!$B:$B,0)),"0")</f>
        <v>384.00000000000006</v>
      </c>
      <c r="AM249" s="8">
        <f>IFERROR(INDEX([1]SuSa_2024!BQ:BQ,MATCH($B249,[1]SuSa_2024!$B:$B,0)),"0")</f>
        <v>389.00000000000006</v>
      </c>
      <c r="AN249" s="8">
        <f>IFERROR(INDEX([1]SuSa_2024!BR:BR,MATCH($B249,[1]SuSa_2024!$B:$B,0)),"0")</f>
        <v>429.82000000000005</v>
      </c>
      <c r="AO249" s="8">
        <f>IFERROR(INDEX([1]SuSa_2024!BS:BS,MATCH($B249,[1]SuSa_2024!$B:$B,0)),"0")</f>
        <v>434.82000000000005</v>
      </c>
      <c r="AP249" s="8">
        <f>IFERROR(INDEX([1]SuSa_2024!BT:BT,MATCH($B249,[1]SuSa_2024!$B:$B,0)),"0")</f>
        <v>434.82000000000005</v>
      </c>
      <c r="AQ249" s="8">
        <f>IFERROR(INDEX([1]SuSa_2024!BU:BU,MATCH($B249,[1]SuSa_2024!$B:$B,0)),"0")</f>
        <v>439.82000000000005</v>
      </c>
      <c r="AR249" s="8">
        <f>IFERROR(INDEX([1]SuSa_2024!BV:BV,MATCH($B249,[1]SuSa_2024!$B:$B,0)),"0")</f>
        <v>444.82000000000005</v>
      </c>
      <c r="AS249" s="8">
        <f>IFERROR(INDEX([1]SuSa_2024!BW:BW,MATCH($B249,[1]SuSa_2024!$B:$B,0)),"0")</f>
        <v>454.82000000000005</v>
      </c>
      <c r="AT249" s="8">
        <f>IFERROR(INDEX([1]SuSa_2024!BX:BX,MATCH($B249,[1]SuSa_2024!$B:$B,0)),"0")</f>
        <v>459.82000000000005</v>
      </c>
      <c r="AU249" s="8">
        <f>IFERROR(INDEX([1]SuSa_2024!BY:BY,MATCH($B249,[1]SuSa_2024!$B:$B,0)),"0")</f>
        <v>594.76</v>
      </c>
      <c r="AV249" s="8">
        <f>IFERROR(INDEX([1]SuSa_2025!AR:AR,MATCH($B249,[1]SuSa_2025!$B:$B,0)),"0")</f>
        <v>0</v>
      </c>
      <c r="AW249" s="8">
        <f>IFERROR(INDEX([1]SuSa_2025!AS:AS,MATCH($B249,[1]SuSa_2025!$B:$B,0)),"0")</f>
        <v>0</v>
      </c>
      <c r="AX249" s="8">
        <f>IFERROR(INDEX([1]SuSa_2025!AT:AT,MATCH($B249,[1]SuSa_2025!$B:$B,0)),"0")</f>
        <v>0</v>
      </c>
      <c r="AY249" s="8">
        <f>IFERROR(INDEX([1]SuSa_2025!AU:AU,MATCH($B249,[1]SuSa_2025!$B:$B,0)),"0")</f>
        <v>0</v>
      </c>
      <c r="AZ249" s="8">
        <f>IFERROR(INDEX([1]SuSa_2025!AV:AV,MATCH($B249,[1]SuSa_2025!$B:$B,0)),"0")</f>
        <v>0</v>
      </c>
      <c r="BA249" s="8">
        <f>IFERROR(INDEX([1]SuSa_2025!AW:AW,MATCH($B249,[1]SuSa_2025!$B:$B,0)),"0")</f>
        <v>0</v>
      </c>
      <c r="BB249" s="8">
        <f>IFERROR(INDEX([1]SuSa_2025!AX:AX,MATCH($B249,[1]SuSa_2025!$B:$B,0)),"0")</f>
        <v>0</v>
      </c>
    </row>
    <row r="250" spans="1:54" outlineLevel="1" collapsed="1" x14ac:dyDescent="0.25">
      <c r="A250" s="5" t="s">
        <v>751</v>
      </c>
      <c r="B250" s="6" t="s">
        <v>752</v>
      </c>
      <c r="C250" t="s">
        <v>753</v>
      </c>
      <c r="F250" s="7">
        <f t="shared" si="19"/>
        <v>48794.31</v>
      </c>
      <c r="G250" s="7">
        <f t="shared" si="20"/>
        <v>54925.52</v>
      </c>
      <c r="H250" s="7">
        <f t="shared" si="21"/>
        <v>17678.580000000002</v>
      </c>
      <c r="I250" s="7">
        <f t="shared" si="17"/>
        <v>1458.18</v>
      </c>
      <c r="J250" s="8">
        <f t="shared" si="22"/>
        <v>753</v>
      </c>
      <c r="K250" s="8">
        <f t="shared" si="18"/>
        <v>18383.760000000002</v>
      </c>
      <c r="L250" s="8">
        <v>924.03</v>
      </c>
      <c r="M250" s="8">
        <v>2124.0300000000002</v>
      </c>
      <c r="N250" s="8">
        <v>2452.31</v>
      </c>
      <c r="O250" s="8">
        <v>14887.48</v>
      </c>
      <c r="P250" s="8">
        <v>16159.2</v>
      </c>
      <c r="Q250" s="8">
        <v>18862.919999999998</v>
      </c>
      <c r="R250" s="8">
        <v>21820.05</v>
      </c>
      <c r="S250" s="8">
        <v>25486.22</v>
      </c>
      <c r="T250" s="8">
        <v>28330.14</v>
      </c>
      <c r="U250" s="8">
        <v>36361.279999999999</v>
      </c>
      <c r="V250" s="8">
        <v>41558.19</v>
      </c>
      <c r="W250" s="8">
        <v>48794.31</v>
      </c>
      <c r="X250" s="8">
        <v>3591.91</v>
      </c>
      <c r="Y250" s="8">
        <v>8179.16</v>
      </c>
      <c r="Z250" s="8">
        <v>11854.16</v>
      </c>
      <c r="AA250" s="8">
        <v>11854.16</v>
      </c>
      <c r="AB250" s="8">
        <v>13456.96</v>
      </c>
      <c r="AC250" s="8">
        <v>16844.349999999999</v>
      </c>
      <c r="AD250" s="8">
        <v>17436.96</v>
      </c>
      <c r="AE250" s="8">
        <v>19803.080000000002</v>
      </c>
      <c r="AF250" s="8">
        <v>21951.96</v>
      </c>
      <c r="AG250" s="8">
        <v>26250.91</v>
      </c>
      <c r="AH250" s="8">
        <v>44780.46</v>
      </c>
      <c r="AI250" s="8">
        <v>54925.52</v>
      </c>
      <c r="AJ250" s="8">
        <f>IFERROR(INDEX([1]SuSa_2024!BN:BN,MATCH($B250,[1]SuSa_2024!$B:$B,0)),"0")</f>
        <v>3093.26</v>
      </c>
      <c r="AK250" s="8">
        <f>IFERROR(INDEX([1]SuSa_2024!BO:BO,MATCH($B250,[1]SuSa_2024!$B:$B,0)),"0")</f>
        <v>4444.37</v>
      </c>
      <c r="AL250" s="8">
        <f>IFERROR(INDEX([1]SuSa_2024!BP:BP,MATCH($B250,[1]SuSa_2024!$B:$B,0)),"0")</f>
        <v>6265.28</v>
      </c>
      <c r="AM250" s="8">
        <f>IFERROR(INDEX([1]SuSa_2024!BQ:BQ,MATCH($B250,[1]SuSa_2024!$B:$B,0)),"0")</f>
        <v>6646.92</v>
      </c>
      <c r="AN250" s="8">
        <f>IFERROR(INDEX([1]SuSa_2024!BR:BR,MATCH($B250,[1]SuSa_2024!$B:$B,0)),"0")</f>
        <v>15268.62</v>
      </c>
      <c r="AO250" s="8">
        <f>IFERROR(INDEX([1]SuSa_2024!BS:BS,MATCH($B250,[1]SuSa_2024!$B:$B,0)),"0")</f>
        <v>18122.060000000001</v>
      </c>
      <c r="AP250" s="8">
        <f>IFERROR(INDEX([1]SuSa_2024!BT:BT,MATCH($B250,[1]SuSa_2024!$B:$B,0)),"0")</f>
        <v>18383.760000000002</v>
      </c>
      <c r="AQ250" s="8">
        <f>IFERROR(INDEX([1]SuSa_2024!BU:BU,MATCH($B250,[1]SuSa_2024!$B:$B,0)),"0")</f>
        <v>18383.760000000002</v>
      </c>
      <c r="AR250" s="8">
        <f>IFERROR(INDEX([1]SuSa_2024!BV:BV,MATCH($B250,[1]SuSa_2024!$B:$B,0)),"0")</f>
        <v>18971.150000000001</v>
      </c>
      <c r="AS250" s="8">
        <f>IFERROR(INDEX([1]SuSa_2024!BW:BW,MATCH($B250,[1]SuSa_2024!$B:$B,0)),"0")</f>
        <v>18971.150000000001</v>
      </c>
      <c r="AT250" s="8">
        <f>IFERROR(INDEX([1]SuSa_2024!BX:BX,MATCH($B250,[1]SuSa_2024!$B:$B,0)),"0")</f>
        <v>18971.150000000001</v>
      </c>
      <c r="AU250" s="8">
        <f>IFERROR(INDEX([1]SuSa_2024!BY:BY,MATCH($B250,[1]SuSa_2024!$B:$B,0)),"0")</f>
        <v>17678.580000000002</v>
      </c>
      <c r="AV250" s="8">
        <f>IFERROR(INDEX([1]SuSa_2025!AR:AR,MATCH($B250,[1]SuSa_2025!$B:$B,0)),"0")</f>
        <v>0</v>
      </c>
      <c r="AW250" s="8">
        <f>IFERROR(INDEX([1]SuSa_2025!AS:AS,MATCH($B250,[1]SuSa_2025!$B:$B,0)),"0")</f>
        <v>97</v>
      </c>
      <c r="AX250" s="8">
        <f>IFERROR(INDEX([1]SuSa_2025!AT:AT,MATCH($B250,[1]SuSa_2025!$B:$B,0)),"0")</f>
        <v>138.18</v>
      </c>
      <c r="AY250" s="8">
        <f>IFERROR(INDEX([1]SuSa_2025!AU:AU,MATCH($B250,[1]SuSa_2025!$B:$B,0)),"0")</f>
        <v>138.18</v>
      </c>
      <c r="AZ250" s="8">
        <f>IFERROR(INDEX([1]SuSa_2025!AV:AV,MATCH($B250,[1]SuSa_2025!$B:$B,0)),"0")</f>
        <v>1458.18</v>
      </c>
      <c r="BA250" s="8">
        <f>IFERROR(INDEX([1]SuSa_2025!AW:AW,MATCH($B250,[1]SuSa_2025!$B:$B,0)),"0")</f>
        <v>1458.18</v>
      </c>
      <c r="BB250" s="8">
        <f>IFERROR(INDEX([1]SuSa_2025!AX:AX,MATCH($B250,[1]SuSa_2025!$B:$B,0)),"0")</f>
        <v>1458.18</v>
      </c>
    </row>
    <row r="251" spans="1:54" outlineLevel="1" collapsed="1" x14ac:dyDescent="0.25">
      <c r="A251" s="5" t="s">
        <v>754</v>
      </c>
      <c r="B251" s="6" t="s">
        <v>755</v>
      </c>
      <c r="C251" t="s">
        <v>756</v>
      </c>
      <c r="F251" s="22">
        <f t="shared" si="19"/>
        <v>0</v>
      </c>
      <c r="G251" s="7">
        <f t="shared" si="20"/>
        <v>0</v>
      </c>
      <c r="H251" s="7" t="str">
        <f t="shared" si="21"/>
        <v>0</v>
      </c>
      <c r="I251" s="7">
        <f t="shared" si="17"/>
        <v>1200</v>
      </c>
      <c r="J251" s="8">
        <f t="shared" si="22"/>
        <v>1200</v>
      </c>
      <c r="K251" s="8" t="str">
        <f t="shared" si="18"/>
        <v>0</v>
      </c>
      <c r="AJ251" s="8" t="str">
        <f>IFERROR(INDEX([1]SuSa_2024!BN:BN,MATCH($B251,[1]SuSa_2024!$B:$B,0)),"0")</f>
        <v>0</v>
      </c>
      <c r="AK251" s="8" t="str">
        <f>IFERROR(INDEX([1]SuSa_2024!BO:BO,MATCH($B251,[1]SuSa_2024!$B:$B,0)),"0")</f>
        <v>0</v>
      </c>
      <c r="AL251" s="8" t="str">
        <f>IFERROR(INDEX([1]SuSa_2024!BP:BP,MATCH($B251,[1]SuSa_2024!$B:$B,0)),"0")</f>
        <v>0</v>
      </c>
      <c r="AM251" s="8" t="str">
        <f>IFERROR(INDEX([1]SuSa_2024!BQ:BQ,MATCH($B251,[1]SuSa_2024!$B:$B,0)),"0")</f>
        <v>0</v>
      </c>
      <c r="AN251" s="8" t="str">
        <f>IFERROR(INDEX([1]SuSa_2024!BR:BR,MATCH($B251,[1]SuSa_2024!$B:$B,0)),"0")</f>
        <v>0</v>
      </c>
      <c r="AO251" s="8" t="str">
        <f>IFERROR(INDEX([1]SuSa_2024!BS:BS,MATCH($B251,[1]SuSa_2024!$B:$B,0)),"0")</f>
        <v>0</v>
      </c>
      <c r="AP251" s="8" t="str">
        <f>IFERROR(INDEX([1]SuSa_2024!BT:BT,MATCH($B251,[1]SuSa_2024!$B:$B,0)),"0")</f>
        <v>0</v>
      </c>
      <c r="AQ251" s="8" t="str">
        <f>IFERROR(INDEX([1]SuSa_2024!BU:BU,MATCH($B251,[1]SuSa_2024!$B:$B,0)),"0")</f>
        <v>0</v>
      </c>
      <c r="AR251" s="8" t="str">
        <f>IFERROR(INDEX([1]SuSa_2024!BV:BV,MATCH($B251,[1]SuSa_2024!$B:$B,0)),"0")</f>
        <v>0</v>
      </c>
      <c r="AS251" s="8" t="str">
        <f>IFERROR(INDEX([1]SuSa_2024!BW:BW,MATCH($B251,[1]SuSa_2024!$B:$B,0)),"0")</f>
        <v>0</v>
      </c>
      <c r="AT251" s="8" t="str">
        <f>IFERROR(INDEX([1]SuSa_2024!BX:BX,MATCH($B251,[1]SuSa_2024!$B:$B,0)),"0")</f>
        <v>0</v>
      </c>
      <c r="AU251" s="8" t="str">
        <f>IFERROR(INDEX([1]SuSa_2024!BY:BY,MATCH($B251,[1]SuSa_2024!$B:$B,0)),"0")</f>
        <v>0</v>
      </c>
      <c r="AV251" s="8">
        <f>IFERROR(INDEX([1]SuSa_2025!AR:AR,MATCH($B251,[1]SuSa_2025!$B:$B,0)),"0")</f>
        <v>0</v>
      </c>
      <c r="AW251" s="8">
        <f>IFERROR(INDEX([1]SuSa_2025!AS:AS,MATCH($B251,[1]SuSa_2025!$B:$B,0)),"0")</f>
        <v>0</v>
      </c>
      <c r="AX251" s="8">
        <f>IFERROR(INDEX([1]SuSa_2025!AT:AT,MATCH($B251,[1]SuSa_2025!$B:$B,0)),"0")</f>
        <v>0</v>
      </c>
      <c r="AY251" s="8">
        <f>IFERROR(INDEX([1]SuSa_2025!AU:AU,MATCH($B251,[1]SuSa_2025!$B:$B,0)),"0")</f>
        <v>300</v>
      </c>
      <c r="AZ251" s="8">
        <f>IFERROR(INDEX([1]SuSa_2025!AV:AV,MATCH($B251,[1]SuSa_2025!$B:$B,0)),"0")</f>
        <v>600</v>
      </c>
      <c r="BA251" s="8">
        <f>IFERROR(INDEX([1]SuSa_2025!AW:AW,MATCH($B251,[1]SuSa_2025!$B:$B,0)),"0")</f>
        <v>900</v>
      </c>
      <c r="BB251" s="8">
        <f>IFERROR(INDEX([1]SuSa_2025!AX:AX,MATCH($B251,[1]SuSa_2025!$B:$B,0)),"0")</f>
        <v>1200</v>
      </c>
    </row>
    <row r="252" spans="1:54" outlineLevel="1" collapsed="1" x14ac:dyDescent="0.25">
      <c r="A252" s="5" t="s">
        <v>757</v>
      </c>
      <c r="B252" s="6" t="s">
        <v>758</v>
      </c>
      <c r="C252" t="s">
        <v>759</v>
      </c>
      <c r="F252" s="22">
        <f t="shared" si="19"/>
        <v>30775.06</v>
      </c>
      <c r="G252" s="7">
        <f t="shared" si="20"/>
        <v>83891.18</v>
      </c>
      <c r="H252" s="7">
        <f t="shared" si="21"/>
        <v>44959.65</v>
      </c>
      <c r="I252" s="7">
        <f t="shared" si="17"/>
        <v>6636.9199999999992</v>
      </c>
      <c r="J252" s="8">
        <f t="shared" si="22"/>
        <v>34263.54</v>
      </c>
      <c r="K252" s="8">
        <f t="shared" si="18"/>
        <v>17333.03</v>
      </c>
      <c r="L252" s="8">
        <v>30</v>
      </c>
      <c r="M252" s="8">
        <v>6870</v>
      </c>
      <c r="N252" s="8">
        <v>7502</v>
      </c>
      <c r="O252" s="8">
        <v>10978.95</v>
      </c>
      <c r="P252" s="8">
        <v>10978.95</v>
      </c>
      <c r="Q252" s="8">
        <v>10978.95</v>
      </c>
      <c r="R252" s="8">
        <v>12765.17</v>
      </c>
      <c r="S252" s="8">
        <v>13065.17</v>
      </c>
      <c r="T252" s="8">
        <v>24668.77</v>
      </c>
      <c r="U252" s="8">
        <v>28364.77</v>
      </c>
      <c r="V252" s="8">
        <v>28410.05</v>
      </c>
      <c r="W252" s="8">
        <v>30775.06</v>
      </c>
      <c r="X252" s="8">
        <v>6153.9</v>
      </c>
      <c r="Y252" s="8">
        <v>29713.56</v>
      </c>
      <c r="Z252" s="8">
        <v>53517.59</v>
      </c>
      <c r="AA252" s="8">
        <v>79930.64</v>
      </c>
      <c r="AB252" s="8">
        <v>86380.54</v>
      </c>
      <c r="AC252" s="8">
        <v>87413.32</v>
      </c>
      <c r="AD252" s="8">
        <v>87413.32</v>
      </c>
      <c r="AE252" s="8">
        <v>88863.22</v>
      </c>
      <c r="AF252" s="8">
        <v>88863.22</v>
      </c>
      <c r="AG252" s="8">
        <v>94435.7</v>
      </c>
      <c r="AH252" s="8">
        <v>83463.11</v>
      </c>
      <c r="AI252" s="8">
        <v>83891.18</v>
      </c>
      <c r="AJ252" s="8">
        <f>IFERROR(INDEX([1]SuSa_2024!BN:BN,MATCH($B252,[1]SuSa_2024!$B:$B,0)),"0")</f>
        <v>6113.23</v>
      </c>
      <c r="AK252" s="8">
        <f>IFERROR(INDEX([1]SuSa_2024!BO:BO,MATCH($B252,[1]SuSa_2024!$B:$B,0)),"0")</f>
        <v>4683.1299999999992</v>
      </c>
      <c r="AL252" s="8">
        <f>IFERROR(INDEX([1]SuSa_2024!BP:BP,MATCH($B252,[1]SuSa_2024!$B:$B,0)),"0")</f>
        <v>5494.8099999999995</v>
      </c>
      <c r="AM252" s="8">
        <f>IFERROR(INDEX([1]SuSa_2024!BQ:BQ,MATCH($B252,[1]SuSa_2024!$B:$B,0)),"0")</f>
        <v>8874.16</v>
      </c>
      <c r="AN252" s="8">
        <f>IFERROR(INDEX([1]SuSa_2024!BR:BR,MATCH($B252,[1]SuSa_2024!$B:$B,0)),"0")</f>
        <v>10819.56</v>
      </c>
      <c r="AO252" s="8">
        <f>IFERROR(INDEX([1]SuSa_2024!BS:BS,MATCH($B252,[1]SuSa_2024!$B:$B,0)),"0")</f>
        <v>12343.13</v>
      </c>
      <c r="AP252" s="8">
        <f>IFERROR(INDEX([1]SuSa_2024!BT:BT,MATCH($B252,[1]SuSa_2024!$B:$B,0)),"0")</f>
        <v>17333.03</v>
      </c>
      <c r="AQ252" s="8">
        <f>IFERROR(INDEX([1]SuSa_2024!BU:BU,MATCH($B252,[1]SuSa_2024!$B:$B,0)),"0")</f>
        <v>19899.489999999998</v>
      </c>
      <c r="AR252" s="8">
        <f>IFERROR(INDEX([1]SuSa_2024!BV:BV,MATCH($B252,[1]SuSa_2024!$B:$B,0)),"0")</f>
        <v>21629.439999999999</v>
      </c>
      <c r="AS252" s="8">
        <f>IFERROR(INDEX([1]SuSa_2024!BW:BW,MATCH($B252,[1]SuSa_2024!$B:$B,0)),"0")</f>
        <v>21639.34</v>
      </c>
      <c r="AT252" s="8">
        <f>IFERROR(INDEX([1]SuSa_2024!BX:BX,MATCH($B252,[1]SuSa_2024!$B:$B,0)),"0")</f>
        <v>21649.24</v>
      </c>
      <c r="AU252" s="8">
        <f>IFERROR(INDEX([1]SuSa_2024!BY:BY,MATCH($B252,[1]SuSa_2024!$B:$B,0)),"0")</f>
        <v>44959.65</v>
      </c>
      <c r="AV252" s="8">
        <f>IFERROR(INDEX([1]SuSa_2025!AR:AR,MATCH($B252,[1]SuSa_2025!$B:$B,0)),"0")</f>
        <v>2837.75</v>
      </c>
      <c r="AW252" s="8">
        <f>IFERROR(INDEX([1]SuSa_2025!AS:AS,MATCH($B252,[1]SuSa_2025!$B:$B,0)),"0")</f>
        <v>3802.05</v>
      </c>
      <c r="AX252" s="8">
        <f>IFERROR(INDEX([1]SuSa_2025!AT:AT,MATCH($B252,[1]SuSa_2025!$B:$B,0)),"0")</f>
        <v>6366.58</v>
      </c>
      <c r="AY252" s="8">
        <f>IFERROR(INDEX([1]SuSa_2025!AU:AU,MATCH($B252,[1]SuSa_2025!$B:$B,0)),"0")</f>
        <v>6376.48</v>
      </c>
      <c r="AZ252" s="8">
        <f>IFERROR(INDEX([1]SuSa_2025!AV:AV,MATCH($B252,[1]SuSa_2025!$B:$B,0)),"0")</f>
        <v>6386.3799999999992</v>
      </c>
      <c r="BA252" s="8">
        <f>IFERROR(INDEX([1]SuSa_2025!AW:AW,MATCH($B252,[1]SuSa_2025!$B:$B,0)),"0")</f>
        <v>6396.2799999999988</v>
      </c>
      <c r="BB252" s="8">
        <f>IFERROR(INDEX([1]SuSa_2025!AX:AX,MATCH($B252,[1]SuSa_2025!$B:$B,0)),"0")</f>
        <v>6636.9199999999992</v>
      </c>
    </row>
    <row r="253" spans="1:54" outlineLevel="1" collapsed="1" x14ac:dyDescent="0.25">
      <c r="A253" s="5" t="s">
        <v>760</v>
      </c>
      <c r="B253" s="6" t="s">
        <v>761</v>
      </c>
      <c r="C253" t="s">
        <v>762</v>
      </c>
      <c r="F253" s="22">
        <f t="shared" si="19"/>
        <v>23567.31</v>
      </c>
      <c r="G253" s="7">
        <f t="shared" si="20"/>
        <v>58783.51</v>
      </c>
      <c r="H253" s="7">
        <f t="shared" si="21"/>
        <v>62715.61</v>
      </c>
      <c r="I253" s="7">
        <f t="shared" si="17"/>
        <v>3835.36</v>
      </c>
      <c r="J253" s="8">
        <f t="shared" si="22"/>
        <v>16792.25</v>
      </c>
      <c r="K253" s="8">
        <f t="shared" si="18"/>
        <v>49758.720000000001</v>
      </c>
      <c r="L253" s="8">
        <v>2537.5</v>
      </c>
      <c r="M253" s="8">
        <v>4529.4799999999996</v>
      </c>
      <c r="N253" s="8">
        <v>6414.86</v>
      </c>
      <c r="O253" s="8">
        <v>8224.68</v>
      </c>
      <c r="P253" s="8">
        <v>9569.83</v>
      </c>
      <c r="Q253" s="8">
        <v>11008.6</v>
      </c>
      <c r="R253" s="8">
        <v>13293.05</v>
      </c>
      <c r="S253" s="8">
        <v>15108.05</v>
      </c>
      <c r="T253" s="8">
        <v>17260</v>
      </c>
      <c r="U253" s="8">
        <v>19243.23</v>
      </c>
      <c r="V253" s="8">
        <v>21067.31</v>
      </c>
      <c r="W253" s="8">
        <v>23567.31</v>
      </c>
      <c r="X253" s="8">
        <v>3135</v>
      </c>
      <c r="Y253" s="8">
        <v>6629.05</v>
      </c>
      <c r="Z253" s="8">
        <v>9269.0499999999993</v>
      </c>
      <c r="AA253" s="8">
        <v>12464.25</v>
      </c>
      <c r="AB253" s="8">
        <v>15564.25</v>
      </c>
      <c r="AC253" s="8">
        <v>18158.25</v>
      </c>
      <c r="AD253" s="8">
        <v>23752.25</v>
      </c>
      <c r="AE253" s="8">
        <v>23845.68</v>
      </c>
      <c r="AF253" s="8">
        <v>33176.17</v>
      </c>
      <c r="AG253" s="8">
        <v>40810.17</v>
      </c>
      <c r="AH253" s="8">
        <v>47311.01</v>
      </c>
      <c r="AI253" s="8">
        <v>58783.51</v>
      </c>
      <c r="AJ253" s="8">
        <f>IFERROR(INDEX([1]SuSa_2024!BN:BN,MATCH($B253,[1]SuSa_2024!$B:$B,0)),"0")</f>
        <v>9910.75</v>
      </c>
      <c r="AK253" s="8">
        <f>IFERROR(INDEX([1]SuSa_2024!BO:BO,MATCH($B253,[1]SuSa_2024!$B:$B,0)),"0")</f>
        <v>14910.75</v>
      </c>
      <c r="AL253" s="8">
        <f>IFERROR(INDEX([1]SuSa_2024!BP:BP,MATCH($B253,[1]SuSa_2024!$B:$B,0)),"0")</f>
        <v>21370.03</v>
      </c>
      <c r="AM253" s="8">
        <f>IFERROR(INDEX([1]SuSa_2024!BQ:BQ,MATCH($B253,[1]SuSa_2024!$B:$B,0)),"0")</f>
        <v>29205.03</v>
      </c>
      <c r="AN253" s="8">
        <f>IFERROR(INDEX([1]SuSa_2024!BR:BR,MATCH($B253,[1]SuSa_2024!$B:$B,0)),"0")</f>
        <v>36924.089999999997</v>
      </c>
      <c r="AO253" s="8">
        <f>IFERROR(INDEX([1]SuSa_2024!BS:BS,MATCH($B253,[1]SuSa_2024!$B:$B,0)),"0")</f>
        <v>37142.449999999997</v>
      </c>
      <c r="AP253" s="8">
        <f>IFERROR(INDEX([1]SuSa_2024!BT:BT,MATCH($B253,[1]SuSa_2024!$B:$B,0)),"0")</f>
        <v>49758.720000000001</v>
      </c>
      <c r="AQ253" s="8">
        <f>IFERROR(INDEX([1]SuSa_2024!BU:BU,MATCH($B253,[1]SuSa_2024!$B:$B,0)),"0")</f>
        <v>53223.72</v>
      </c>
      <c r="AR253" s="8">
        <f>IFERROR(INDEX([1]SuSa_2024!BV:BV,MATCH($B253,[1]SuSa_2024!$B:$B,0)),"0")</f>
        <v>53223.72</v>
      </c>
      <c r="AS253" s="8">
        <f>IFERROR(INDEX([1]SuSa_2024!BW:BW,MATCH($B253,[1]SuSa_2024!$B:$B,0)),"0")</f>
        <v>53331.42</v>
      </c>
      <c r="AT253" s="8">
        <f>IFERROR(INDEX([1]SuSa_2024!BX:BX,MATCH($B253,[1]SuSa_2024!$B:$B,0)),"0")</f>
        <v>53440.42</v>
      </c>
      <c r="AU253" s="8">
        <f>IFERROR(INDEX([1]SuSa_2024!BY:BY,MATCH($B253,[1]SuSa_2024!$B:$B,0)),"0")</f>
        <v>62715.61</v>
      </c>
      <c r="AV253" s="8">
        <f>IFERROR(INDEX([1]SuSa_2025!AR:AR,MATCH($B253,[1]SuSa_2025!$B:$B,0)),"0")</f>
        <v>485.16</v>
      </c>
      <c r="AW253" s="8">
        <f>IFERROR(INDEX([1]SuSa_2025!AS:AS,MATCH($B253,[1]SuSa_2025!$B:$B,0)),"0")</f>
        <v>605.61</v>
      </c>
      <c r="AX253" s="8">
        <f>IFERROR(INDEX([1]SuSa_2025!AT:AT,MATCH($B253,[1]SuSa_2025!$B:$B,0)),"0")</f>
        <v>641.61</v>
      </c>
      <c r="AY253" s="8">
        <f>IFERROR(INDEX([1]SuSa_2025!AU:AU,MATCH($B253,[1]SuSa_2025!$B:$B,0)),"0")</f>
        <v>1825.3600000000001</v>
      </c>
      <c r="AZ253" s="8">
        <f>IFERROR(INDEX([1]SuSa_2025!AV:AV,MATCH($B253,[1]SuSa_2025!$B:$B,0)),"0")</f>
        <v>2664.11</v>
      </c>
      <c r="BA253" s="8">
        <f>IFERROR(INDEX([1]SuSa_2025!AW:AW,MATCH($B253,[1]SuSa_2025!$B:$B,0)),"0")</f>
        <v>2909.11</v>
      </c>
      <c r="BB253" s="8">
        <f>IFERROR(INDEX([1]SuSa_2025!AX:AX,MATCH($B253,[1]SuSa_2025!$B:$B,0)),"0")</f>
        <v>3835.36</v>
      </c>
    </row>
    <row r="254" spans="1:54" outlineLevel="1" collapsed="1" x14ac:dyDescent="0.25">
      <c r="A254" s="5" t="s">
        <v>763</v>
      </c>
      <c r="B254" s="6" t="s">
        <v>764</v>
      </c>
      <c r="C254" t="s">
        <v>765</v>
      </c>
      <c r="F254" s="22">
        <f t="shared" si="19"/>
        <v>7619.98</v>
      </c>
      <c r="G254" s="7">
        <f t="shared" si="20"/>
        <v>16296.25</v>
      </c>
      <c r="H254" s="7">
        <f t="shared" si="21"/>
        <v>15446.59</v>
      </c>
      <c r="I254" s="7">
        <f t="shared" si="17"/>
        <v>415</v>
      </c>
      <c r="J254" s="8">
        <f t="shared" si="22"/>
        <v>5646.75</v>
      </c>
      <c r="K254" s="8">
        <f t="shared" si="18"/>
        <v>10214.84</v>
      </c>
      <c r="L254" s="8">
        <v>1269.0899999999999</v>
      </c>
      <c r="M254" s="8">
        <v>1920.57</v>
      </c>
      <c r="N254" s="8">
        <v>2685.35</v>
      </c>
      <c r="O254" s="8">
        <v>3345.35</v>
      </c>
      <c r="P254" s="8">
        <v>3705.05</v>
      </c>
      <c r="Q254" s="8">
        <v>4118.05</v>
      </c>
      <c r="R254" s="8">
        <v>4868.3900000000003</v>
      </c>
      <c r="S254" s="8">
        <v>4868.3900000000003</v>
      </c>
      <c r="T254" s="8">
        <v>6640.51</v>
      </c>
      <c r="U254" s="8">
        <v>6943.01</v>
      </c>
      <c r="V254" s="8">
        <v>7280.08</v>
      </c>
      <c r="W254" s="8">
        <v>7619.98</v>
      </c>
      <c r="Y254" s="8">
        <v>2554.13</v>
      </c>
      <c r="Z254" s="8">
        <v>4012.61</v>
      </c>
      <c r="AA254" s="8">
        <v>5439.21</v>
      </c>
      <c r="AB254" s="8">
        <v>6651.71</v>
      </c>
      <c r="AC254" s="8">
        <v>8206.11</v>
      </c>
      <c r="AD254" s="8">
        <v>9406.11</v>
      </c>
      <c r="AE254" s="8">
        <v>11459.96</v>
      </c>
      <c r="AF254" s="8">
        <v>14059.86</v>
      </c>
      <c r="AG254" s="8">
        <v>16236.05</v>
      </c>
      <c r="AH254" s="8">
        <v>17496.25</v>
      </c>
      <c r="AI254" s="8">
        <v>16296.25</v>
      </c>
      <c r="AJ254" s="8">
        <f>IFERROR(INDEX([1]SuSa_2024!BN:BN,MATCH($B254,[1]SuSa_2024!$B:$B,0)),"0")</f>
        <v>1276.49</v>
      </c>
      <c r="AK254" s="8">
        <f>IFERROR(INDEX([1]SuSa_2024!BO:BO,MATCH($B254,[1]SuSa_2024!$B:$B,0)),"0")</f>
        <v>3159.29</v>
      </c>
      <c r="AL254" s="8">
        <f>IFERROR(INDEX([1]SuSa_2024!BP:BP,MATCH($B254,[1]SuSa_2024!$B:$B,0)),"0")</f>
        <v>4284.29</v>
      </c>
      <c r="AM254" s="8">
        <f>IFERROR(INDEX([1]SuSa_2024!BQ:BQ,MATCH($B254,[1]SuSa_2024!$B:$B,0)),"0")</f>
        <v>6128.49</v>
      </c>
      <c r="AN254" s="8">
        <f>IFERROR(INDEX([1]SuSa_2024!BR:BR,MATCH($B254,[1]SuSa_2024!$B:$B,0)),"0")</f>
        <v>7365.29</v>
      </c>
      <c r="AO254" s="8">
        <f>IFERROR(INDEX([1]SuSa_2024!BS:BS,MATCH($B254,[1]SuSa_2024!$B:$B,0)),"0")</f>
        <v>8618.09</v>
      </c>
      <c r="AP254" s="8">
        <f>IFERROR(INDEX([1]SuSa_2024!BT:BT,MATCH($B254,[1]SuSa_2024!$B:$B,0)),"0")</f>
        <v>10214.84</v>
      </c>
      <c r="AQ254" s="8">
        <f>IFERROR(INDEX([1]SuSa_2024!BU:BU,MATCH($B254,[1]SuSa_2024!$B:$B,0)),"0")</f>
        <v>10214.84</v>
      </c>
      <c r="AR254" s="8">
        <f>IFERROR(INDEX([1]SuSa_2024!BV:BV,MATCH($B254,[1]SuSa_2024!$B:$B,0)),"0")</f>
        <v>10214.84</v>
      </c>
      <c r="AS254" s="8">
        <f>IFERROR(INDEX([1]SuSa_2024!BW:BW,MATCH($B254,[1]SuSa_2024!$B:$B,0)),"0")</f>
        <v>10214.84</v>
      </c>
      <c r="AT254" s="8">
        <f>IFERROR(INDEX([1]SuSa_2024!BX:BX,MATCH($B254,[1]SuSa_2024!$B:$B,0)),"0")</f>
        <v>10709.14</v>
      </c>
      <c r="AU254" s="8">
        <f>IFERROR(INDEX([1]SuSa_2024!BY:BY,MATCH($B254,[1]SuSa_2024!$B:$B,0)),"0")</f>
        <v>15446.59</v>
      </c>
      <c r="AV254" s="8">
        <f>IFERROR(INDEX([1]SuSa_2025!AR:AR,MATCH($B254,[1]SuSa_2025!$B:$B,0)),"0")</f>
        <v>207.5</v>
      </c>
      <c r="AW254" s="8">
        <f>IFERROR(INDEX([1]SuSa_2025!AS:AS,MATCH($B254,[1]SuSa_2025!$B:$B,0)),"0")</f>
        <v>415</v>
      </c>
      <c r="AX254" s="8">
        <f>IFERROR(INDEX([1]SuSa_2025!AT:AT,MATCH($B254,[1]SuSa_2025!$B:$B,0)),"0")</f>
        <v>415</v>
      </c>
      <c r="AY254" s="8">
        <f>IFERROR(INDEX([1]SuSa_2025!AU:AU,MATCH($B254,[1]SuSa_2025!$B:$B,0)),"0")</f>
        <v>415</v>
      </c>
      <c r="AZ254" s="8">
        <f>IFERROR(INDEX([1]SuSa_2025!AV:AV,MATCH($B254,[1]SuSa_2025!$B:$B,0)),"0")</f>
        <v>415</v>
      </c>
      <c r="BA254" s="8">
        <f>IFERROR(INDEX([1]SuSa_2025!AW:AW,MATCH($B254,[1]SuSa_2025!$B:$B,0)),"0")</f>
        <v>415</v>
      </c>
      <c r="BB254" s="8">
        <f>IFERROR(INDEX([1]SuSa_2025!AX:AX,MATCH($B254,[1]SuSa_2025!$B:$B,0)),"0")</f>
        <v>415</v>
      </c>
    </row>
    <row r="255" spans="1:54" outlineLevel="1" collapsed="1" x14ac:dyDescent="0.25">
      <c r="A255" s="5" t="s">
        <v>766</v>
      </c>
      <c r="B255" s="6" t="s">
        <v>767</v>
      </c>
      <c r="C255" t="s">
        <v>768</v>
      </c>
      <c r="F255" s="22">
        <f t="shared" si="19"/>
        <v>30971</v>
      </c>
      <c r="G255" s="7">
        <f t="shared" si="20"/>
        <v>41592.04</v>
      </c>
      <c r="H255" s="7">
        <f t="shared" si="21"/>
        <v>26669.620000000006</v>
      </c>
      <c r="I255" s="7">
        <f t="shared" si="17"/>
        <v>2333.3099999999995</v>
      </c>
      <c r="J255" s="8">
        <f t="shared" si="22"/>
        <v>8646.3700000000063</v>
      </c>
      <c r="K255" s="8">
        <f t="shared" si="18"/>
        <v>20356.560000000001</v>
      </c>
      <c r="S255" s="8">
        <v>150</v>
      </c>
      <c r="T255" s="8">
        <v>150</v>
      </c>
      <c r="U255" s="8">
        <v>150</v>
      </c>
      <c r="V255" s="8">
        <v>150</v>
      </c>
      <c r="W255" s="8">
        <v>30971</v>
      </c>
      <c r="X255" s="8">
        <v>2568.42</v>
      </c>
      <c r="Y255" s="8">
        <v>5136.84</v>
      </c>
      <c r="Z255" s="8">
        <v>13326.26</v>
      </c>
      <c r="AA255" s="8">
        <v>15894.68</v>
      </c>
      <c r="AB255" s="8">
        <v>18463.099999999999</v>
      </c>
      <c r="AC255" s="8">
        <v>21031.52</v>
      </c>
      <c r="AD255" s="8">
        <v>23599.94</v>
      </c>
      <c r="AE255" s="8">
        <v>26168.36</v>
      </c>
      <c r="AF255" s="8">
        <v>28736.78</v>
      </c>
      <c r="AG255" s="8">
        <v>31305.200000000001</v>
      </c>
      <c r="AH255" s="8">
        <v>33873.620000000003</v>
      </c>
      <c r="AI255" s="8">
        <v>41592.04</v>
      </c>
      <c r="AJ255" s="8">
        <f>IFERROR(INDEX([1]SuSa_2024!BN:BN,MATCH($B255,[1]SuSa_2024!$B:$B,0)),"0")</f>
        <v>3333.33</v>
      </c>
      <c r="AK255" s="8">
        <f>IFERROR(INDEX([1]SuSa_2024!BO:BO,MATCH($B255,[1]SuSa_2024!$B:$B,0)),"0")</f>
        <v>6666.66</v>
      </c>
      <c r="AL255" s="8">
        <f>IFERROR(INDEX([1]SuSa_2024!BP:BP,MATCH($B255,[1]SuSa_2024!$B:$B,0)),"0")</f>
        <v>9999.99</v>
      </c>
      <c r="AM255" s="8">
        <f>IFERROR(INDEX([1]SuSa_2024!BQ:BQ,MATCH($B255,[1]SuSa_2024!$B:$B,0)),"0")</f>
        <v>13333.32</v>
      </c>
      <c r="AN255" s="8">
        <f>IFERROR(INDEX([1]SuSa_2024!BR:BR,MATCH($B255,[1]SuSa_2024!$B:$B,0)),"0")</f>
        <v>16666.650000000001</v>
      </c>
      <c r="AO255" s="8">
        <f>IFERROR(INDEX([1]SuSa_2024!BS:BS,MATCH($B255,[1]SuSa_2024!$B:$B,0)),"0")</f>
        <v>20356.560000000001</v>
      </c>
      <c r="AP255" s="8">
        <f>IFERROR(INDEX([1]SuSa_2024!BT:BT,MATCH($B255,[1]SuSa_2024!$B:$B,0)),"0")</f>
        <v>20356.560000000001</v>
      </c>
      <c r="AQ255" s="8">
        <f>IFERROR(INDEX([1]SuSa_2024!BU:BU,MATCH($B255,[1]SuSa_2024!$B:$B,0)),"0")</f>
        <v>27023.22</v>
      </c>
      <c r="AR255" s="8">
        <f>IFERROR(INDEX([1]SuSa_2024!BV:BV,MATCH($B255,[1]SuSa_2024!$B:$B,0)),"0")</f>
        <v>30356.550000000003</v>
      </c>
      <c r="AS255" s="8">
        <f>IFERROR(INDEX([1]SuSa_2024!BW:BW,MATCH($B255,[1]SuSa_2024!$B:$B,0)),"0")</f>
        <v>33689.880000000005</v>
      </c>
      <c r="AT255" s="8">
        <f>IFERROR(INDEX([1]SuSa_2024!BX:BX,MATCH($B255,[1]SuSa_2024!$B:$B,0)),"0")</f>
        <v>37023.210000000006</v>
      </c>
      <c r="AU255" s="8">
        <f>IFERROR(INDEX([1]SuSa_2024!BY:BY,MATCH($B255,[1]SuSa_2024!$B:$B,0)),"0")</f>
        <v>26669.620000000006</v>
      </c>
      <c r="AV255" s="8">
        <f>IFERROR(INDEX([1]SuSa_2025!AR:AR,MATCH($B255,[1]SuSa_2025!$B:$B,0)),"0")</f>
        <v>333.33</v>
      </c>
      <c r="AW255" s="8">
        <f>IFERROR(INDEX([1]SuSa_2025!AS:AS,MATCH($B255,[1]SuSa_2025!$B:$B,0)),"0")</f>
        <v>-2666.67</v>
      </c>
      <c r="AX255" s="8">
        <f>IFERROR(INDEX([1]SuSa_2025!AT:AT,MATCH($B255,[1]SuSa_2025!$B:$B,0)),"0")</f>
        <v>999.98999999999978</v>
      </c>
      <c r="AY255" s="8">
        <f>IFERROR(INDEX([1]SuSa_2025!AU:AU,MATCH($B255,[1]SuSa_2025!$B:$B,0)),"0")</f>
        <v>1333.3199999999997</v>
      </c>
      <c r="AZ255" s="8">
        <f>IFERROR(INDEX([1]SuSa_2025!AV:AV,MATCH($B255,[1]SuSa_2025!$B:$B,0)),"0")</f>
        <v>1666.6499999999996</v>
      </c>
      <c r="BA255" s="8">
        <f>IFERROR(INDEX([1]SuSa_2025!AW:AW,MATCH($B255,[1]SuSa_2025!$B:$B,0)),"0")</f>
        <v>1999.9799999999996</v>
      </c>
      <c r="BB255" s="8">
        <f>IFERROR(INDEX([1]SuSa_2025!AX:AX,MATCH($B255,[1]SuSa_2025!$B:$B,0)),"0")</f>
        <v>2333.3099999999995</v>
      </c>
    </row>
    <row r="256" spans="1:54" outlineLevel="1" collapsed="1" x14ac:dyDescent="0.25">
      <c r="A256" s="5" t="s">
        <v>769</v>
      </c>
      <c r="B256" s="6" t="s">
        <v>770</v>
      </c>
      <c r="C256" t="s">
        <v>771</v>
      </c>
      <c r="F256" s="22">
        <f t="shared" si="19"/>
        <v>18892</v>
      </c>
      <c r="G256" s="7">
        <f t="shared" si="20"/>
        <v>0</v>
      </c>
      <c r="H256" s="7">
        <f t="shared" si="21"/>
        <v>7792.12</v>
      </c>
      <c r="I256" s="7">
        <f t="shared" si="17"/>
        <v>0</v>
      </c>
      <c r="J256" s="8">
        <f t="shared" si="22"/>
        <v>7792.12</v>
      </c>
      <c r="K256" s="8">
        <f t="shared" si="18"/>
        <v>0</v>
      </c>
      <c r="U256" s="8">
        <v>8467</v>
      </c>
      <c r="V256" s="8">
        <v>8467</v>
      </c>
      <c r="W256" s="8">
        <v>18892</v>
      </c>
      <c r="AJ256" s="8">
        <f>IFERROR(INDEX([1]SuSa_2024!BN:BN,MATCH($B256,[1]SuSa_2024!$B:$B,0)),"0")</f>
        <v>0</v>
      </c>
      <c r="AK256" s="8">
        <f>IFERROR(INDEX([1]SuSa_2024!BO:BO,MATCH($B256,[1]SuSa_2024!$B:$B,0)),"0")</f>
        <v>0</v>
      </c>
      <c r="AL256" s="8">
        <f>IFERROR(INDEX([1]SuSa_2024!BP:BP,MATCH($B256,[1]SuSa_2024!$B:$B,0)),"0")</f>
        <v>0</v>
      </c>
      <c r="AM256" s="8">
        <f>IFERROR(INDEX([1]SuSa_2024!BQ:BQ,MATCH($B256,[1]SuSa_2024!$B:$B,0)),"0")</f>
        <v>0</v>
      </c>
      <c r="AN256" s="8">
        <f>IFERROR(INDEX([1]SuSa_2024!BR:BR,MATCH($B256,[1]SuSa_2024!$B:$B,0)),"0")</f>
        <v>0</v>
      </c>
      <c r="AO256" s="8">
        <f>IFERROR(INDEX([1]SuSa_2024!BS:BS,MATCH($B256,[1]SuSa_2024!$B:$B,0)),"0")</f>
        <v>0</v>
      </c>
      <c r="AP256" s="8">
        <f>IFERROR(INDEX([1]SuSa_2024!BT:BT,MATCH($B256,[1]SuSa_2024!$B:$B,0)),"0")</f>
        <v>0</v>
      </c>
      <c r="AQ256" s="8">
        <f>IFERROR(INDEX([1]SuSa_2024!BU:BU,MATCH($B256,[1]SuSa_2024!$B:$B,0)),"0")</f>
        <v>0</v>
      </c>
      <c r="AR256" s="8">
        <f>IFERROR(INDEX([1]SuSa_2024!BV:BV,MATCH($B256,[1]SuSa_2024!$B:$B,0)),"0")</f>
        <v>0</v>
      </c>
      <c r="AS256" s="8">
        <f>IFERROR(INDEX([1]SuSa_2024!BW:BW,MATCH($B256,[1]SuSa_2024!$B:$B,0)),"0")</f>
        <v>0</v>
      </c>
      <c r="AT256" s="8">
        <f>IFERROR(INDEX([1]SuSa_2024!BX:BX,MATCH($B256,[1]SuSa_2024!$B:$B,0)),"0")</f>
        <v>0</v>
      </c>
      <c r="AU256" s="8">
        <f>IFERROR(INDEX([1]SuSa_2024!BY:BY,MATCH($B256,[1]SuSa_2024!$B:$B,0)),"0")</f>
        <v>7792.12</v>
      </c>
      <c r="AV256" s="8">
        <f>IFERROR(INDEX([1]SuSa_2025!AR:AR,MATCH($B256,[1]SuSa_2025!$B:$B,0)),"0")</f>
        <v>0</v>
      </c>
      <c r="AW256" s="8">
        <f>IFERROR(INDEX([1]SuSa_2025!AS:AS,MATCH($B256,[1]SuSa_2025!$B:$B,0)),"0")</f>
        <v>0</v>
      </c>
      <c r="AX256" s="8">
        <f>IFERROR(INDEX([1]SuSa_2025!AT:AT,MATCH($B256,[1]SuSa_2025!$B:$B,0)),"0")</f>
        <v>0</v>
      </c>
      <c r="AY256" s="8">
        <f>IFERROR(INDEX([1]SuSa_2025!AU:AU,MATCH($B256,[1]SuSa_2025!$B:$B,0)),"0")</f>
        <v>0</v>
      </c>
      <c r="AZ256" s="8">
        <f>IFERROR(INDEX([1]SuSa_2025!AV:AV,MATCH($B256,[1]SuSa_2025!$B:$B,0)),"0")</f>
        <v>0</v>
      </c>
      <c r="BA256" s="8">
        <f>IFERROR(INDEX([1]SuSa_2025!AW:AW,MATCH($B256,[1]SuSa_2025!$B:$B,0)),"0")</f>
        <v>0</v>
      </c>
      <c r="BB256" s="8">
        <f>IFERROR(INDEX([1]SuSa_2025!AX:AX,MATCH($B256,[1]SuSa_2025!$B:$B,0)),"0")</f>
        <v>0</v>
      </c>
    </row>
    <row r="257" spans="1:54" outlineLevel="1" collapsed="1" x14ac:dyDescent="0.25">
      <c r="A257" s="5" t="s">
        <v>772</v>
      </c>
      <c r="B257" s="6" t="s">
        <v>773</v>
      </c>
      <c r="C257" t="s">
        <v>774</v>
      </c>
      <c r="F257" s="22">
        <f t="shared" si="19"/>
        <v>2874.56</v>
      </c>
      <c r="G257" s="7">
        <f t="shared" si="20"/>
        <v>2582.2399999999998</v>
      </c>
      <c r="H257" s="7">
        <f t="shared" si="21"/>
        <v>3218.52</v>
      </c>
      <c r="I257" s="7">
        <f t="shared" si="17"/>
        <v>1386.54</v>
      </c>
      <c r="J257" s="8">
        <f t="shared" si="22"/>
        <v>2598.1399999999994</v>
      </c>
      <c r="K257" s="8">
        <f t="shared" si="18"/>
        <v>2006.92</v>
      </c>
      <c r="L257" s="8">
        <v>200</v>
      </c>
      <c r="M257" s="8">
        <v>400</v>
      </c>
      <c r="N257" s="8">
        <v>600</v>
      </c>
      <c r="O257" s="8">
        <v>818.65</v>
      </c>
      <c r="P257" s="8">
        <v>1018.65</v>
      </c>
      <c r="Q257" s="8">
        <v>1226.5899999999999</v>
      </c>
      <c r="R257" s="8">
        <v>1466.51</v>
      </c>
      <c r="S257" s="8">
        <v>1673.93</v>
      </c>
      <c r="T257" s="8">
        <v>1896.6</v>
      </c>
      <c r="U257" s="8">
        <v>2114.02</v>
      </c>
      <c r="V257" s="8">
        <v>2336.69</v>
      </c>
      <c r="W257" s="8">
        <v>2874.56</v>
      </c>
      <c r="X257" s="8">
        <v>230</v>
      </c>
      <c r="Y257" s="8">
        <v>460</v>
      </c>
      <c r="Z257" s="8">
        <v>708.31</v>
      </c>
      <c r="AA257" s="8">
        <v>975.03</v>
      </c>
      <c r="AB257" s="8">
        <v>1167.4100000000001</v>
      </c>
      <c r="AC257" s="8">
        <v>1423.24</v>
      </c>
      <c r="AD257" s="8">
        <v>1653.24</v>
      </c>
      <c r="AE257" s="8">
        <v>1653.24</v>
      </c>
      <c r="AF257" s="8">
        <v>1653.24</v>
      </c>
      <c r="AG257" s="8">
        <v>2131.5500000000002</v>
      </c>
      <c r="AH257" s="8">
        <v>2795.61</v>
      </c>
      <c r="AI257" s="8">
        <v>2582.2399999999998</v>
      </c>
      <c r="AJ257" s="8">
        <f>IFERROR(INDEX([1]SuSa_2024!BN:BN,MATCH($B257,[1]SuSa_2024!$B:$B,0)),"0")</f>
        <v>0</v>
      </c>
      <c r="AK257" s="8">
        <f>IFERROR(INDEX([1]SuSa_2024!BO:BO,MATCH($B257,[1]SuSa_2024!$B:$B,0)),"0")</f>
        <v>315.18</v>
      </c>
      <c r="AL257" s="8">
        <f>IFERROR(INDEX([1]SuSa_2024!BP:BP,MATCH($B257,[1]SuSa_2024!$B:$B,0)),"0")</f>
        <v>838.56</v>
      </c>
      <c r="AM257" s="8">
        <f>IFERROR(INDEX([1]SuSa_2024!BQ:BQ,MATCH($B257,[1]SuSa_2024!$B:$B,0)),"0")</f>
        <v>1122.8399999999999</v>
      </c>
      <c r="AN257" s="8">
        <f>IFERROR(INDEX([1]SuSa_2024!BR:BR,MATCH($B257,[1]SuSa_2024!$B:$B,0)),"0")</f>
        <v>1382.84</v>
      </c>
      <c r="AO257" s="8">
        <f>IFERROR(INDEX([1]SuSa_2024!BS:BS,MATCH($B257,[1]SuSa_2024!$B:$B,0)),"0")</f>
        <v>1743.54</v>
      </c>
      <c r="AP257" s="8">
        <f>IFERROR(INDEX([1]SuSa_2024!BT:BT,MATCH($B257,[1]SuSa_2024!$B:$B,0)),"0")</f>
        <v>2006.92</v>
      </c>
      <c r="AQ257" s="8">
        <f>IFERROR(INDEX([1]SuSa_2024!BU:BU,MATCH($B257,[1]SuSa_2024!$B:$B,0)),"0")</f>
        <v>2006.92</v>
      </c>
      <c r="AR257" s="8">
        <f>IFERROR(INDEX([1]SuSa_2024!BV:BV,MATCH($B257,[1]SuSa_2024!$B:$B,0)),"0")</f>
        <v>2006.92</v>
      </c>
      <c r="AS257" s="8">
        <f>IFERROR(INDEX([1]SuSa_2024!BW:BW,MATCH($B257,[1]SuSa_2024!$B:$B,0)),"0")</f>
        <v>2006.92</v>
      </c>
      <c r="AT257" s="8">
        <f>IFERROR(INDEX([1]SuSa_2024!BX:BX,MATCH($B257,[1]SuSa_2024!$B:$B,0)),"0")</f>
        <v>2249.4</v>
      </c>
      <c r="AU257" s="8">
        <f>IFERROR(INDEX([1]SuSa_2024!BY:BY,MATCH($B257,[1]SuSa_2024!$B:$B,0)),"0")</f>
        <v>3218.52</v>
      </c>
      <c r="AV257" s="8">
        <f>IFERROR(INDEX([1]SuSa_2025!AR:AR,MATCH($B257,[1]SuSa_2025!$B:$B,0)),"0")</f>
        <v>310.63</v>
      </c>
      <c r="AW257" s="8">
        <f>IFERROR(INDEX([1]SuSa_2025!AS:AS,MATCH($B257,[1]SuSa_2025!$B:$B,0)),"0")</f>
        <v>310.63</v>
      </c>
      <c r="AX257" s="8">
        <f>IFERROR(INDEX([1]SuSa_2025!AT:AT,MATCH($B257,[1]SuSa_2025!$B:$B,0)),"0")</f>
        <v>496.15</v>
      </c>
      <c r="AY257" s="8">
        <f>IFERROR(INDEX([1]SuSa_2025!AU:AU,MATCH($B257,[1]SuSa_2025!$B:$B,0)),"0")</f>
        <v>841.46</v>
      </c>
      <c r="AZ257" s="8">
        <f>IFERROR(INDEX([1]SuSa_2025!AV:AV,MATCH($B257,[1]SuSa_2025!$B:$B,0)),"0")</f>
        <v>1114</v>
      </c>
      <c r="BA257" s="8">
        <f>IFERROR(INDEX([1]SuSa_2025!AW:AW,MATCH($B257,[1]SuSa_2025!$B:$B,0)),"0")</f>
        <v>1386.54</v>
      </c>
      <c r="BB257" s="8">
        <f>IFERROR(INDEX([1]SuSa_2025!AX:AX,MATCH($B257,[1]SuSa_2025!$B:$B,0)),"0")</f>
        <v>1386.54</v>
      </c>
    </row>
    <row r="258" spans="1:54" outlineLevel="1" collapsed="1" x14ac:dyDescent="0.25">
      <c r="A258" s="5" t="s">
        <v>775</v>
      </c>
      <c r="B258" s="6" t="s">
        <v>776</v>
      </c>
      <c r="C258" t="s">
        <v>777</v>
      </c>
      <c r="F258" s="22">
        <f t="shared" si="19"/>
        <v>3844.29</v>
      </c>
      <c r="G258" s="7">
        <f t="shared" si="20"/>
        <v>7437.65</v>
      </c>
      <c r="H258" s="7">
        <f t="shared" si="21"/>
        <v>2583.77</v>
      </c>
      <c r="I258" s="7">
        <f t="shared" si="17"/>
        <v>216.89999999999998</v>
      </c>
      <c r="J258" s="8">
        <f t="shared" si="22"/>
        <v>1984.0300000000002</v>
      </c>
      <c r="K258" s="8">
        <f t="shared" si="18"/>
        <v>816.64</v>
      </c>
      <c r="L258" s="8">
        <v>181.6</v>
      </c>
      <c r="M258" s="8">
        <v>322.97000000000003</v>
      </c>
      <c r="N258" s="8">
        <v>551.4</v>
      </c>
      <c r="O258" s="8">
        <v>1162.6099999999999</v>
      </c>
      <c r="P258" s="8">
        <v>1248.5999999999999</v>
      </c>
      <c r="Q258" s="8">
        <v>1788.29</v>
      </c>
      <c r="R258" s="8">
        <v>2716.01</v>
      </c>
      <c r="S258" s="8">
        <v>2779.56</v>
      </c>
      <c r="T258" s="8">
        <v>3004.36</v>
      </c>
      <c r="U258" s="8">
        <v>3543.26</v>
      </c>
      <c r="V258" s="8">
        <v>3668.23</v>
      </c>
      <c r="W258" s="8">
        <v>3844.29</v>
      </c>
      <c r="X258" s="8">
        <v>7021.88</v>
      </c>
      <c r="Y258" s="8">
        <v>7091.86</v>
      </c>
      <c r="Z258" s="8">
        <v>7171.74</v>
      </c>
      <c r="AA258" s="8">
        <v>7179.18</v>
      </c>
      <c r="AB258" s="8">
        <v>7215.17</v>
      </c>
      <c r="AC258" s="8">
        <v>7234.41</v>
      </c>
      <c r="AD258" s="8">
        <v>7259.74</v>
      </c>
      <c r="AE258" s="8">
        <v>7412.53</v>
      </c>
      <c r="AF258" s="8">
        <v>7412.56</v>
      </c>
      <c r="AG258" s="8">
        <v>7422.55</v>
      </c>
      <c r="AH258" s="8">
        <v>7437.55</v>
      </c>
      <c r="AI258" s="8">
        <v>7437.65</v>
      </c>
      <c r="AJ258" s="8">
        <f>IFERROR(INDEX([1]SuSa_2024!BN:BN,MATCH($B258,[1]SuSa_2024!$B:$B,0)),"0")</f>
        <v>176.22</v>
      </c>
      <c r="AK258" s="8">
        <f>IFERROR(INDEX([1]SuSa_2024!BO:BO,MATCH($B258,[1]SuSa_2024!$B:$B,0)),"0")</f>
        <v>475.23</v>
      </c>
      <c r="AL258" s="8">
        <f>IFERROR(INDEX([1]SuSa_2024!BP:BP,MATCH($B258,[1]SuSa_2024!$B:$B,0)),"0")</f>
        <v>477.04</v>
      </c>
      <c r="AM258" s="8">
        <f>IFERROR(INDEX([1]SuSa_2024!BQ:BQ,MATCH($B258,[1]SuSa_2024!$B:$B,0)),"0")</f>
        <v>477.04</v>
      </c>
      <c r="AN258" s="8">
        <f>IFERROR(INDEX([1]SuSa_2024!BR:BR,MATCH($B258,[1]SuSa_2024!$B:$B,0)),"0")</f>
        <v>767.04</v>
      </c>
      <c r="AO258" s="8">
        <f>IFERROR(INDEX([1]SuSa_2024!BS:BS,MATCH($B258,[1]SuSa_2024!$B:$B,0)),"0")</f>
        <v>796.64</v>
      </c>
      <c r="AP258" s="8">
        <f>IFERROR(INDEX([1]SuSa_2024!BT:BT,MATCH($B258,[1]SuSa_2024!$B:$B,0)),"0")</f>
        <v>816.64</v>
      </c>
      <c r="AQ258" s="8">
        <f>IFERROR(INDEX([1]SuSa_2024!BU:BU,MATCH($B258,[1]SuSa_2024!$B:$B,0)),"0")</f>
        <v>836.64</v>
      </c>
      <c r="AR258" s="8">
        <f>IFERROR(INDEX([1]SuSa_2024!BV:BV,MATCH($B258,[1]SuSa_2024!$B:$B,0)),"0")</f>
        <v>856.64</v>
      </c>
      <c r="AS258" s="8">
        <f>IFERROR(INDEX([1]SuSa_2024!BW:BW,MATCH($B258,[1]SuSa_2024!$B:$B,0)),"0")</f>
        <v>876.64</v>
      </c>
      <c r="AT258" s="8">
        <f>IFERROR(INDEX([1]SuSa_2024!BX:BX,MATCH($B258,[1]SuSa_2024!$B:$B,0)),"0")</f>
        <v>925.64</v>
      </c>
      <c r="AU258" s="8">
        <f>IFERROR(INDEX([1]SuSa_2024!BY:BY,MATCH($B258,[1]SuSa_2024!$B:$B,0)),"0")</f>
        <v>2583.77</v>
      </c>
      <c r="AV258" s="8">
        <f>IFERROR(INDEX([1]SuSa_2025!AR:AR,MATCH($B258,[1]SuSa_2025!$B:$B,0)),"0")</f>
        <v>7</v>
      </c>
      <c r="AW258" s="8">
        <f>IFERROR(INDEX([1]SuSa_2025!AS:AS,MATCH($B258,[1]SuSa_2025!$B:$B,0)),"0")</f>
        <v>16.100000000000001</v>
      </c>
      <c r="AX258" s="8">
        <f>IFERROR(INDEX([1]SuSa_2025!AT:AT,MATCH($B258,[1]SuSa_2025!$B:$B,0)),"0")</f>
        <v>126.66999999999999</v>
      </c>
      <c r="AY258" s="8">
        <f>IFERROR(INDEX([1]SuSa_2025!AU:AU,MATCH($B258,[1]SuSa_2025!$B:$B,0)),"0")</f>
        <v>142.54999999999998</v>
      </c>
      <c r="AZ258" s="8">
        <f>IFERROR(INDEX([1]SuSa_2025!AV:AV,MATCH($B258,[1]SuSa_2025!$B:$B,0)),"0")</f>
        <v>154.29999999999998</v>
      </c>
      <c r="BA258" s="8">
        <f>IFERROR(INDEX([1]SuSa_2025!AW:AW,MATCH($B258,[1]SuSa_2025!$B:$B,0)),"0")</f>
        <v>171.73999999999998</v>
      </c>
      <c r="BB258" s="8">
        <f>IFERROR(INDEX([1]SuSa_2025!AX:AX,MATCH($B258,[1]SuSa_2025!$B:$B,0)),"0")</f>
        <v>216.89999999999998</v>
      </c>
    </row>
    <row r="259" spans="1:54" outlineLevel="1" collapsed="1" x14ac:dyDescent="0.25">
      <c r="A259" s="5" t="s">
        <v>775</v>
      </c>
      <c r="B259" s="6" t="s">
        <v>778</v>
      </c>
      <c r="C259" t="s">
        <v>779</v>
      </c>
      <c r="F259" s="22">
        <f t="shared" si="19"/>
        <v>0</v>
      </c>
      <c r="G259" s="7">
        <f t="shared" si="20"/>
        <v>1247.6500000000001</v>
      </c>
      <c r="H259" s="7">
        <f t="shared" si="21"/>
        <v>235.42999999999998</v>
      </c>
      <c r="I259" s="7">
        <f t="shared" si="17"/>
        <v>13.17</v>
      </c>
      <c r="J259" s="8">
        <f t="shared" si="22"/>
        <v>90.699999999999989</v>
      </c>
      <c r="K259" s="8">
        <f t="shared" si="18"/>
        <v>157.89999999999998</v>
      </c>
      <c r="AF259" s="8">
        <v>735.73</v>
      </c>
      <c r="AG259" s="8">
        <v>904.47</v>
      </c>
      <c r="AH259" s="8">
        <v>1119.6099999999999</v>
      </c>
      <c r="AI259" s="8">
        <v>1247.6500000000001</v>
      </c>
      <c r="AJ259" s="8">
        <f>IFERROR(INDEX([1]SuSa_2024!BN:BN,MATCH($B259,[1]SuSa_2024!$B:$B,0)),"0")</f>
        <v>28.22</v>
      </c>
      <c r="AK259" s="8">
        <f>IFERROR(INDEX([1]SuSa_2024!BO:BO,MATCH($B259,[1]SuSa_2024!$B:$B,0)),"0")</f>
        <v>63.67</v>
      </c>
      <c r="AL259" s="8">
        <f>IFERROR(INDEX([1]SuSa_2024!BP:BP,MATCH($B259,[1]SuSa_2024!$B:$B,0)),"0")</f>
        <v>85.81</v>
      </c>
      <c r="AM259" s="8">
        <f>IFERROR(INDEX([1]SuSa_2024!BQ:BQ,MATCH($B259,[1]SuSa_2024!$B:$B,0)),"0")</f>
        <v>99.67</v>
      </c>
      <c r="AN259" s="8">
        <f>IFERROR(INDEX([1]SuSa_2024!BR:BR,MATCH($B259,[1]SuSa_2024!$B:$B,0)),"0")</f>
        <v>135.44</v>
      </c>
      <c r="AO259" s="8">
        <f>IFERROR(INDEX([1]SuSa_2024!BS:BS,MATCH($B259,[1]SuSa_2024!$B:$B,0)),"0")</f>
        <v>150.85999999999999</v>
      </c>
      <c r="AP259" s="8">
        <f>IFERROR(INDEX([1]SuSa_2024!BT:BT,MATCH($B259,[1]SuSa_2024!$B:$B,0)),"0")</f>
        <v>157.89999999999998</v>
      </c>
      <c r="AQ259" s="8">
        <f>IFERROR(INDEX([1]SuSa_2024!BU:BU,MATCH($B259,[1]SuSa_2024!$B:$B,0)),"0")</f>
        <v>176.21999999999997</v>
      </c>
      <c r="AR259" s="8">
        <f>IFERROR(INDEX([1]SuSa_2024!BV:BV,MATCH($B259,[1]SuSa_2024!$B:$B,0)),"0")</f>
        <v>184.49999999999997</v>
      </c>
      <c r="AS259" s="8">
        <f>IFERROR(INDEX([1]SuSa_2024!BW:BW,MATCH($B259,[1]SuSa_2024!$B:$B,0)),"0")</f>
        <v>195.26999999999998</v>
      </c>
      <c r="AT259" s="8">
        <f>IFERROR(INDEX([1]SuSa_2024!BX:BX,MATCH($B259,[1]SuSa_2024!$B:$B,0)),"0")</f>
        <v>216.92999999999998</v>
      </c>
      <c r="AU259" s="8">
        <f>IFERROR(INDEX([1]SuSa_2024!BY:BY,MATCH($B259,[1]SuSa_2024!$B:$B,0)),"0")</f>
        <v>235.42999999999998</v>
      </c>
      <c r="AV259" s="8">
        <f>IFERROR(INDEX([1]SuSa_2025!AR:AR,MATCH($B259,[1]SuSa_2025!$B:$B,0)),"0")</f>
        <v>13.17</v>
      </c>
      <c r="AW259" s="8">
        <f>IFERROR(INDEX([1]SuSa_2025!AS:AS,MATCH($B259,[1]SuSa_2025!$B:$B,0)),"0")</f>
        <v>13.17</v>
      </c>
      <c r="AX259" s="8">
        <f>IFERROR(INDEX([1]SuSa_2025!AT:AT,MATCH($B259,[1]SuSa_2025!$B:$B,0)),"0")</f>
        <v>13.17</v>
      </c>
      <c r="AY259" s="8">
        <f>IFERROR(INDEX([1]SuSa_2025!AU:AU,MATCH($B259,[1]SuSa_2025!$B:$B,0)),"0")</f>
        <v>13.17</v>
      </c>
      <c r="AZ259" s="8">
        <f>IFERROR(INDEX([1]SuSa_2025!AV:AV,MATCH($B259,[1]SuSa_2025!$B:$B,0)),"0")</f>
        <v>13.17</v>
      </c>
      <c r="BA259" s="8">
        <f>IFERROR(INDEX([1]SuSa_2025!AW:AW,MATCH($B259,[1]SuSa_2025!$B:$B,0)),"0")</f>
        <v>13.17</v>
      </c>
      <c r="BB259" s="8">
        <f>IFERROR(INDEX([1]SuSa_2025!AX:AX,MATCH($B259,[1]SuSa_2025!$B:$B,0)),"0")</f>
        <v>13.17</v>
      </c>
    </row>
    <row r="260" spans="1:54" outlineLevel="1" collapsed="1" x14ac:dyDescent="0.25">
      <c r="A260" s="5" t="s">
        <v>775</v>
      </c>
      <c r="B260" s="6" t="s">
        <v>780</v>
      </c>
      <c r="C260" t="s">
        <v>781</v>
      </c>
      <c r="F260" s="22">
        <f t="shared" si="19"/>
        <v>0</v>
      </c>
      <c r="G260" s="7">
        <f t="shared" si="20"/>
        <v>290.20999999999998</v>
      </c>
      <c r="H260" s="7">
        <f t="shared" si="21"/>
        <v>68.710000000000008</v>
      </c>
      <c r="I260" s="7">
        <f t="shared" ref="I260:I318" si="23">BB260</f>
        <v>1</v>
      </c>
      <c r="J260" s="8">
        <f t="shared" si="22"/>
        <v>30.810000000000002</v>
      </c>
      <c r="K260" s="8">
        <f t="shared" ref="K260:K318" si="24">AP260</f>
        <v>38.900000000000006</v>
      </c>
      <c r="AF260" s="8">
        <v>235.37</v>
      </c>
      <c r="AG260" s="8">
        <v>290.20999999999998</v>
      </c>
      <c r="AH260" s="8">
        <v>290.20999999999998</v>
      </c>
      <c r="AI260" s="8">
        <v>290.20999999999998</v>
      </c>
      <c r="AJ260" s="8">
        <f>IFERROR(INDEX([1]SuSa_2024!BN:BN,MATCH($B260,[1]SuSa_2024!$B:$B,0)),"0")</f>
        <v>0</v>
      </c>
      <c r="AK260" s="8">
        <f>IFERROR(INDEX([1]SuSa_2024!BO:BO,MATCH($B260,[1]SuSa_2024!$B:$B,0)),"0")</f>
        <v>16.920000000000002</v>
      </c>
      <c r="AL260" s="8">
        <f>IFERROR(INDEX([1]SuSa_2024!BP:BP,MATCH($B260,[1]SuSa_2024!$B:$B,0)),"0")</f>
        <v>26.28</v>
      </c>
      <c r="AM260" s="8">
        <f>IFERROR(INDEX([1]SuSa_2024!BQ:BQ,MATCH($B260,[1]SuSa_2024!$B:$B,0)),"0")</f>
        <v>32.840000000000003</v>
      </c>
      <c r="AN260" s="8">
        <f>IFERROR(INDEX([1]SuSa_2024!BR:BR,MATCH($B260,[1]SuSa_2024!$B:$B,0)),"0")</f>
        <v>32.840000000000003</v>
      </c>
      <c r="AO260" s="8">
        <f>IFERROR(INDEX([1]SuSa_2024!BS:BS,MATCH($B260,[1]SuSa_2024!$B:$B,0)),"0")</f>
        <v>34.950000000000003</v>
      </c>
      <c r="AP260" s="8">
        <f>IFERROR(INDEX([1]SuSa_2024!BT:BT,MATCH($B260,[1]SuSa_2024!$B:$B,0)),"0")</f>
        <v>38.900000000000006</v>
      </c>
      <c r="AQ260" s="8">
        <f>IFERROR(INDEX([1]SuSa_2024!BU:BU,MATCH($B260,[1]SuSa_2024!$B:$B,0)),"0")</f>
        <v>41.250000000000007</v>
      </c>
      <c r="AR260" s="8">
        <f>IFERROR(INDEX([1]SuSa_2024!BV:BV,MATCH($B260,[1]SuSa_2024!$B:$B,0)),"0")</f>
        <v>41.820000000000007</v>
      </c>
      <c r="AS260" s="8">
        <f>IFERROR(INDEX([1]SuSa_2024!BW:BW,MATCH($B260,[1]SuSa_2024!$B:$B,0)),"0")</f>
        <v>44.400000000000006</v>
      </c>
      <c r="AT260" s="8">
        <f>IFERROR(INDEX([1]SuSa_2024!BX:BX,MATCH($B260,[1]SuSa_2024!$B:$B,0)),"0")</f>
        <v>62.610000000000007</v>
      </c>
      <c r="AU260" s="8">
        <f>IFERROR(INDEX([1]SuSa_2024!BY:BY,MATCH($B260,[1]SuSa_2024!$B:$B,0)),"0")</f>
        <v>68.710000000000008</v>
      </c>
      <c r="AV260" s="8">
        <f>IFERROR(INDEX([1]SuSa_2025!AR:AR,MATCH($B260,[1]SuSa_2025!$B:$B,0)),"0")</f>
        <v>1</v>
      </c>
      <c r="AW260" s="8">
        <f>IFERROR(INDEX([1]SuSa_2025!AS:AS,MATCH($B260,[1]SuSa_2025!$B:$B,0)),"0")</f>
        <v>1</v>
      </c>
      <c r="AX260" s="8">
        <f>IFERROR(INDEX([1]SuSa_2025!AT:AT,MATCH($B260,[1]SuSa_2025!$B:$B,0)),"0")</f>
        <v>1</v>
      </c>
      <c r="AY260" s="8">
        <f>IFERROR(INDEX([1]SuSa_2025!AU:AU,MATCH($B260,[1]SuSa_2025!$B:$B,0)),"0")</f>
        <v>1</v>
      </c>
      <c r="AZ260" s="8">
        <f>IFERROR(INDEX([1]SuSa_2025!AV:AV,MATCH($B260,[1]SuSa_2025!$B:$B,0)),"0")</f>
        <v>1</v>
      </c>
      <c r="BA260" s="8">
        <f>IFERROR(INDEX([1]SuSa_2025!AW:AW,MATCH($B260,[1]SuSa_2025!$B:$B,0)),"0")</f>
        <v>1</v>
      </c>
      <c r="BB260" s="8">
        <f>IFERROR(INDEX([1]SuSa_2025!AX:AX,MATCH($B260,[1]SuSa_2025!$B:$B,0)),"0")</f>
        <v>1</v>
      </c>
    </row>
    <row r="261" spans="1:54" outlineLevel="1" collapsed="1" x14ac:dyDescent="0.25">
      <c r="A261" s="5" t="s">
        <v>782</v>
      </c>
      <c r="B261" s="6" t="s">
        <v>783</v>
      </c>
      <c r="C261" t="s">
        <v>784</v>
      </c>
      <c r="F261" s="22">
        <f t="shared" ref="F261:F318" si="25">W261</f>
        <v>1304.05</v>
      </c>
      <c r="G261" s="7">
        <f t="shared" ref="G261:G318" si="26">AI261</f>
        <v>2641.37</v>
      </c>
      <c r="H261" s="7">
        <f t="shared" ref="H261:H318" si="27">AU261</f>
        <v>11546.95</v>
      </c>
      <c r="I261" s="7">
        <f t="shared" si="23"/>
        <v>632.29</v>
      </c>
      <c r="J261" s="8">
        <f t="shared" si="22"/>
        <v>10529.550000000003</v>
      </c>
      <c r="K261" s="8">
        <f t="shared" si="24"/>
        <v>1649.6899999999996</v>
      </c>
      <c r="L261" s="8">
        <v>87.04</v>
      </c>
      <c r="M261" s="8">
        <v>133.26</v>
      </c>
      <c r="N261" s="8">
        <v>-3.21</v>
      </c>
      <c r="O261" s="8">
        <v>154.16999999999999</v>
      </c>
      <c r="P261" s="8">
        <v>300.19</v>
      </c>
      <c r="Q261" s="8">
        <v>354.52</v>
      </c>
      <c r="R261" s="8">
        <v>544.08000000000004</v>
      </c>
      <c r="S261" s="8">
        <v>594.49</v>
      </c>
      <c r="T261" s="8">
        <v>666.93</v>
      </c>
      <c r="U261" s="8">
        <v>697.17</v>
      </c>
      <c r="V261" s="8">
        <v>753.47</v>
      </c>
      <c r="W261" s="8">
        <v>1304.05</v>
      </c>
      <c r="X261" s="8">
        <v>45.36</v>
      </c>
      <c r="Y261" s="8">
        <v>363.85</v>
      </c>
      <c r="Z261" s="8">
        <v>659.88</v>
      </c>
      <c r="AA261" s="8">
        <v>796.67</v>
      </c>
      <c r="AB261" s="8">
        <v>1232.7</v>
      </c>
      <c r="AC261" s="8">
        <v>1951.39</v>
      </c>
      <c r="AD261" s="8">
        <v>2315.92</v>
      </c>
      <c r="AE261" s="8">
        <v>2315.92</v>
      </c>
      <c r="AF261" s="8">
        <v>2315.92</v>
      </c>
      <c r="AG261" s="8">
        <v>2315.92</v>
      </c>
      <c r="AH261" s="8">
        <v>2641.37</v>
      </c>
      <c r="AI261" s="8">
        <v>2641.37</v>
      </c>
      <c r="AJ261" s="8">
        <f>IFERROR(INDEX([1]SuSa_2024!BN:BN,MATCH($B261,[1]SuSa_2024!$B:$B,0)),"0")</f>
        <v>0</v>
      </c>
      <c r="AK261" s="8">
        <f>IFERROR(INDEX([1]SuSa_2024!BO:BO,MATCH($B261,[1]SuSa_2024!$B:$B,0)),"0")</f>
        <v>16.79</v>
      </c>
      <c r="AL261" s="8">
        <f>IFERROR(INDEX([1]SuSa_2024!BP:BP,MATCH($B261,[1]SuSa_2024!$B:$B,0)),"0")</f>
        <v>1601.1599999999999</v>
      </c>
      <c r="AM261" s="8">
        <f>IFERROR(INDEX([1]SuSa_2024!BQ:BQ,MATCH($B261,[1]SuSa_2024!$B:$B,0)),"0")</f>
        <v>3336.8199999999997</v>
      </c>
      <c r="AN261" s="8">
        <f>IFERROR(INDEX([1]SuSa_2024!BR:BR,MATCH($B261,[1]SuSa_2024!$B:$B,0)),"0")</f>
        <v>3911.6899999999996</v>
      </c>
      <c r="AO261" s="8">
        <f>IFERROR(INDEX([1]SuSa_2024!BS:BS,MATCH($B261,[1]SuSa_2024!$B:$B,0)),"0")</f>
        <v>1649.6899999999996</v>
      </c>
      <c r="AP261" s="8">
        <f>IFERROR(INDEX([1]SuSa_2024!BT:BT,MATCH($B261,[1]SuSa_2024!$B:$B,0)),"0")</f>
        <v>1649.6899999999996</v>
      </c>
      <c r="AQ261" s="8">
        <f>IFERROR(INDEX([1]SuSa_2024!BU:BU,MATCH($B261,[1]SuSa_2024!$B:$B,0)),"0")</f>
        <v>1649.6899999999996</v>
      </c>
      <c r="AR261" s="8">
        <f>IFERROR(INDEX([1]SuSa_2024!BV:BV,MATCH($B261,[1]SuSa_2024!$B:$B,0)),"0")</f>
        <v>1649.6899999999996</v>
      </c>
      <c r="AS261" s="8">
        <f>IFERROR(INDEX([1]SuSa_2024!BW:BW,MATCH($B261,[1]SuSa_2024!$B:$B,0)),"0")</f>
        <v>1780.9299999999996</v>
      </c>
      <c r="AT261" s="8">
        <f>IFERROR(INDEX([1]SuSa_2024!BX:BX,MATCH($B261,[1]SuSa_2024!$B:$B,0)),"0")</f>
        <v>1852.3499999999997</v>
      </c>
      <c r="AU261" s="8">
        <f>IFERROR(INDEX([1]SuSa_2024!BY:BY,MATCH($B261,[1]SuSa_2024!$B:$B,0)),"0")</f>
        <v>11546.95</v>
      </c>
      <c r="AV261" s="8">
        <f>IFERROR(INDEX([1]SuSa_2025!AR:AR,MATCH($B261,[1]SuSa_2025!$B:$B,0)),"0")</f>
        <v>330.15</v>
      </c>
      <c r="AW261" s="8">
        <f>IFERROR(INDEX([1]SuSa_2025!AS:AS,MATCH($B261,[1]SuSa_2025!$B:$B,0)),"0")</f>
        <v>330.15</v>
      </c>
      <c r="AX261" s="8">
        <f>IFERROR(INDEX([1]SuSa_2025!AT:AT,MATCH($B261,[1]SuSa_2025!$B:$B,0)),"0")</f>
        <v>359.57</v>
      </c>
      <c r="AY261" s="8">
        <f>IFERROR(INDEX([1]SuSa_2025!AU:AU,MATCH($B261,[1]SuSa_2025!$B:$B,0)),"0")</f>
        <v>359.57</v>
      </c>
      <c r="AZ261" s="8">
        <f>IFERROR(INDEX([1]SuSa_2025!AV:AV,MATCH($B261,[1]SuSa_2025!$B:$B,0)),"0")</f>
        <v>359.57</v>
      </c>
      <c r="BA261" s="8">
        <f>IFERROR(INDEX([1]SuSa_2025!AW:AW,MATCH($B261,[1]SuSa_2025!$B:$B,0)),"0")</f>
        <v>632.29</v>
      </c>
      <c r="BB261" s="8">
        <f>IFERROR(INDEX([1]SuSa_2025!AX:AX,MATCH($B261,[1]SuSa_2025!$B:$B,0)),"0")</f>
        <v>632.29</v>
      </c>
    </row>
    <row r="262" spans="1:54" outlineLevel="1" collapsed="1" x14ac:dyDescent="0.25">
      <c r="A262" s="5" t="s">
        <v>785</v>
      </c>
      <c r="B262" s="6" t="s">
        <v>786</v>
      </c>
      <c r="C262" t="s">
        <v>787</v>
      </c>
      <c r="F262" s="22">
        <f t="shared" si="25"/>
        <v>0</v>
      </c>
      <c r="G262" s="7">
        <f t="shared" si="26"/>
        <v>241.88</v>
      </c>
      <c r="H262" s="7">
        <f t="shared" si="27"/>
        <v>0</v>
      </c>
      <c r="I262" s="7" t="str">
        <f t="shared" si="23"/>
        <v>0</v>
      </c>
      <c r="J262" s="8">
        <f t="shared" si="22"/>
        <v>0</v>
      </c>
      <c r="K262" s="8">
        <f t="shared" si="24"/>
        <v>0</v>
      </c>
      <c r="AD262" s="8">
        <v>241.88</v>
      </c>
      <c r="AE262" s="8">
        <v>241.88</v>
      </c>
      <c r="AF262" s="8">
        <v>241.88</v>
      </c>
      <c r="AG262" s="8">
        <v>241.88</v>
      </c>
      <c r="AH262" s="8">
        <v>241.88</v>
      </c>
      <c r="AI262" s="8">
        <v>241.88</v>
      </c>
      <c r="AJ262" s="8">
        <f>IFERROR(INDEX([1]SuSa_2024!BN:BN,MATCH($B262,[1]SuSa_2024!$B:$B,0)),"0")</f>
        <v>0</v>
      </c>
      <c r="AK262" s="8">
        <f>IFERROR(INDEX([1]SuSa_2024!BO:BO,MATCH($B262,[1]SuSa_2024!$B:$B,0)),"0")</f>
        <v>0</v>
      </c>
      <c r="AL262" s="8">
        <f>IFERROR(INDEX([1]SuSa_2024!BP:BP,MATCH($B262,[1]SuSa_2024!$B:$B,0)),"0")</f>
        <v>0</v>
      </c>
      <c r="AM262" s="8">
        <f>IFERROR(INDEX([1]SuSa_2024!BQ:BQ,MATCH($B262,[1]SuSa_2024!$B:$B,0)),"0")</f>
        <v>0</v>
      </c>
      <c r="AN262" s="8">
        <f>IFERROR(INDEX([1]SuSa_2024!BR:BR,MATCH($B262,[1]SuSa_2024!$B:$B,0)),"0")</f>
        <v>0</v>
      </c>
      <c r="AO262" s="8">
        <f>IFERROR(INDEX([1]SuSa_2024!BS:BS,MATCH($B262,[1]SuSa_2024!$B:$B,0)),"0")</f>
        <v>0</v>
      </c>
      <c r="AP262" s="8">
        <f>IFERROR(INDEX([1]SuSa_2024!BT:BT,MATCH($B262,[1]SuSa_2024!$B:$B,0)),"0")</f>
        <v>0</v>
      </c>
      <c r="AQ262" s="8">
        <f>IFERROR(INDEX([1]SuSa_2024!BU:BU,MATCH($B262,[1]SuSa_2024!$B:$B,0)),"0")</f>
        <v>0</v>
      </c>
      <c r="AR262" s="8">
        <f>IFERROR(INDEX([1]SuSa_2024!BV:BV,MATCH($B262,[1]SuSa_2024!$B:$B,0)),"0")</f>
        <v>0</v>
      </c>
      <c r="AS262" s="8">
        <f>IFERROR(INDEX([1]SuSa_2024!BW:BW,MATCH($B262,[1]SuSa_2024!$B:$B,0)),"0")</f>
        <v>0</v>
      </c>
      <c r="AT262" s="8">
        <f>IFERROR(INDEX([1]SuSa_2024!BX:BX,MATCH($B262,[1]SuSa_2024!$B:$B,0)),"0")</f>
        <v>0</v>
      </c>
      <c r="AU262" s="8">
        <f>IFERROR(INDEX([1]SuSa_2024!BY:BY,MATCH($B262,[1]SuSa_2024!$B:$B,0)),"0")</f>
        <v>0</v>
      </c>
      <c r="AV262" s="8" t="str">
        <f>IFERROR(INDEX([1]SuSa_2025!AR:AR,MATCH($B262,[1]SuSa_2025!$B:$B,0)),"0")</f>
        <v>0</v>
      </c>
      <c r="AW262" s="8" t="str">
        <f>IFERROR(INDEX([1]SuSa_2025!AS:AS,MATCH($B262,[1]SuSa_2025!$B:$B,0)),"0")</f>
        <v>0</v>
      </c>
      <c r="AX262" s="8" t="str">
        <f>IFERROR(INDEX([1]SuSa_2025!AT:AT,MATCH($B262,[1]SuSa_2025!$B:$B,0)),"0")</f>
        <v>0</v>
      </c>
      <c r="AY262" s="8" t="str">
        <f>IFERROR(INDEX([1]SuSa_2025!AU:AU,MATCH($B262,[1]SuSa_2025!$B:$B,0)),"0")</f>
        <v>0</v>
      </c>
      <c r="AZ262" s="8" t="str">
        <f>IFERROR(INDEX([1]SuSa_2025!AV:AV,MATCH($B262,[1]SuSa_2025!$B:$B,0)),"0")</f>
        <v>0</v>
      </c>
      <c r="BA262" s="8" t="str">
        <f>IFERROR(INDEX([1]SuSa_2025!AW:AW,MATCH($B262,[1]SuSa_2025!$B:$B,0)),"0")</f>
        <v>0</v>
      </c>
      <c r="BB262" s="8" t="str">
        <f>IFERROR(INDEX([1]SuSa_2025!AX:AX,MATCH($B262,[1]SuSa_2025!$B:$B,0)),"0")</f>
        <v>0</v>
      </c>
    </row>
    <row r="263" spans="1:54" outlineLevel="1" collapsed="1" x14ac:dyDescent="0.25">
      <c r="A263" s="5" t="s">
        <v>788</v>
      </c>
      <c r="B263" s="6" t="s">
        <v>789</v>
      </c>
      <c r="C263" t="s">
        <v>790</v>
      </c>
      <c r="F263" s="7">
        <f t="shared" si="25"/>
        <v>0</v>
      </c>
      <c r="G263" s="7">
        <f t="shared" si="26"/>
        <v>0</v>
      </c>
      <c r="H263" s="7" t="str">
        <f t="shared" si="27"/>
        <v>0</v>
      </c>
      <c r="I263" s="7">
        <f t="shared" si="23"/>
        <v>-74</v>
      </c>
      <c r="J263" s="8">
        <f t="shared" si="22"/>
        <v>-74</v>
      </c>
      <c r="K263" s="8" t="str">
        <f t="shared" si="24"/>
        <v>0</v>
      </c>
      <c r="AJ263" s="8" t="str">
        <f>IFERROR(INDEX([1]SuSa_2024!BN:BN,MATCH($B263,[1]SuSa_2024!$B:$B,0)),"0")</f>
        <v>0</v>
      </c>
      <c r="AK263" s="8" t="str">
        <f>IFERROR(INDEX([1]SuSa_2024!BO:BO,MATCH($B263,[1]SuSa_2024!$B:$B,0)),"0")</f>
        <v>0</v>
      </c>
      <c r="AL263" s="8" t="str">
        <f>IFERROR(INDEX([1]SuSa_2024!BP:BP,MATCH($B263,[1]SuSa_2024!$B:$B,0)),"0")</f>
        <v>0</v>
      </c>
      <c r="AM263" s="8" t="str">
        <f>IFERROR(INDEX([1]SuSa_2024!BQ:BQ,MATCH($B263,[1]SuSa_2024!$B:$B,0)),"0")</f>
        <v>0</v>
      </c>
      <c r="AN263" s="8" t="str">
        <f>IFERROR(INDEX([1]SuSa_2024!BR:BR,MATCH($B263,[1]SuSa_2024!$B:$B,0)),"0")</f>
        <v>0</v>
      </c>
      <c r="AO263" s="8" t="str">
        <f>IFERROR(INDEX([1]SuSa_2024!BS:BS,MATCH($B263,[1]SuSa_2024!$B:$B,0)),"0")</f>
        <v>0</v>
      </c>
      <c r="AP263" s="8" t="str">
        <f>IFERROR(INDEX([1]SuSa_2024!BT:BT,MATCH($B263,[1]SuSa_2024!$B:$B,0)),"0")</f>
        <v>0</v>
      </c>
      <c r="AQ263" s="8" t="str">
        <f>IFERROR(INDEX([1]SuSa_2024!BU:BU,MATCH($B263,[1]SuSa_2024!$B:$B,0)),"0")</f>
        <v>0</v>
      </c>
      <c r="AR263" s="8" t="str">
        <f>IFERROR(INDEX([1]SuSa_2024!BV:BV,MATCH($B263,[1]SuSa_2024!$B:$B,0)),"0")</f>
        <v>0</v>
      </c>
      <c r="AS263" s="8" t="str">
        <f>IFERROR(INDEX([1]SuSa_2024!BW:BW,MATCH($B263,[1]SuSa_2024!$B:$B,0)),"0")</f>
        <v>0</v>
      </c>
      <c r="AT263" s="8" t="str">
        <f>IFERROR(INDEX([1]SuSa_2024!BX:BX,MATCH($B263,[1]SuSa_2024!$B:$B,0)),"0")</f>
        <v>0</v>
      </c>
      <c r="AU263" s="8" t="str">
        <f>IFERROR(INDEX([1]SuSa_2024!BY:BY,MATCH($B263,[1]SuSa_2024!$B:$B,0)),"0")</f>
        <v>0</v>
      </c>
      <c r="AV263" s="8">
        <f>IFERROR(INDEX([1]SuSa_2025!AR:AR,MATCH($B263,[1]SuSa_2025!$B:$B,0)),"0")</f>
        <v>0</v>
      </c>
      <c r="AW263" s="8">
        <f>IFERROR(INDEX([1]SuSa_2025!AS:AS,MATCH($B263,[1]SuSa_2025!$B:$B,0)),"0")</f>
        <v>0</v>
      </c>
      <c r="AX263" s="8">
        <f>IFERROR(INDEX([1]SuSa_2025!AT:AT,MATCH($B263,[1]SuSa_2025!$B:$B,0)),"0")</f>
        <v>0</v>
      </c>
      <c r="AY263" s="8">
        <f>IFERROR(INDEX([1]SuSa_2025!AU:AU,MATCH($B263,[1]SuSa_2025!$B:$B,0)),"0")</f>
        <v>0</v>
      </c>
      <c r="AZ263" s="8">
        <f>IFERROR(INDEX([1]SuSa_2025!AV:AV,MATCH($B263,[1]SuSa_2025!$B:$B,0)),"0")</f>
        <v>-74</v>
      </c>
      <c r="BA263" s="8">
        <f>IFERROR(INDEX([1]SuSa_2025!AW:AW,MATCH($B263,[1]SuSa_2025!$B:$B,0)),"0")</f>
        <v>-74</v>
      </c>
      <c r="BB263" s="8">
        <f>IFERROR(INDEX([1]SuSa_2025!AX:AX,MATCH($B263,[1]SuSa_2025!$B:$B,0)),"0")</f>
        <v>-74</v>
      </c>
    </row>
    <row r="264" spans="1:54" outlineLevel="1" collapsed="1" x14ac:dyDescent="0.25">
      <c r="A264" s="5" t="s">
        <v>791</v>
      </c>
      <c r="B264" s="6" t="s">
        <v>792</v>
      </c>
      <c r="C264" t="s">
        <v>793</v>
      </c>
      <c r="E264" t="s">
        <v>794</v>
      </c>
      <c r="F264" s="7">
        <f t="shared" si="25"/>
        <v>83795.98</v>
      </c>
      <c r="G264" s="7">
        <f t="shared" si="26"/>
        <v>121578</v>
      </c>
      <c r="H264" s="7">
        <f t="shared" si="27"/>
        <v>0</v>
      </c>
      <c r="I264" s="7">
        <f t="shared" si="23"/>
        <v>0</v>
      </c>
      <c r="J264" s="8">
        <f t="shared" si="22"/>
        <v>0</v>
      </c>
      <c r="K264" s="8">
        <f t="shared" si="24"/>
        <v>0</v>
      </c>
      <c r="L264" s="8">
        <v>155342.88</v>
      </c>
      <c r="M264" s="8">
        <v>178796.88</v>
      </c>
      <c r="N264" s="8">
        <v>187810.88</v>
      </c>
      <c r="O264" s="8">
        <v>248461.13</v>
      </c>
      <c r="P264" s="8">
        <v>147978.76</v>
      </c>
      <c r="Q264" s="8">
        <v>205468.24</v>
      </c>
      <c r="R264" s="8">
        <v>149426.35999999999</v>
      </c>
      <c r="S264" s="8">
        <v>189393</v>
      </c>
      <c r="T264" s="8">
        <v>196429.66</v>
      </c>
      <c r="U264" s="8">
        <v>278358.40000000002</v>
      </c>
      <c r="V264" s="8">
        <v>277776.21000000002</v>
      </c>
      <c r="W264" s="8">
        <v>83795.98</v>
      </c>
      <c r="X264" s="8">
        <v>95585.52</v>
      </c>
      <c r="Y264" s="8">
        <v>206004.18</v>
      </c>
      <c r="Z264" s="8">
        <v>99198.47</v>
      </c>
      <c r="AA264" s="8">
        <v>121610.75</v>
      </c>
      <c r="AB264" s="8">
        <v>132840.65</v>
      </c>
      <c r="AC264" s="8">
        <v>215447</v>
      </c>
      <c r="AD264" s="8">
        <v>244594.99</v>
      </c>
      <c r="AE264" s="8">
        <v>253478.55</v>
      </c>
      <c r="AF264" s="8">
        <v>124945.55</v>
      </c>
      <c r="AG264" s="8">
        <v>186182.55</v>
      </c>
      <c r="AH264" s="8">
        <v>225189.8</v>
      </c>
      <c r="AI264" s="8">
        <v>121578</v>
      </c>
      <c r="AJ264" s="8">
        <f>IFERROR(INDEX([1]SuSa_2024!BN:BN,MATCH($B264,[1]SuSa_2024!$B:$B,0)),"0")</f>
        <v>29681</v>
      </c>
      <c r="AK264" s="8">
        <f>IFERROR(INDEX([1]SuSa_2024!BO:BO,MATCH($B264,[1]SuSa_2024!$B:$B,0)),"0")</f>
        <v>4223</v>
      </c>
      <c r="AL264" s="8">
        <f>IFERROR(INDEX([1]SuSa_2024!BP:BP,MATCH($B264,[1]SuSa_2024!$B:$B,0)),"0")</f>
        <v>0</v>
      </c>
      <c r="AM264" s="8">
        <f>IFERROR(INDEX([1]SuSa_2024!BQ:BQ,MATCH($B264,[1]SuSa_2024!$B:$B,0)),"0")</f>
        <v>0</v>
      </c>
      <c r="AN264" s="8">
        <f>IFERROR(INDEX([1]SuSa_2024!BR:BR,MATCH($B264,[1]SuSa_2024!$B:$B,0)),"0")</f>
        <v>0</v>
      </c>
      <c r="AO264" s="8">
        <f>IFERROR(INDEX([1]SuSa_2024!BS:BS,MATCH($B264,[1]SuSa_2024!$B:$B,0)),"0")</f>
        <v>0</v>
      </c>
      <c r="AP264" s="8">
        <f>IFERROR(INDEX([1]SuSa_2024!BT:BT,MATCH($B264,[1]SuSa_2024!$B:$B,0)),"0")</f>
        <v>0</v>
      </c>
      <c r="AQ264" s="8">
        <f>IFERROR(INDEX([1]SuSa_2024!BU:BU,MATCH($B264,[1]SuSa_2024!$B:$B,0)),"0")</f>
        <v>0</v>
      </c>
      <c r="AR264" s="8">
        <f>IFERROR(INDEX([1]SuSa_2024!BV:BV,MATCH($B264,[1]SuSa_2024!$B:$B,0)),"0")</f>
        <v>0</v>
      </c>
      <c r="AS264" s="8">
        <f>IFERROR(INDEX([1]SuSa_2024!BW:BW,MATCH($B264,[1]SuSa_2024!$B:$B,0)),"0")</f>
        <v>0</v>
      </c>
      <c r="AT264" s="8">
        <f>IFERROR(INDEX([1]SuSa_2024!BX:BX,MATCH($B264,[1]SuSa_2024!$B:$B,0)),"0")</f>
        <v>0</v>
      </c>
      <c r="AU264" s="8">
        <f>IFERROR(INDEX([1]SuSa_2024!BY:BY,MATCH($B264,[1]SuSa_2024!$B:$B,0)),"0")</f>
        <v>0</v>
      </c>
      <c r="AV264" s="8">
        <f>IFERROR(INDEX([1]SuSa_2025!AR:AR,MATCH($B264,[1]SuSa_2025!$B:$B,0)),"0")</f>
        <v>0</v>
      </c>
      <c r="AW264" s="8">
        <f>IFERROR(INDEX([1]SuSa_2025!AS:AS,MATCH($B264,[1]SuSa_2025!$B:$B,0)),"0")</f>
        <v>0</v>
      </c>
      <c r="AX264" s="8">
        <f>IFERROR(INDEX([1]SuSa_2025!AT:AT,MATCH($B264,[1]SuSa_2025!$B:$B,0)),"0")</f>
        <v>0</v>
      </c>
      <c r="AY264" s="8">
        <f>IFERROR(INDEX([1]SuSa_2025!AU:AU,MATCH($B264,[1]SuSa_2025!$B:$B,0)),"0")</f>
        <v>0</v>
      </c>
      <c r="AZ264" s="8">
        <f>IFERROR(INDEX([1]SuSa_2025!AV:AV,MATCH($B264,[1]SuSa_2025!$B:$B,0)),"0")</f>
        <v>0</v>
      </c>
      <c r="BA264" s="8">
        <f>IFERROR(INDEX([1]SuSa_2025!AW:AW,MATCH($B264,[1]SuSa_2025!$B:$B,0)),"0")</f>
        <v>0</v>
      </c>
      <c r="BB264" s="8">
        <f>IFERROR(INDEX([1]SuSa_2025!AX:AX,MATCH($B264,[1]SuSa_2025!$B:$B,0)),"0")</f>
        <v>0</v>
      </c>
    </row>
    <row r="265" spans="1:54" outlineLevel="1" collapsed="1" x14ac:dyDescent="0.25">
      <c r="A265" s="5" t="s">
        <v>791</v>
      </c>
      <c r="B265" s="6" t="s">
        <v>795</v>
      </c>
      <c r="C265" t="s">
        <v>796</v>
      </c>
      <c r="F265" s="7">
        <f t="shared" si="25"/>
        <v>0</v>
      </c>
      <c r="G265" s="7">
        <f t="shared" si="26"/>
        <v>0</v>
      </c>
      <c r="H265" s="7">
        <f t="shared" si="27"/>
        <v>0</v>
      </c>
      <c r="I265" s="7">
        <f t="shared" si="23"/>
        <v>0</v>
      </c>
      <c r="J265" s="8">
        <f t="shared" si="22"/>
        <v>0</v>
      </c>
      <c r="K265" s="8">
        <f t="shared" si="24"/>
        <v>0</v>
      </c>
      <c r="X265" s="8">
        <v>40217.64</v>
      </c>
      <c r="Y265" s="8">
        <v>159128.53</v>
      </c>
      <c r="Z265" s="8">
        <v>138752.92000000001</v>
      </c>
      <c r="AA265" s="8">
        <v>146037.85</v>
      </c>
      <c r="AB265" s="8">
        <v>135590.39999999999</v>
      </c>
      <c r="AC265" s="8">
        <v>145106.95000000001</v>
      </c>
      <c r="AD265" s="8">
        <v>175904.71</v>
      </c>
      <c r="AE265" s="8">
        <v>169058.86</v>
      </c>
      <c r="AF265" s="8">
        <v>170236.04</v>
      </c>
      <c r="AG265" s="8">
        <v>175343.12</v>
      </c>
      <c r="AH265" s="8">
        <v>166575.97</v>
      </c>
      <c r="AI265" s="8">
        <v>0</v>
      </c>
      <c r="AJ265" s="8">
        <f>IFERROR(INDEX([1]SuSa_2024!BN:BN,MATCH($B265,[1]SuSa_2024!$B:$B,0)),"0")</f>
        <v>0</v>
      </c>
      <c r="AK265" s="8">
        <f>IFERROR(INDEX([1]SuSa_2024!BO:BO,MATCH($B265,[1]SuSa_2024!$B:$B,0)),"0")</f>
        <v>0</v>
      </c>
      <c r="AL265" s="8">
        <f>IFERROR(INDEX([1]SuSa_2024!BP:BP,MATCH($B265,[1]SuSa_2024!$B:$B,0)),"0")</f>
        <v>0</v>
      </c>
      <c r="AM265" s="8">
        <f>IFERROR(INDEX([1]SuSa_2024!BQ:BQ,MATCH($B265,[1]SuSa_2024!$B:$B,0)),"0")</f>
        <v>0</v>
      </c>
      <c r="AN265" s="8">
        <f>IFERROR(INDEX([1]SuSa_2024!BR:BR,MATCH($B265,[1]SuSa_2024!$B:$B,0)),"0")</f>
        <v>0</v>
      </c>
      <c r="AO265" s="8">
        <f>IFERROR(INDEX([1]SuSa_2024!BS:BS,MATCH($B265,[1]SuSa_2024!$B:$B,0)),"0")</f>
        <v>0</v>
      </c>
      <c r="AP265" s="8">
        <f>IFERROR(INDEX([1]SuSa_2024!BT:BT,MATCH($B265,[1]SuSa_2024!$B:$B,0)),"0")</f>
        <v>0</v>
      </c>
      <c r="AQ265" s="8">
        <f>IFERROR(INDEX([1]SuSa_2024!BU:BU,MATCH($B265,[1]SuSa_2024!$B:$B,0)),"0")</f>
        <v>0</v>
      </c>
      <c r="AR265" s="8">
        <f>IFERROR(INDEX([1]SuSa_2024!BV:BV,MATCH($B265,[1]SuSa_2024!$B:$B,0)),"0")</f>
        <v>0</v>
      </c>
      <c r="AS265" s="8">
        <f>IFERROR(INDEX([1]SuSa_2024!BW:BW,MATCH($B265,[1]SuSa_2024!$B:$B,0)),"0")</f>
        <v>0</v>
      </c>
      <c r="AT265" s="8">
        <f>IFERROR(INDEX([1]SuSa_2024!BX:BX,MATCH($B265,[1]SuSa_2024!$B:$B,0)),"0")</f>
        <v>0</v>
      </c>
      <c r="AU265" s="8">
        <f>IFERROR(INDEX([1]SuSa_2024!BY:BY,MATCH($B265,[1]SuSa_2024!$B:$B,0)),"0")</f>
        <v>0</v>
      </c>
      <c r="AV265" s="8">
        <f>IFERROR(INDEX([1]SuSa_2025!AR:AR,MATCH($B265,[1]SuSa_2025!$B:$B,0)),"0")</f>
        <v>0</v>
      </c>
      <c r="AW265" s="8">
        <f>IFERROR(INDEX([1]SuSa_2025!AS:AS,MATCH($B265,[1]SuSa_2025!$B:$B,0)),"0")</f>
        <v>0</v>
      </c>
      <c r="AX265" s="8">
        <f>IFERROR(INDEX([1]SuSa_2025!AT:AT,MATCH($B265,[1]SuSa_2025!$B:$B,0)),"0")</f>
        <v>0</v>
      </c>
      <c r="AY265" s="8">
        <f>IFERROR(INDEX([1]SuSa_2025!AU:AU,MATCH($B265,[1]SuSa_2025!$B:$B,0)),"0")</f>
        <v>0</v>
      </c>
      <c r="AZ265" s="8">
        <f>IFERROR(INDEX([1]SuSa_2025!AV:AV,MATCH($B265,[1]SuSa_2025!$B:$B,0)),"0")</f>
        <v>0</v>
      </c>
      <c r="BA265" s="8">
        <f>IFERROR(INDEX([1]SuSa_2025!AW:AW,MATCH($B265,[1]SuSa_2025!$B:$B,0)),"0")</f>
        <v>0</v>
      </c>
      <c r="BB265" s="8">
        <f>IFERROR(INDEX([1]SuSa_2025!AX:AX,MATCH($B265,[1]SuSa_2025!$B:$B,0)),"0")</f>
        <v>0</v>
      </c>
    </row>
    <row r="266" spans="1:54" outlineLevel="1" collapsed="1" x14ac:dyDescent="0.25">
      <c r="A266" s="5" t="s">
        <v>797</v>
      </c>
      <c r="B266" s="6" t="s">
        <v>798</v>
      </c>
      <c r="C266" t="s">
        <v>799</v>
      </c>
      <c r="F266" s="7">
        <f t="shared" si="25"/>
        <v>0</v>
      </c>
      <c r="G266" s="7">
        <f t="shared" si="26"/>
        <v>8431.17</v>
      </c>
      <c r="H266" s="7">
        <f t="shared" si="27"/>
        <v>14112.390000000003</v>
      </c>
      <c r="I266" s="7">
        <f t="shared" si="23"/>
        <v>14112.39</v>
      </c>
      <c r="J266" s="8">
        <f t="shared" si="22"/>
        <v>14112.39</v>
      </c>
      <c r="K266" s="8">
        <f t="shared" si="24"/>
        <v>14112.390000000003</v>
      </c>
      <c r="AI266" s="8">
        <v>8431.17</v>
      </c>
      <c r="AJ266" s="8">
        <f>IFERROR(INDEX([1]SuSa_2024!BN:BN,MATCH($B266,[1]SuSa_2024!$B:$B,0)),"0")</f>
        <v>11889.630000000001</v>
      </c>
      <c r="AK266" s="8">
        <f>IFERROR(INDEX([1]SuSa_2024!BO:BO,MATCH($B266,[1]SuSa_2024!$B:$B,0)),"0")</f>
        <v>14601.420000000002</v>
      </c>
      <c r="AL266" s="8">
        <f>IFERROR(INDEX([1]SuSa_2024!BP:BP,MATCH($B266,[1]SuSa_2024!$B:$B,0)),"0")</f>
        <v>14476.120000000003</v>
      </c>
      <c r="AM266" s="8">
        <f>IFERROR(INDEX([1]SuSa_2024!BQ:BQ,MATCH($B266,[1]SuSa_2024!$B:$B,0)),"0")</f>
        <v>14370.320000000003</v>
      </c>
      <c r="AN266" s="8">
        <f>IFERROR(INDEX([1]SuSa_2024!BR:BR,MATCH($B266,[1]SuSa_2024!$B:$B,0)),"0")</f>
        <v>14112.390000000003</v>
      </c>
      <c r="AO266" s="8">
        <f>IFERROR(INDEX([1]SuSa_2024!BS:BS,MATCH($B266,[1]SuSa_2024!$B:$B,0)),"0")</f>
        <v>14112.390000000003</v>
      </c>
      <c r="AP266" s="8">
        <f>IFERROR(INDEX([1]SuSa_2024!BT:BT,MATCH($B266,[1]SuSa_2024!$B:$B,0)),"0")</f>
        <v>14112.390000000003</v>
      </c>
      <c r="AQ266" s="8">
        <f>IFERROR(INDEX([1]SuSa_2024!BU:BU,MATCH($B266,[1]SuSa_2024!$B:$B,0)),"0")</f>
        <v>14112.390000000003</v>
      </c>
      <c r="AR266" s="8">
        <f>IFERROR(INDEX([1]SuSa_2024!BV:BV,MATCH($B266,[1]SuSa_2024!$B:$B,0)),"0")</f>
        <v>14112.390000000003</v>
      </c>
      <c r="AS266" s="8">
        <f>IFERROR(INDEX([1]SuSa_2024!BW:BW,MATCH($B266,[1]SuSa_2024!$B:$B,0)),"0")</f>
        <v>14112.390000000003</v>
      </c>
      <c r="AT266" s="8">
        <f>IFERROR(INDEX([1]SuSa_2024!BX:BX,MATCH($B266,[1]SuSa_2024!$B:$B,0)),"0")</f>
        <v>14112.390000000003</v>
      </c>
      <c r="AU266" s="8">
        <f>IFERROR(INDEX([1]SuSa_2024!BY:BY,MATCH($B266,[1]SuSa_2024!$B:$B,0)),"0")</f>
        <v>14112.390000000003</v>
      </c>
      <c r="AV266" s="8">
        <f>IFERROR(INDEX([1]SuSa_2025!AR:AR,MATCH($B266,[1]SuSa_2025!$B:$B,0)),"0")</f>
        <v>14112.39</v>
      </c>
      <c r="AW266" s="8">
        <f>IFERROR(INDEX([1]SuSa_2025!AS:AS,MATCH($B266,[1]SuSa_2025!$B:$B,0)),"0")</f>
        <v>14112.39</v>
      </c>
      <c r="AX266" s="8">
        <f>IFERROR(INDEX([1]SuSa_2025!AT:AT,MATCH($B266,[1]SuSa_2025!$B:$B,0)),"0")</f>
        <v>14112.39</v>
      </c>
      <c r="AY266" s="8">
        <f>IFERROR(INDEX([1]SuSa_2025!AU:AU,MATCH($B266,[1]SuSa_2025!$B:$B,0)),"0")</f>
        <v>14112.39</v>
      </c>
      <c r="AZ266" s="8">
        <f>IFERROR(INDEX([1]SuSa_2025!AV:AV,MATCH($B266,[1]SuSa_2025!$B:$B,0)),"0")</f>
        <v>14112.39</v>
      </c>
      <c r="BA266" s="8">
        <f>IFERROR(INDEX([1]SuSa_2025!AW:AW,MATCH($B266,[1]SuSa_2025!$B:$B,0)),"0")</f>
        <v>14112.39</v>
      </c>
      <c r="BB266" s="8">
        <f>IFERROR(INDEX([1]SuSa_2025!AX:AX,MATCH($B266,[1]SuSa_2025!$B:$B,0)),"0")</f>
        <v>14112.39</v>
      </c>
    </row>
    <row r="267" spans="1:54" outlineLevel="1" collapsed="1" x14ac:dyDescent="0.25">
      <c r="A267" s="5" t="s">
        <v>800</v>
      </c>
      <c r="B267" s="6" t="s">
        <v>801</v>
      </c>
      <c r="C267" t="s">
        <v>802</v>
      </c>
      <c r="F267" s="7">
        <f t="shared" si="25"/>
        <v>0</v>
      </c>
      <c r="G267" s="7">
        <f t="shared" si="26"/>
        <v>25434.69</v>
      </c>
      <c r="H267" s="7">
        <f t="shared" si="27"/>
        <v>30197.309999999998</v>
      </c>
      <c r="I267" s="7">
        <f t="shared" si="23"/>
        <v>30197.31</v>
      </c>
      <c r="J267" s="8">
        <f t="shared" si="22"/>
        <v>30197.309999999998</v>
      </c>
      <c r="K267" s="8">
        <f t="shared" si="24"/>
        <v>30197.309999999998</v>
      </c>
      <c r="AI267" s="8">
        <v>25434.69</v>
      </c>
      <c r="AJ267" s="8">
        <f>IFERROR(INDEX([1]SuSa_2024!BN:BN,MATCH($B267,[1]SuSa_2024!$B:$B,0)),"0")</f>
        <v>30789.1</v>
      </c>
      <c r="AK267" s="8">
        <f>IFERROR(INDEX([1]SuSa_2024!BO:BO,MATCH($B267,[1]SuSa_2024!$B:$B,0)),"0")</f>
        <v>31093.059999999998</v>
      </c>
      <c r="AL267" s="8">
        <f>IFERROR(INDEX([1]SuSa_2024!BP:BP,MATCH($B267,[1]SuSa_2024!$B:$B,0)),"0")</f>
        <v>30731.409999999996</v>
      </c>
      <c r="AM267" s="8">
        <f>IFERROR(INDEX([1]SuSa_2024!BQ:BQ,MATCH($B267,[1]SuSa_2024!$B:$B,0)),"0")</f>
        <v>30503.659999999996</v>
      </c>
      <c r="AN267" s="8">
        <f>IFERROR(INDEX([1]SuSa_2024!BR:BR,MATCH($B267,[1]SuSa_2024!$B:$B,0)),"0")</f>
        <v>30197.309999999998</v>
      </c>
      <c r="AO267" s="8">
        <f>IFERROR(INDEX([1]SuSa_2024!BS:BS,MATCH($B267,[1]SuSa_2024!$B:$B,0)),"0")</f>
        <v>30197.309999999998</v>
      </c>
      <c r="AP267" s="8">
        <f>IFERROR(INDEX([1]SuSa_2024!BT:BT,MATCH($B267,[1]SuSa_2024!$B:$B,0)),"0")</f>
        <v>30197.309999999998</v>
      </c>
      <c r="AQ267" s="8">
        <f>IFERROR(INDEX([1]SuSa_2024!BU:BU,MATCH($B267,[1]SuSa_2024!$B:$B,0)),"0")</f>
        <v>30197.309999999998</v>
      </c>
      <c r="AR267" s="8">
        <f>IFERROR(INDEX([1]SuSa_2024!BV:BV,MATCH($B267,[1]SuSa_2024!$B:$B,0)),"0")</f>
        <v>30197.309999999998</v>
      </c>
      <c r="AS267" s="8">
        <f>IFERROR(INDEX([1]SuSa_2024!BW:BW,MATCH($B267,[1]SuSa_2024!$B:$B,0)),"0")</f>
        <v>30197.309999999998</v>
      </c>
      <c r="AT267" s="8">
        <f>IFERROR(INDEX([1]SuSa_2024!BX:BX,MATCH($B267,[1]SuSa_2024!$B:$B,0)),"0")</f>
        <v>30197.309999999998</v>
      </c>
      <c r="AU267" s="8">
        <f>IFERROR(INDEX([1]SuSa_2024!BY:BY,MATCH($B267,[1]SuSa_2024!$B:$B,0)),"0")</f>
        <v>30197.309999999998</v>
      </c>
      <c r="AV267" s="8">
        <f>IFERROR(INDEX([1]SuSa_2025!AR:AR,MATCH($B267,[1]SuSa_2025!$B:$B,0)),"0")</f>
        <v>30197.31</v>
      </c>
      <c r="AW267" s="8">
        <f>IFERROR(INDEX([1]SuSa_2025!AS:AS,MATCH($B267,[1]SuSa_2025!$B:$B,0)),"0")</f>
        <v>30197.31</v>
      </c>
      <c r="AX267" s="8">
        <f>IFERROR(INDEX([1]SuSa_2025!AT:AT,MATCH($B267,[1]SuSa_2025!$B:$B,0)),"0")</f>
        <v>30197.31</v>
      </c>
      <c r="AY267" s="8">
        <f>IFERROR(INDEX([1]SuSa_2025!AU:AU,MATCH($B267,[1]SuSa_2025!$B:$B,0)),"0")</f>
        <v>30197.31</v>
      </c>
      <c r="AZ267" s="8">
        <f>IFERROR(INDEX([1]SuSa_2025!AV:AV,MATCH($B267,[1]SuSa_2025!$B:$B,0)),"0")</f>
        <v>30197.31</v>
      </c>
      <c r="BA267" s="8">
        <f>IFERROR(INDEX([1]SuSa_2025!AW:AW,MATCH($B267,[1]SuSa_2025!$B:$B,0)),"0")</f>
        <v>30197.31</v>
      </c>
      <c r="BB267" s="8">
        <f>IFERROR(INDEX([1]SuSa_2025!AX:AX,MATCH($B267,[1]SuSa_2025!$B:$B,0)),"0")</f>
        <v>30197.31</v>
      </c>
    </row>
    <row r="268" spans="1:54" outlineLevel="1" collapsed="1" x14ac:dyDescent="0.25">
      <c r="A268" s="5" t="s">
        <v>803</v>
      </c>
      <c r="B268" s="6" t="s">
        <v>804</v>
      </c>
      <c r="C268" t="s">
        <v>805</v>
      </c>
      <c r="F268" s="7">
        <f t="shared" si="25"/>
        <v>0</v>
      </c>
      <c r="G268" s="7">
        <f t="shared" si="26"/>
        <v>485.1</v>
      </c>
      <c r="H268" s="7">
        <f t="shared" si="27"/>
        <v>420.42</v>
      </c>
      <c r="I268" s="7">
        <f t="shared" si="23"/>
        <v>420.42</v>
      </c>
      <c r="J268" s="8">
        <f t="shared" si="22"/>
        <v>420.42</v>
      </c>
      <c r="K268" s="8">
        <f t="shared" si="24"/>
        <v>420.42</v>
      </c>
      <c r="AI268" s="8">
        <v>485.1</v>
      </c>
      <c r="AJ268" s="8">
        <f>IFERROR(INDEX([1]SuSa_2024!BN:BN,MATCH($B268,[1]SuSa_2024!$B:$B,0)),"0")</f>
        <v>-501.27</v>
      </c>
      <c r="AK268" s="8">
        <f>IFERROR(INDEX([1]SuSa_2024!BO:BO,MATCH($B268,[1]SuSa_2024!$B:$B,0)),"0")</f>
        <v>436.59000000000003</v>
      </c>
      <c r="AL268" s="8">
        <f>IFERROR(INDEX([1]SuSa_2024!BP:BP,MATCH($B268,[1]SuSa_2024!$B:$B,0)),"0")</f>
        <v>420.42</v>
      </c>
      <c r="AM268" s="8">
        <f>IFERROR(INDEX([1]SuSa_2024!BQ:BQ,MATCH($B268,[1]SuSa_2024!$B:$B,0)),"0")</f>
        <v>420.42</v>
      </c>
      <c r="AN268" s="8">
        <f>IFERROR(INDEX([1]SuSa_2024!BR:BR,MATCH($B268,[1]SuSa_2024!$B:$B,0)),"0")</f>
        <v>420.42</v>
      </c>
      <c r="AO268" s="8">
        <f>IFERROR(INDEX([1]SuSa_2024!BS:BS,MATCH($B268,[1]SuSa_2024!$B:$B,0)),"0")</f>
        <v>420.42</v>
      </c>
      <c r="AP268" s="8">
        <f>IFERROR(INDEX([1]SuSa_2024!BT:BT,MATCH($B268,[1]SuSa_2024!$B:$B,0)),"0")</f>
        <v>420.42</v>
      </c>
      <c r="AQ268" s="8">
        <f>IFERROR(INDEX([1]SuSa_2024!BU:BU,MATCH($B268,[1]SuSa_2024!$B:$B,0)),"0")</f>
        <v>420.42</v>
      </c>
      <c r="AR268" s="8">
        <f>IFERROR(INDEX([1]SuSa_2024!BV:BV,MATCH($B268,[1]SuSa_2024!$B:$B,0)),"0")</f>
        <v>420.42</v>
      </c>
      <c r="AS268" s="8">
        <f>IFERROR(INDEX([1]SuSa_2024!BW:BW,MATCH($B268,[1]SuSa_2024!$B:$B,0)),"0")</f>
        <v>420.42</v>
      </c>
      <c r="AT268" s="8">
        <f>IFERROR(INDEX([1]SuSa_2024!BX:BX,MATCH($B268,[1]SuSa_2024!$B:$B,0)),"0")</f>
        <v>420.42</v>
      </c>
      <c r="AU268" s="8">
        <f>IFERROR(INDEX([1]SuSa_2024!BY:BY,MATCH($B268,[1]SuSa_2024!$B:$B,0)),"0")</f>
        <v>420.42</v>
      </c>
      <c r="AV268" s="8">
        <f>IFERROR(INDEX([1]SuSa_2025!AR:AR,MATCH($B268,[1]SuSa_2025!$B:$B,0)),"0")</f>
        <v>420.42</v>
      </c>
      <c r="AW268" s="8">
        <f>IFERROR(INDEX([1]SuSa_2025!AS:AS,MATCH($B268,[1]SuSa_2025!$B:$B,0)),"0")</f>
        <v>420.42</v>
      </c>
      <c r="AX268" s="8">
        <f>IFERROR(INDEX([1]SuSa_2025!AT:AT,MATCH($B268,[1]SuSa_2025!$B:$B,0)),"0")</f>
        <v>420.42</v>
      </c>
      <c r="AY268" s="8">
        <f>IFERROR(INDEX([1]SuSa_2025!AU:AU,MATCH($B268,[1]SuSa_2025!$B:$B,0)),"0")</f>
        <v>420.42</v>
      </c>
      <c r="AZ268" s="8">
        <f>IFERROR(INDEX([1]SuSa_2025!AV:AV,MATCH($B268,[1]SuSa_2025!$B:$B,0)),"0")</f>
        <v>420.42</v>
      </c>
      <c r="BA268" s="8">
        <f>IFERROR(INDEX([1]SuSa_2025!AW:AW,MATCH($B268,[1]SuSa_2025!$B:$B,0)),"0")</f>
        <v>420.42</v>
      </c>
      <c r="BB268" s="8">
        <f>IFERROR(INDEX([1]SuSa_2025!AX:AX,MATCH($B268,[1]SuSa_2025!$B:$B,0)),"0")</f>
        <v>420.42</v>
      </c>
    </row>
    <row r="269" spans="1:54" outlineLevel="1" collapsed="1" x14ac:dyDescent="0.25">
      <c r="A269" s="5" t="s">
        <v>806</v>
      </c>
      <c r="B269" s="6" t="s">
        <v>807</v>
      </c>
      <c r="C269" t="s">
        <v>808</v>
      </c>
      <c r="E269" t="str">
        <f>INDEX([1]Umsatzzuordn.!$J:$J,MATCH(B269,[1]Umsatzzuordn.!$C:$C,0))</f>
        <v>/profit and loss/income/sales/other</v>
      </c>
      <c r="F269" s="7">
        <f t="shared" si="25"/>
        <v>-10000</v>
      </c>
      <c r="G269" s="7">
        <f t="shared" si="26"/>
        <v>-20000</v>
      </c>
      <c r="H269" s="7">
        <f t="shared" si="27"/>
        <v>-2772</v>
      </c>
      <c r="I269" s="7">
        <f t="shared" si="23"/>
        <v>0</v>
      </c>
      <c r="J269" s="8">
        <f t="shared" si="22"/>
        <v>-2772</v>
      </c>
      <c r="K269" s="8">
        <f t="shared" si="24"/>
        <v>0</v>
      </c>
      <c r="W269" s="8">
        <v>-10000</v>
      </c>
      <c r="AH269" s="8">
        <v>-20000</v>
      </c>
      <c r="AI269" s="8">
        <v>-20000</v>
      </c>
      <c r="AJ269" s="8">
        <f>IFERROR(INDEX([1]SuSa_2024!BN:BN,MATCH($B269,[1]SuSa_2024!$B:$B,0)),"0")</f>
        <v>0</v>
      </c>
      <c r="AK269" s="8">
        <f>IFERROR(INDEX([1]SuSa_2024!BO:BO,MATCH($B269,[1]SuSa_2024!$B:$B,0)),"0")</f>
        <v>0</v>
      </c>
      <c r="AL269" s="8">
        <f>IFERROR(INDEX([1]SuSa_2024!BP:BP,MATCH($B269,[1]SuSa_2024!$B:$B,0)),"0")</f>
        <v>0</v>
      </c>
      <c r="AM269" s="8">
        <f>IFERROR(INDEX([1]SuSa_2024!BQ:BQ,MATCH($B269,[1]SuSa_2024!$B:$B,0)),"0")</f>
        <v>0</v>
      </c>
      <c r="AN269" s="8">
        <f>IFERROR(INDEX([1]SuSa_2024!BR:BR,MATCH($B269,[1]SuSa_2024!$B:$B,0)),"0")</f>
        <v>0</v>
      </c>
      <c r="AO269" s="8">
        <f>IFERROR(INDEX([1]SuSa_2024!BS:BS,MATCH($B269,[1]SuSa_2024!$B:$B,0)),"0")</f>
        <v>0</v>
      </c>
      <c r="AP269" s="8">
        <f>IFERROR(INDEX([1]SuSa_2024!BT:BT,MATCH($B269,[1]SuSa_2024!$B:$B,0)),"0")</f>
        <v>0</v>
      </c>
      <c r="AQ269" s="8">
        <f>IFERROR(INDEX([1]SuSa_2024!BU:BU,MATCH($B269,[1]SuSa_2024!$B:$B,0)),"0")</f>
        <v>0</v>
      </c>
      <c r="AR269" s="8">
        <f>IFERROR(INDEX([1]SuSa_2024!BV:BV,MATCH($B269,[1]SuSa_2024!$B:$B,0)),"0")</f>
        <v>0</v>
      </c>
      <c r="AS269" s="8">
        <f>IFERROR(INDEX([1]SuSa_2024!BW:BW,MATCH($B269,[1]SuSa_2024!$B:$B,0)),"0")</f>
        <v>0</v>
      </c>
      <c r="AT269" s="8">
        <f>IFERROR(INDEX([1]SuSa_2024!BX:BX,MATCH($B269,[1]SuSa_2024!$B:$B,0)),"0")</f>
        <v>0</v>
      </c>
      <c r="AU269" s="8">
        <f>IFERROR(INDEX([1]SuSa_2024!BY:BY,MATCH($B269,[1]SuSa_2024!$B:$B,0)),"0")</f>
        <v>-2772</v>
      </c>
      <c r="AV269" s="8">
        <f>IFERROR(INDEX([1]SuSa_2025!AR:AR,MATCH($B269,[1]SuSa_2025!$B:$B,0)),"0")</f>
        <v>0</v>
      </c>
      <c r="AW269" s="8">
        <f>IFERROR(INDEX([1]SuSa_2025!AS:AS,MATCH($B269,[1]SuSa_2025!$B:$B,0)),"0")</f>
        <v>0</v>
      </c>
      <c r="AX269" s="8">
        <f>IFERROR(INDEX([1]SuSa_2025!AT:AT,MATCH($B269,[1]SuSa_2025!$B:$B,0)),"0")</f>
        <v>0</v>
      </c>
      <c r="AY269" s="8">
        <f>IFERROR(INDEX([1]SuSa_2025!AU:AU,MATCH($B269,[1]SuSa_2025!$B:$B,0)),"0")</f>
        <v>0</v>
      </c>
      <c r="AZ269" s="8">
        <f>IFERROR(INDEX([1]SuSa_2025!AV:AV,MATCH($B269,[1]SuSa_2025!$B:$B,0)),"0")</f>
        <v>0</v>
      </c>
      <c r="BA269" s="8">
        <f>IFERROR(INDEX([1]SuSa_2025!AW:AW,MATCH($B269,[1]SuSa_2025!$B:$B,0)),"0")</f>
        <v>0</v>
      </c>
      <c r="BB269" s="8">
        <f>IFERROR(INDEX([1]SuSa_2025!AX:AX,MATCH($B269,[1]SuSa_2025!$B:$B,0)),"0")</f>
        <v>0</v>
      </c>
    </row>
    <row r="270" spans="1:54" outlineLevel="1" collapsed="1" x14ac:dyDescent="0.25">
      <c r="A270" s="5" t="s">
        <v>809</v>
      </c>
      <c r="B270" s="6" t="s">
        <v>810</v>
      </c>
      <c r="C270" t="s">
        <v>811</v>
      </c>
      <c r="E270" t="str">
        <f>INDEX([1]Umsatzzuordn.!$J:$J,MATCH(B270,[1]Umsatzzuordn.!$C:$C,0))</f>
        <v>/profit and loss/income/sales/other</v>
      </c>
      <c r="F270" s="7">
        <f t="shared" si="25"/>
        <v>-29.16</v>
      </c>
      <c r="G270" s="7">
        <f t="shared" si="26"/>
        <v>0</v>
      </c>
      <c r="H270" s="7" t="str">
        <f t="shared" si="27"/>
        <v>0</v>
      </c>
      <c r="I270" s="7" t="str">
        <f t="shared" si="23"/>
        <v>0</v>
      </c>
      <c r="J270" s="8">
        <f t="shared" si="22"/>
        <v>0</v>
      </c>
      <c r="K270" s="8" t="str">
        <f t="shared" si="24"/>
        <v>0</v>
      </c>
      <c r="M270" s="8">
        <v>-29.16</v>
      </c>
      <c r="N270" s="8">
        <v>-29.16</v>
      </c>
      <c r="O270" s="8">
        <v>-29.16</v>
      </c>
      <c r="P270" s="8">
        <v>-29.16</v>
      </c>
      <c r="Q270" s="8">
        <v>-29.16</v>
      </c>
      <c r="R270" s="8">
        <v>-29.16</v>
      </c>
      <c r="S270" s="8">
        <v>-29.16</v>
      </c>
      <c r="T270" s="8">
        <v>-29.16</v>
      </c>
      <c r="U270" s="8">
        <v>-29.16</v>
      </c>
      <c r="V270" s="8">
        <v>-29.16</v>
      </c>
      <c r="W270" s="8">
        <v>-29.16</v>
      </c>
      <c r="AJ270" s="8" t="str">
        <f>IFERROR(INDEX([1]SuSa_2024!BN:BN,MATCH($B270,[1]SuSa_2024!$B:$B,0)),"0")</f>
        <v>0</v>
      </c>
      <c r="AK270" s="8" t="str">
        <f>IFERROR(INDEX([1]SuSa_2024!BO:BO,MATCH($B270,[1]SuSa_2024!$B:$B,0)),"0")</f>
        <v>0</v>
      </c>
      <c r="AL270" s="8" t="str">
        <f>IFERROR(INDEX([1]SuSa_2024!BP:BP,MATCH($B270,[1]SuSa_2024!$B:$B,0)),"0")</f>
        <v>0</v>
      </c>
      <c r="AM270" s="8" t="str">
        <f>IFERROR(INDEX([1]SuSa_2024!BQ:BQ,MATCH($B270,[1]SuSa_2024!$B:$B,0)),"0")</f>
        <v>0</v>
      </c>
      <c r="AN270" s="8" t="str">
        <f>IFERROR(INDEX([1]SuSa_2024!BR:BR,MATCH($B270,[1]SuSa_2024!$B:$B,0)),"0")</f>
        <v>0</v>
      </c>
      <c r="AO270" s="8" t="str">
        <f>IFERROR(INDEX([1]SuSa_2024!BS:BS,MATCH($B270,[1]SuSa_2024!$B:$B,0)),"0")</f>
        <v>0</v>
      </c>
      <c r="AP270" s="8" t="str">
        <f>IFERROR(INDEX([1]SuSa_2024!BT:BT,MATCH($B270,[1]SuSa_2024!$B:$B,0)),"0")</f>
        <v>0</v>
      </c>
      <c r="AQ270" s="8" t="str">
        <f>IFERROR(INDEX([1]SuSa_2024!BU:BU,MATCH($B270,[1]SuSa_2024!$B:$B,0)),"0")</f>
        <v>0</v>
      </c>
      <c r="AR270" s="8" t="str">
        <f>IFERROR(INDEX([1]SuSa_2024!BV:BV,MATCH($B270,[1]SuSa_2024!$B:$B,0)),"0")</f>
        <v>0</v>
      </c>
      <c r="AS270" s="8" t="str">
        <f>IFERROR(INDEX([1]SuSa_2024!BW:BW,MATCH($B270,[1]SuSa_2024!$B:$B,0)),"0")</f>
        <v>0</v>
      </c>
      <c r="AT270" s="8" t="str">
        <f>IFERROR(INDEX([1]SuSa_2024!BX:BX,MATCH($B270,[1]SuSa_2024!$B:$B,0)),"0")</f>
        <v>0</v>
      </c>
      <c r="AU270" s="8" t="str">
        <f>IFERROR(INDEX([1]SuSa_2024!BY:BY,MATCH($B270,[1]SuSa_2024!$B:$B,0)),"0")</f>
        <v>0</v>
      </c>
      <c r="AV270" s="8" t="str">
        <f>IFERROR(INDEX([1]SuSa_2025!AR:AR,MATCH($B270,[1]SuSa_2025!$B:$B,0)),"0")</f>
        <v>0</v>
      </c>
      <c r="AW270" s="8" t="str">
        <f>IFERROR(INDEX([1]SuSa_2025!AS:AS,MATCH($B270,[1]SuSa_2025!$B:$B,0)),"0")</f>
        <v>0</v>
      </c>
      <c r="AX270" s="8" t="str">
        <f>IFERROR(INDEX([1]SuSa_2025!AT:AT,MATCH($B270,[1]SuSa_2025!$B:$B,0)),"0")</f>
        <v>0</v>
      </c>
      <c r="AY270" s="8" t="str">
        <f>IFERROR(INDEX([1]SuSa_2025!AU:AU,MATCH($B270,[1]SuSa_2025!$B:$B,0)),"0")</f>
        <v>0</v>
      </c>
      <c r="AZ270" s="8" t="str">
        <f>IFERROR(INDEX([1]SuSa_2025!AV:AV,MATCH($B270,[1]SuSa_2025!$B:$B,0)),"0")</f>
        <v>0</v>
      </c>
      <c r="BA270" s="8" t="str">
        <f>IFERROR(INDEX([1]SuSa_2025!AW:AW,MATCH($B270,[1]SuSa_2025!$B:$B,0)),"0")</f>
        <v>0</v>
      </c>
      <c r="BB270" s="8" t="str">
        <f>IFERROR(INDEX([1]SuSa_2025!AX:AX,MATCH($B270,[1]SuSa_2025!$B:$B,0)),"0")</f>
        <v>0</v>
      </c>
    </row>
    <row r="271" spans="1:54" outlineLevel="1" collapsed="1" x14ac:dyDescent="0.25">
      <c r="A271" s="5" t="s">
        <v>812</v>
      </c>
      <c r="B271" s="6" t="s">
        <v>813</v>
      </c>
      <c r="C271" t="s">
        <v>814</v>
      </c>
      <c r="E271" t="str">
        <f>INDEX([1]Umsatzzuordn.!$J:$J,MATCH(B271,[1]Umsatzzuordn.!$C:$C,0))</f>
        <v>/profit and loss/income/sales/B2C</v>
      </c>
      <c r="F271" s="7">
        <f t="shared" si="25"/>
        <v>0</v>
      </c>
      <c r="G271" s="7">
        <f t="shared" si="26"/>
        <v>-45196.93</v>
      </c>
      <c r="H271" s="7">
        <f t="shared" si="27"/>
        <v>-7555.23</v>
      </c>
      <c r="I271" s="7">
        <f t="shared" si="23"/>
        <v>-453.36</v>
      </c>
      <c r="J271" s="8">
        <f t="shared" si="22"/>
        <v>-3273.7999999999993</v>
      </c>
      <c r="K271" s="8">
        <f t="shared" si="24"/>
        <v>-4734.79</v>
      </c>
      <c r="AF271" s="8">
        <v>-25716.06</v>
      </c>
      <c r="AG271" s="8">
        <v>-31225.47</v>
      </c>
      <c r="AH271" s="8">
        <v>-39537.94</v>
      </c>
      <c r="AI271" s="8">
        <v>-45196.93</v>
      </c>
      <c r="AJ271" s="8">
        <f>IFERROR(INDEX([1]SuSa_2024!BN:BN,MATCH($B271,[1]SuSa_2024!$B:$B,0)),"0")</f>
        <v>-1309.03</v>
      </c>
      <c r="AK271" s="8">
        <f>IFERROR(INDEX([1]SuSa_2024!BO:BO,MATCH($B271,[1]SuSa_2024!$B:$B,0)),"0")</f>
        <v>-2081.75</v>
      </c>
      <c r="AL271" s="8">
        <f>IFERROR(INDEX([1]SuSa_2024!BP:BP,MATCH($B271,[1]SuSa_2024!$B:$B,0)),"0")</f>
        <v>-2709.44</v>
      </c>
      <c r="AM271" s="8">
        <f>IFERROR(INDEX([1]SuSa_2024!BQ:BQ,MATCH($B271,[1]SuSa_2024!$B:$B,0)),"0")</f>
        <v>-3229.54</v>
      </c>
      <c r="AN271" s="8">
        <f>IFERROR(INDEX([1]SuSa_2024!BR:BR,MATCH($B271,[1]SuSa_2024!$B:$B,0)),"0")</f>
        <v>-4087.0699999999997</v>
      </c>
      <c r="AO271" s="8">
        <f>IFERROR(INDEX([1]SuSa_2024!BS:BS,MATCH($B271,[1]SuSa_2024!$B:$B,0)),"0")</f>
        <v>-4588</v>
      </c>
      <c r="AP271" s="8">
        <f>IFERROR(INDEX([1]SuSa_2024!BT:BT,MATCH($B271,[1]SuSa_2024!$B:$B,0)),"0")</f>
        <v>-4734.79</v>
      </c>
      <c r="AQ271" s="8">
        <f>IFERROR(INDEX([1]SuSa_2024!BU:BU,MATCH($B271,[1]SuSa_2024!$B:$B,0)),"0")</f>
        <v>-5422.53</v>
      </c>
      <c r="AR271" s="8">
        <f>IFERROR(INDEX([1]SuSa_2024!BV:BV,MATCH($B271,[1]SuSa_2024!$B:$B,0)),"0")</f>
        <v>-5601.17</v>
      </c>
      <c r="AS271" s="8">
        <f>IFERROR(INDEX([1]SuSa_2024!BW:BW,MATCH($B271,[1]SuSa_2024!$B:$B,0)),"0")</f>
        <v>-5958.4</v>
      </c>
      <c r="AT271" s="8">
        <f>IFERROR(INDEX([1]SuSa_2024!BX:BX,MATCH($B271,[1]SuSa_2024!$B:$B,0)),"0")</f>
        <v>-6976.8899999999994</v>
      </c>
      <c r="AU271" s="8">
        <f>IFERROR(INDEX([1]SuSa_2024!BY:BY,MATCH($B271,[1]SuSa_2024!$B:$B,0)),"0")</f>
        <v>-7555.23</v>
      </c>
      <c r="AV271" s="8">
        <f>IFERROR(INDEX([1]SuSa_2025!AR:AR,MATCH($B271,[1]SuSa_2025!$B:$B,0)),"0")</f>
        <v>-453.36</v>
      </c>
      <c r="AW271" s="8">
        <f>IFERROR(INDEX([1]SuSa_2025!AS:AS,MATCH($B271,[1]SuSa_2025!$B:$B,0)),"0")</f>
        <v>-453.36</v>
      </c>
      <c r="AX271" s="8">
        <f>IFERROR(INDEX([1]SuSa_2025!AT:AT,MATCH($B271,[1]SuSa_2025!$B:$B,0)),"0")</f>
        <v>-453.36</v>
      </c>
      <c r="AY271" s="8">
        <f>IFERROR(INDEX([1]SuSa_2025!AU:AU,MATCH($B271,[1]SuSa_2025!$B:$B,0)),"0")</f>
        <v>-453.36</v>
      </c>
      <c r="AZ271" s="8">
        <f>IFERROR(INDEX([1]SuSa_2025!AV:AV,MATCH($B271,[1]SuSa_2025!$B:$B,0)),"0")</f>
        <v>-453.36</v>
      </c>
      <c r="BA271" s="8">
        <f>IFERROR(INDEX([1]SuSa_2025!AW:AW,MATCH($B271,[1]SuSa_2025!$B:$B,0)),"0")</f>
        <v>-453.36</v>
      </c>
      <c r="BB271" s="8">
        <f>IFERROR(INDEX([1]SuSa_2025!AX:AX,MATCH($B271,[1]SuSa_2025!$B:$B,0)),"0")</f>
        <v>-453.36</v>
      </c>
    </row>
    <row r="272" spans="1:54" outlineLevel="1" collapsed="1" x14ac:dyDescent="0.25">
      <c r="A272" s="5" t="s">
        <v>815</v>
      </c>
      <c r="B272" s="6" t="s">
        <v>816</v>
      </c>
      <c r="C272" t="s">
        <v>817</v>
      </c>
      <c r="E272" t="str">
        <f>INDEX([1]Umsatzzuordn.!$J:$J,MATCH(B272,[1]Umsatzzuordn.!$C:$C,0))</f>
        <v>/profit and loss/income/sales/B2B</v>
      </c>
      <c r="F272" s="7">
        <f t="shared" si="25"/>
        <v>0</v>
      </c>
      <c r="G272" s="7">
        <f t="shared" si="26"/>
        <v>-866</v>
      </c>
      <c r="H272" s="7">
        <f t="shared" si="27"/>
        <v>0</v>
      </c>
      <c r="I272" s="7" t="str">
        <f t="shared" si="23"/>
        <v>0</v>
      </c>
      <c r="J272" s="8">
        <f t="shared" si="22"/>
        <v>0</v>
      </c>
      <c r="K272" s="8">
        <f t="shared" si="24"/>
        <v>0</v>
      </c>
      <c r="AF272" s="8">
        <v>-866</v>
      </c>
      <c r="AG272" s="8">
        <v>-866</v>
      </c>
      <c r="AH272" s="8">
        <v>-866</v>
      </c>
      <c r="AI272" s="8">
        <v>-866</v>
      </c>
      <c r="AJ272" s="8">
        <f>IFERROR(INDEX([1]SuSa_2024!BN:BN,MATCH($B272,[1]SuSa_2024!$B:$B,0)),"0")</f>
        <v>0</v>
      </c>
      <c r="AK272" s="8">
        <f>IFERROR(INDEX([1]SuSa_2024!BO:BO,MATCH($B272,[1]SuSa_2024!$B:$B,0)),"0")</f>
        <v>0</v>
      </c>
      <c r="AL272" s="8">
        <f>IFERROR(INDEX([1]SuSa_2024!BP:BP,MATCH($B272,[1]SuSa_2024!$B:$B,0)),"0")</f>
        <v>0</v>
      </c>
      <c r="AM272" s="8">
        <f>IFERROR(INDEX([1]SuSa_2024!BQ:BQ,MATCH($B272,[1]SuSa_2024!$B:$B,0)),"0")</f>
        <v>0</v>
      </c>
      <c r="AN272" s="8">
        <f>IFERROR(INDEX([1]SuSa_2024!BR:BR,MATCH($B272,[1]SuSa_2024!$B:$B,0)),"0")</f>
        <v>0</v>
      </c>
      <c r="AO272" s="8">
        <f>IFERROR(INDEX([1]SuSa_2024!BS:BS,MATCH($B272,[1]SuSa_2024!$B:$B,0)),"0")</f>
        <v>0</v>
      </c>
      <c r="AP272" s="8">
        <f>IFERROR(INDEX([1]SuSa_2024!BT:BT,MATCH($B272,[1]SuSa_2024!$B:$B,0)),"0")</f>
        <v>0</v>
      </c>
      <c r="AQ272" s="8">
        <f>IFERROR(INDEX([1]SuSa_2024!BU:BU,MATCH($B272,[1]SuSa_2024!$B:$B,0)),"0")</f>
        <v>0</v>
      </c>
      <c r="AR272" s="8">
        <f>IFERROR(INDEX([1]SuSa_2024!BV:BV,MATCH($B272,[1]SuSa_2024!$B:$B,0)),"0")</f>
        <v>0</v>
      </c>
      <c r="AS272" s="8">
        <f>IFERROR(INDEX([1]SuSa_2024!BW:BW,MATCH($B272,[1]SuSa_2024!$B:$B,0)),"0")</f>
        <v>0</v>
      </c>
      <c r="AT272" s="8">
        <f>IFERROR(INDEX([1]SuSa_2024!BX:BX,MATCH($B272,[1]SuSa_2024!$B:$B,0)),"0")</f>
        <v>0</v>
      </c>
      <c r="AU272" s="8">
        <f>IFERROR(INDEX([1]SuSa_2024!BY:BY,MATCH($B272,[1]SuSa_2024!$B:$B,0)),"0")</f>
        <v>0</v>
      </c>
      <c r="AV272" s="8" t="str">
        <f>IFERROR(INDEX([1]SuSa_2025!AR:AR,MATCH($B272,[1]SuSa_2025!$B:$B,0)),"0")</f>
        <v>0</v>
      </c>
      <c r="AW272" s="8" t="str">
        <f>IFERROR(INDEX([1]SuSa_2025!AS:AS,MATCH($B272,[1]SuSa_2025!$B:$B,0)),"0")</f>
        <v>0</v>
      </c>
      <c r="AX272" s="8" t="str">
        <f>IFERROR(INDEX([1]SuSa_2025!AT:AT,MATCH($B272,[1]SuSa_2025!$B:$B,0)),"0")</f>
        <v>0</v>
      </c>
      <c r="AY272" s="8" t="str">
        <f>IFERROR(INDEX([1]SuSa_2025!AU:AU,MATCH($B272,[1]SuSa_2025!$B:$B,0)),"0")</f>
        <v>0</v>
      </c>
      <c r="AZ272" s="8" t="str">
        <f>IFERROR(INDEX([1]SuSa_2025!AV:AV,MATCH($B272,[1]SuSa_2025!$B:$B,0)),"0")</f>
        <v>0</v>
      </c>
      <c r="BA272" s="8" t="str">
        <f>IFERROR(INDEX([1]SuSa_2025!AW:AW,MATCH($B272,[1]SuSa_2025!$B:$B,0)),"0")</f>
        <v>0</v>
      </c>
      <c r="BB272" s="8" t="str">
        <f>IFERROR(INDEX([1]SuSa_2025!AX:AX,MATCH($B272,[1]SuSa_2025!$B:$B,0)),"0")</f>
        <v>0</v>
      </c>
    </row>
    <row r="273" spans="1:54" outlineLevel="1" collapsed="1" x14ac:dyDescent="0.25">
      <c r="A273" s="5" t="s">
        <v>818</v>
      </c>
      <c r="B273" s="6" t="s">
        <v>819</v>
      </c>
      <c r="C273" t="s">
        <v>820</v>
      </c>
      <c r="E273" t="str">
        <f>INDEX([1]Umsatzzuordn.!$J:$J,MATCH(B273,[1]Umsatzzuordn.!$C:$C,0))</f>
        <v>/profit and loss/income/sales/B2B</v>
      </c>
      <c r="F273" s="7">
        <f t="shared" si="25"/>
        <v>-13684.84</v>
      </c>
      <c r="G273" s="7">
        <f t="shared" si="26"/>
        <v>-1070.9000000000001</v>
      </c>
      <c r="H273" s="7">
        <f t="shared" si="27"/>
        <v>-399.4</v>
      </c>
      <c r="I273" s="7">
        <f t="shared" si="23"/>
        <v>0</v>
      </c>
      <c r="J273" s="8">
        <f t="shared" si="22"/>
        <v>0</v>
      </c>
      <c r="K273" s="8">
        <f t="shared" si="24"/>
        <v>-399.4</v>
      </c>
      <c r="L273" s="8">
        <v>-2721.81</v>
      </c>
      <c r="M273" s="8">
        <v>-4247.9799999999996</v>
      </c>
      <c r="N273" s="8">
        <v>-5920.23</v>
      </c>
      <c r="O273" s="8">
        <v>-6555.05</v>
      </c>
      <c r="P273" s="8">
        <v>-6660.51</v>
      </c>
      <c r="Q273" s="8">
        <v>-8014.03</v>
      </c>
      <c r="R273" s="8">
        <v>-9508.64</v>
      </c>
      <c r="S273" s="8">
        <v>-10701.98</v>
      </c>
      <c r="T273" s="8">
        <v>-11656.82</v>
      </c>
      <c r="U273" s="8">
        <v>-12798.65</v>
      </c>
      <c r="V273" s="8">
        <v>-13535.93</v>
      </c>
      <c r="W273" s="8">
        <v>-13684.84</v>
      </c>
      <c r="X273" s="8">
        <v>-74.83</v>
      </c>
      <c r="Y273" s="8">
        <v>-294.2</v>
      </c>
      <c r="Z273" s="8">
        <v>-320.77999999999997</v>
      </c>
      <c r="AA273" s="8">
        <v>-573.08000000000004</v>
      </c>
      <c r="AB273" s="8">
        <v>-787.13</v>
      </c>
      <c r="AC273" s="8">
        <v>-1070.9000000000001</v>
      </c>
      <c r="AD273" s="8">
        <v>-1070.9000000000001</v>
      </c>
      <c r="AE273" s="8">
        <v>-1070.9000000000001</v>
      </c>
      <c r="AF273" s="8">
        <v>-1070.9000000000001</v>
      </c>
      <c r="AG273" s="8">
        <v>-4065.9</v>
      </c>
      <c r="AH273" s="8">
        <v>-4065.9</v>
      </c>
      <c r="AI273" s="8">
        <v>-1070.9000000000001</v>
      </c>
      <c r="AJ273" s="8">
        <f>IFERROR(INDEX([1]SuSa_2024!BN:BN,MATCH($B273,[1]SuSa_2024!$B:$B,0)),"0")</f>
        <v>0</v>
      </c>
      <c r="AK273" s="8">
        <f>IFERROR(INDEX([1]SuSa_2024!BO:BO,MATCH($B273,[1]SuSa_2024!$B:$B,0)),"0")</f>
        <v>0</v>
      </c>
      <c r="AL273" s="8">
        <f>IFERROR(INDEX([1]SuSa_2024!BP:BP,MATCH($B273,[1]SuSa_2024!$B:$B,0)),"0")</f>
        <v>0</v>
      </c>
      <c r="AM273" s="8">
        <f>IFERROR(INDEX([1]SuSa_2024!BQ:BQ,MATCH($B273,[1]SuSa_2024!$B:$B,0)),"0")</f>
        <v>0</v>
      </c>
      <c r="AN273" s="8">
        <f>IFERROR(INDEX([1]SuSa_2024!BR:BR,MATCH($B273,[1]SuSa_2024!$B:$B,0)),"0")</f>
        <v>-100.62</v>
      </c>
      <c r="AO273" s="8">
        <f>IFERROR(INDEX([1]SuSa_2024!BS:BS,MATCH($B273,[1]SuSa_2024!$B:$B,0)),"0")</f>
        <v>-399.4</v>
      </c>
      <c r="AP273" s="8">
        <f>IFERROR(INDEX([1]SuSa_2024!BT:BT,MATCH($B273,[1]SuSa_2024!$B:$B,0)),"0")</f>
        <v>-399.4</v>
      </c>
      <c r="AQ273" s="8">
        <f>IFERROR(INDEX([1]SuSa_2024!BU:BU,MATCH($B273,[1]SuSa_2024!$B:$B,0)),"0")</f>
        <v>-399.4</v>
      </c>
      <c r="AR273" s="8">
        <f>IFERROR(INDEX([1]SuSa_2024!BV:BV,MATCH($B273,[1]SuSa_2024!$B:$B,0)),"0")</f>
        <v>-399.4</v>
      </c>
      <c r="AS273" s="8">
        <f>IFERROR(INDEX([1]SuSa_2024!BW:BW,MATCH($B273,[1]SuSa_2024!$B:$B,0)),"0")</f>
        <v>-399.4</v>
      </c>
      <c r="AT273" s="8">
        <f>IFERROR(INDEX([1]SuSa_2024!BX:BX,MATCH($B273,[1]SuSa_2024!$B:$B,0)),"0")</f>
        <v>-399.4</v>
      </c>
      <c r="AU273" s="8">
        <f>IFERROR(INDEX([1]SuSa_2024!BY:BY,MATCH($B273,[1]SuSa_2024!$B:$B,0)),"0")</f>
        <v>-399.4</v>
      </c>
      <c r="AV273" s="8">
        <f>IFERROR(INDEX([1]SuSa_2025!AR:AR,MATCH($B273,[1]SuSa_2025!$B:$B,0)),"0")</f>
        <v>0</v>
      </c>
      <c r="AW273" s="8">
        <f>IFERROR(INDEX([1]SuSa_2025!AS:AS,MATCH($B273,[1]SuSa_2025!$B:$B,0)),"0")</f>
        <v>0</v>
      </c>
      <c r="AX273" s="8">
        <f>IFERROR(INDEX([1]SuSa_2025!AT:AT,MATCH($B273,[1]SuSa_2025!$B:$B,0)),"0")</f>
        <v>0</v>
      </c>
      <c r="AY273" s="8">
        <f>IFERROR(INDEX([1]SuSa_2025!AU:AU,MATCH($B273,[1]SuSa_2025!$B:$B,0)),"0")</f>
        <v>0</v>
      </c>
      <c r="AZ273" s="8">
        <f>IFERROR(INDEX([1]SuSa_2025!AV:AV,MATCH($B273,[1]SuSa_2025!$B:$B,0)),"0")</f>
        <v>0</v>
      </c>
      <c r="BA273" s="8">
        <f>IFERROR(INDEX([1]SuSa_2025!AW:AW,MATCH($B273,[1]SuSa_2025!$B:$B,0)),"0")</f>
        <v>0</v>
      </c>
      <c r="BB273" s="8">
        <f>IFERROR(INDEX([1]SuSa_2025!AX:AX,MATCH($B273,[1]SuSa_2025!$B:$B,0)),"0")</f>
        <v>0</v>
      </c>
    </row>
    <row r="274" spans="1:54" outlineLevel="1" collapsed="1" x14ac:dyDescent="0.25">
      <c r="A274" s="5" t="s">
        <v>818</v>
      </c>
      <c r="B274" s="6" t="s">
        <v>821</v>
      </c>
      <c r="C274" t="s">
        <v>822</v>
      </c>
      <c r="E274" t="str">
        <f>INDEX([1]Umsatzzuordn.!$J:$J,MATCH(B274,[1]Umsatzzuordn.!$C:$C,0))</f>
        <v>/profit and loss/income/sales/B2B</v>
      </c>
      <c r="F274" s="7">
        <f t="shared" si="25"/>
        <v>-226000</v>
      </c>
      <c r="G274" s="7">
        <f t="shared" si="26"/>
        <v>-226000</v>
      </c>
      <c r="H274" s="7">
        <f t="shared" si="27"/>
        <v>-46500</v>
      </c>
      <c r="I274" s="7">
        <f t="shared" si="23"/>
        <v>-15636</v>
      </c>
      <c r="J274" s="8">
        <f t="shared" si="22"/>
        <v>-5636</v>
      </c>
      <c r="K274" s="8">
        <f t="shared" si="24"/>
        <v>-56500</v>
      </c>
      <c r="P274" s="8">
        <v>-113000</v>
      </c>
      <c r="Q274" s="8">
        <v>-113000</v>
      </c>
      <c r="R274" s="8">
        <v>-226000</v>
      </c>
      <c r="S274" s="8">
        <v>-226000</v>
      </c>
      <c r="T274" s="8">
        <v>-226000</v>
      </c>
      <c r="U274" s="8">
        <v>-226000</v>
      </c>
      <c r="V274" s="8">
        <v>-226000</v>
      </c>
      <c r="W274" s="8">
        <v>-226000</v>
      </c>
      <c r="X274" s="8">
        <v>-113000</v>
      </c>
      <c r="Y274" s="8">
        <v>-113000</v>
      </c>
      <c r="Z274" s="8">
        <v>-216000</v>
      </c>
      <c r="AA274" s="8">
        <v>-216000</v>
      </c>
      <c r="AB274" s="8">
        <v>-216000</v>
      </c>
      <c r="AC274" s="8">
        <v>-216000</v>
      </c>
      <c r="AD274" s="8">
        <v>-216000</v>
      </c>
      <c r="AE274" s="8">
        <v>-226000</v>
      </c>
      <c r="AF274" s="8">
        <v>-226000</v>
      </c>
      <c r="AG274" s="8">
        <v>-226000</v>
      </c>
      <c r="AH274" s="8">
        <v>-226000</v>
      </c>
      <c r="AI274" s="8">
        <v>-226000</v>
      </c>
      <c r="AJ274" s="8">
        <f>IFERROR(INDEX([1]SuSa_2024!BN:BN,MATCH($B274,[1]SuSa_2024!$B:$B,0)),"0")</f>
        <v>-56500</v>
      </c>
      <c r="AK274" s="8">
        <f>IFERROR(INDEX([1]SuSa_2024!BO:BO,MATCH($B274,[1]SuSa_2024!$B:$B,0)),"0")</f>
        <v>-56500</v>
      </c>
      <c r="AL274" s="8">
        <f>IFERROR(INDEX([1]SuSa_2024!BP:BP,MATCH($B274,[1]SuSa_2024!$B:$B,0)),"0")</f>
        <v>-56500</v>
      </c>
      <c r="AM274" s="8">
        <f>IFERROR(INDEX([1]SuSa_2024!BQ:BQ,MATCH($B274,[1]SuSa_2024!$B:$B,0)),"0")</f>
        <v>-56500</v>
      </c>
      <c r="AN274" s="8">
        <f>IFERROR(INDEX([1]SuSa_2024!BR:BR,MATCH($B274,[1]SuSa_2024!$B:$B,0)),"0")</f>
        <v>-56500</v>
      </c>
      <c r="AO274" s="8">
        <f>IFERROR(INDEX([1]SuSa_2024!BS:BS,MATCH($B274,[1]SuSa_2024!$B:$B,0)),"0")</f>
        <v>-56500</v>
      </c>
      <c r="AP274" s="8">
        <f>IFERROR(INDEX([1]SuSa_2024!BT:BT,MATCH($B274,[1]SuSa_2024!$B:$B,0)),"0")</f>
        <v>-56500</v>
      </c>
      <c r="AQ274" s="8">
        <f>IFERROR(INDEX([1]SuSa_2024!BU:BU,MATCH($B274,[1]SuSa_2024!$B:$B,0)),"0")</f>
        <v>-56500</v>
      </c>
      <c r="AR274" s="8">
        <f>IFERROR(INDEX([1]SuSa_2024!BV:BV,MATCH($B274,[1]SuSa_2024!$B:$B,0)),"0")</f>
        <v>-56500</v>
      </c>
      <c r="AS274" s="8">
        <f>IFERROR(INDEX([1]SuSa_2024!BW:BW,MATCH($B274,[1]SuSa_2024!$B:$B,0)),"0")</f>
        <v>-56500</v>
      </c>
      <c r="AT274" s="8">
        <f>IFERROR(INDEX([1]SuSa_2024!BX:BX,MATCH($B274,[1]SuSa_2024!$B:$B,0)),"0")</f>
        <v>-56500</v>
      </c>
      <c r="AU274" s="8">
        <f>IFERROR(INDEX([1]SuSa_2024!BY:BY,MATCH($B274,[1]SuSa_2024!$B:$B,0)),"0")</f>
        <v>-46500</v>
      </c>
      <c r="AV274" s="8">
        <f>IFERROR(INDEX([1]SuSa_2025!AR:AR,MATCH($B274,[1]SuSa_2025!$B:$B,0)),"0")</f>
        <v>0</v>
      </c>
      <c r="AW274" s="8">
        <f>IFERROR(INDEX([1]SuSa_2025!AS:AS,MATCH($B274,[1]SuSa_2025!$B:$B,0)),"0")</f>
        <v>0</v>
      </c>
      <c r="AX274" s="8">
        <f>IFERROR(INDEX([1]SuSa_2025!AT:AT,MATCH($B274,[1]SuSa_2025!$B:$B,0)),"0")</f>
        <v>-15636</v>
      </c>
      <c r="AY274" s="8">
        <f>IFERROR(INDEX([1]SuSa_2025!AU:AU,MATCH($B274,[1]SuSa_2025!$B:$B,0)),"0")</f>
        <v>-15636</v>
      </c>
      <c r="AZ274" s="8">
        <f>IFERROR(INDEX([1]SuSa_2025!AV:AV,MATCH($B274,[1]SuSa_2025!$B:$B,0)),"0")</f>
        <v>-15636</v>
      </c>
      <c r="BA274" s="8">
        <f>IFERROR(INDEX([1]SuSa_2025!AW:AW,MATCH($B274,[1]SuSa_2025!$B:$B,0)),"0")</f>
        <v>-15636</v>
      </c>
      <c r="BB274" s="8">
        <f>IFERROR(INDEX([1]SuSa_2025!AX:AX,MATCH($B274,[1]SuSa_2025!$B:$B,0)),"0")</f>
        <v>-15636</v>
      </c>
    </row>
    <row r="275" spans="1:54" outlineLevel="1" collapsed="1" x14ac:dyDescent="0.25">
      <c r="A275" s="5" t="s">
        <v>818</v>
      </c>
      <c r="B275" s="6" t="s">
        <v>823</v>
      </c>
      <c r="C275" t="s">
        <v>824</v>
      </c>
      <c r="E275" t="str">
        <f>INDEX([1]Umsatzzuordn.!$J:$J,MATCH(B275,[1]Umsatzzuordn.!$C:$C,0))</f>
        <v>/profit and loss/income/sales/B2B</v>
      </c>
      <c r="F275" s="7">
        <f t="shared" si="25"/>
        <v>-24000</v>
      </c>
      <c r="G275" s="7">
        <f t="shared" si="26"/>
        <v>-37000</v>
      </c>
      <c r="H275" s="7">
        <f t="shared" si="27"/>
        <v>-41500</v>
      </c>
      <c r="I275" s="7">
        <f t="shared" si="23"/>
        <v>0</v>
      </c>
      <c r="J275" s="8">
        <f t="shared" si="22"/>
        <v>15000</v>
      </c>
      <c r="K275" s="8">
        <f t="shared" si="24"/>
        <v>-56500</v>
      </c>
      <c r="P275" s="8">
        <v>-12000</v>
      </c>
      <c r="Q275" s="8">
        <v>-12000</v>
      </c>
      <c r="R275" s="8">
        <v>-24000</v>
      </c>
      <c r="S275" s="8">
        <v>-24000</v>
      </c>
      <c r="T275" s="8">
        <v>-24000</v>
      </c>
      <c r="U275" s="8">
        <v>-24000</v>
      </c>
      <c r="V275" s="8">
        <v>-24000</v>
      </c>
      <c r="W275" s="8">
        <v>-24000</v>
      </c>
      <c r="X275" s="8">
        <v>-12000</v>
      </c>
      <c r="Y275" s="8">
        <v>-12000</v>
      </c>
      <c r="Z275" s="8">
        <v>-22000</v>
      </c>
      <c r="AA275" s="8">
        <v>-22000</v>
      </c>
      <c r="AB275" s="8">
        <v>-22000</v>
      </c>
      <c r="AC275" s="8">
        <v>-22000</v>
      </c>
      <c r="AD275" s="8">
        <v>-22000</v>
      </c>
      <c r="AE275" s="8">
        <v>-37000</v>
      </c>
      <c r="AF275" s="8">
        <v>-37000</v>
      </c>
      <c r="AG275" s="8">
        <v>-37000</v>
      </c>
      <c r="AH275" s="8">
        <v>-37000</v>
      </c>
      <c r="AI275" s="8">
        <v>-37000</v>
      </c>
      <c r="AJ275" s="8">
        <f>IFERROR(INDEX([1]SuSa_2024!BN:BN,MATCH($B275,[1]SuSa_2024!$B:$B,0)),"0")</f>
        <v>-56500</v>
      </c>
      <c r="AK275" s="8">
        <f>IFERROR(INDEX([1]SuSa_2024!BO:BO,MATCH($B275,[1]SuSa_2024!$B:$B,0)),"0")</f>
        <v>-56500</v>
      </c>
      <c r="AL275" s="8">
        <f>IFERROR(INDEX([1]SuSa_2024!BP:BP,MATCH($B275,[1]SuSa_2024!$B:$B,0)),"0")</f>
        <v>-56500</v>
      </c>
      <c r="AM275" s="8">
        <f>IFERROR(INDEX([1]SuSa_2024!BQ:BQ,MATCH($B275,[1]SuSa_2024!$B:$B,0)),"0")</f>
        <v>-56500</v>
      </c>
      <c r="AN275" s="8">
        <f>IFERROR(INDEX([1]SuSa_2024!BR:BR,MATCH($B275,[1]SuSa_2024!$B:$B,0)),"0")</f>
        <v>-56500</v>
      </c>
      <c r="AO275" s="8">
        <f>IFERROR(INDEX([1]SuSa_2024!BS:BS,MATCH($B275,[1]SuSa_2024!$B:$B,0)),"0")</f>
        <v>-56500</v>
      </c>
      <c r="AP275" s="8">
        <f>IFERROR(INDEX([1]SuSa_2024!BT:BT,MATCH($B275,[1]SuSa_2024!$B:$B,0)),"0")</f>
        <v>-56500</v>
      </c>
      <c r="AQ275" s="8">
        <f>IFERROR(INDEX([1]SuSa_2024!BU:BU,MATCH($B275,[1]SuSa_2024!$B:$B,0)),"0")</f>
        <v>-56500</v>
      </c>
      <c r="AR275" s="8">
        <f>IFERROR(INDEX([1]SuSa_2024!BV:BV,MATCH($B275,[1]SuSa_2024!$B:$B,0)),"0")</f>
        <v>-56500</v>
      </c>
      <c r="AS275" s="8">
        <f>IFERROR(INDEX([1]SuSa_2024!BW:BW,MATCH($B275,[1]SuSa_2024!$B:$B,0)),"0")</f>
        <v>-56500</v>
      </c>
      <c r="AT275" s="8">
        <f>IFERROR(INDEX([1]SuSa_2024!BX:BX,MATCH($B275,[1]SuSa_2024!$B:$B,0)),"0")</f>
        <v>-56500</v>
      </c>
      <c r="AU275" s="8">
        <f>IFERROR(INDEX([1]SuSa_2024!BY:BY,MATCH($B275,[1]SuSa_2024!$B:$B,0)),"0")</f>
        <v>-41500</v>
      </c>
      <c r="AV275" s="8">
        <f>IFERROR(INDEX([1]SuSa_2025!AR:AR,MATCH($B275,[1]SuSa_2025!$B:$B,0)),"0")</f>
        <v>0</v>
      </c>
      <c r="AW275" s="8">
        <f>IFERROR(INDEX([1]SuSa_2025!AS:AS,MATCH($B275,[1]SuSa_2025!$B:$B,0)),"0")</f>
        <v>0</v>
      </c>
      <c r="AX275" s="8">
        <f>IFERROR(INDEX([1]SuSa_2025!AT:AT,MATCH($B275,[1]SuSa_2025!$B:$B,0)),"0")</f>
        <v>0</v>
      </c>
      <c r="AY275" s="8">
        <f>IFERROR(INDEX([1]SuSa_2025!AU:AU,MATCH($B275,[1]SuSa_2025!$B:$B,0)),"0")</f>
        <v>0</v>
      </c>
      <c r="AZ275" s="8">
        <f>IFERROR(INDEX([1]SuSa_2025!AV:AV,MATCH($B275,[1]SuSa_2025!$B:$B,0)),"0")</f>
        <v>0</v>
      </c>
      <c r="BA275" s="8">
        <f>IFERROR(INDEX([1]SuSa_2025!AW:AW,MATCH($B275,[1]SuSa_2025!$B:$B,0)),"0")</f>
        <v>0</v>
      </c>
      <c r="BB275" s="8">
        <f>IFERROR(INDEX([1]SuSa_2025!AX:AX,MATCH($B275,[1]SuSa_2025!$B:$B,0)),"0")</f>
        <v>0</v>
      </c>
    </row>
    <row r="276" spans="1:54" outlineLevel="1" collapsed="1" x14ac:dyDescent="0.25">
      <c r="A276" s="5" t="s">
        <v>818</v>
      </c>
      <c r="B276" s="6" t="s">
        <v>825</v>
      </c>
      <c r="C276" t="s">
        <v>826</v>
      </c>
      <c r="E276" t="str">
        <f>INDEX([1]Umsatzzuordn.!$J:$J,MATCH(B276,[1]Umsatzzuordn.!$C:$C,0))</f>
        <v>/profit and loss/income/sales/other</v>
      </c>
      <c r="F276" s="7">
        <f t="shared" si="25"/>
        <v>0</v>
      </c>
      <c r="G276" s="7">
        <f t="shared" si="26"/>
        <v>-7583.56</v>
      </c>
      <c r="H276" s="7">
        <f t="shared" si="27"/>
        <v>0</v>
      </c>
      <c r="I276" s="7">
        <f t="shared" si="23"/>
        <v>-8000</v>
      </c>
      <c r="J276" s="8">
        <f t="shared" si="22"/>
        <v>-8000</v>
      </c>
      <c r="K276" s="8">
        <f t="shared" si="24"/>
        <v>0</v>
      </c>
      <c r="AD276" s="8">
        <v>-7583.56</v>
      </c>
      <c r="AE276" s="8">
        <v>-7583.56</v>
      </c>
      <c r="AF276" s="8">
        <v>-7583.56</v>
      </c>
      <c r="AG276" s="8">
        <v>-7583.56</v>
      </c>
      <c r="AH276" s="8">
        <v>-7583.56</v>
      </c>
      <c r="AI276" s="8">
        <v>-7583.56</v>
      </c>
      <c r="AJ276" s="8">
        <f>IFERROR(INDEX([1]SuSa_2024!BN:BN,MATCH($B276,[1]SuSa_2024!$B:$B,0)),"0")</f>
        <v>0</v>
      </c>
      <c r="AK276" s="8">
        <f>IFERROR(INDEX([1]SuSa_2024!BO:BO,MATCH($B276,[1]SuSa_2024!$B:$B,0)),"0")</f>
        <v>0</v>
      </c>
      <c r="AL276" s="8">
        <f>IFERROR(INDEX([1]SuSa_2024!BP:BP,MATCH($B276,[1]SuSa_2024!$B:$B,0)),"0")</f>
        <v>0</v>
      </c>
      <c r="AM276" s="8">
        <f>IFERROR(INDEX([1]SuSa_2024!BQ:BQ,MATCH($B276,[1]SuSa_2024!$B:$B,0)),"0")</f>
        <v>0</v>
      </c>
      <c r="AN276" s="8">
        <f>IFERROR(INDEX([1]SuSa_2024!BR:BR,MATCH($B276,[1]SuSa_2024!$B:$B,0)),"0")</f>
        <v>0</v>
      </c>
      <c r="AO276" s="8">
        <f>IFERROR(INDEX([1]SuSa_2024!BS:BS,MATCH($B276,[1]SuSa_2024!$B:$B,0)),"0")</f>
        <v>0</v>
      </c>
      <c r="AP276" s="8">
        <f>IFERROR(INDEX([1]SuSa_2024!BT:BT,MATCH($B276,[1]SuSa_2024!$B:$B,0)),"0")</f>
        <v>0</v>
      </c>
      <c r="AQ276" s="8">
        <f>IFERROR(INDEX([1]SuSa_2024!BU:BU,MATCH($B276,[1]SuSa_2024!$B:$B,0)),"0")</f>
        <v>0</v>
      </c>
      <c r="AR276" s="8">
        <f>IFERROR(INDEX([1]SuSa_2024!BV:BV,MATCH($B276,[1]SuSa_2024!$B:$B,0)),"0")</f>
        <v>0</v>
      </c>
      <c r="AS276" s="8">
        <f>IFERROR(INDEX([1]SuSa_2024!BW:BW,MATCH($B276,[1]SuSa_2024!$B:$B,0)),"0")</f>
        <v>0</v>
      </c>
      <c r="AT276" s="8">
        <f>IFERROR(INDEX([1]SuSa_2024!BX:BX,MATCH($B276,[1]SuSa_2024!$B:$B,0)),"0")</f>
        <v>0</v>
      </c>
      <c r="AU276" s="8">
        <f>IFERROR(INDEX([1]SuSa_2024!BY:BY,MATCH($B276,[1]SuSa_2024!$B:$B,0)),"0")</f>
        <v>0</v>
      </c>
      <c r="AV276" s="8">
        <f>IFERROR(INDEX([1]SuSa_2025!AR:AR,MATCH($B276,[1]SuSa_2025!$B:$B,0)),"0")</f>
        <v>0</v>
      </c>
      <c r="AW276" s="8">
        <f>IFERROR(INDEX([1]SuSa_2025!AS:AS,MATCH($B276,[1]SuSa_2025!$B:$B,0)),"0")</f>
        <v>0</v>
      </c>
      <c r="AX276" s="8">
        <f>IFERROR(INDEX([1]SuSa_2025!AT:AT,MATCH($B276,[1]SuSa_2025!$B:$B,0)),"0")</f>
        <v>-8000</v>
      </c>
      <c r="AY276" s="8">
        <f>IFERROR(INDEX([1]SuSa_2025!AU:AU,MATCH($B276,[1]SuSa_2025!$B:$B,0)),"0")</f>
        <v>-8000</v>
      </c>
      <c r="AZ276" s="8">
        <f>IFERROR(INDEX([1]SuSa_2025!AV:AV,MATCH($B276,[1]SuSa_2025!$B:$B,0)),"0")</f>
        <v>-8000</v>
      </c>
      <c r="BA276" s="8">
        <f>IFERROR(INDEX([1]SuSa_2025!AW:AW,MATCH($B276,[1]SuSa_2025!$B:$B,0)),"0")</f>
        <v>-8000</v>
      </c>
      <c r="BB276" s="8">
        <f>IFERROR(INDEX([1]SuSa_2025!AX:AX,MATCH($B276,[1]SuSa_2025!$B:$B,0)),"0")</f>
        <v>-8000</v>
      </c>
    </row>
    <row r="277" spans="1:54" outlineLevel="1" collapsed="1" x14ac:dyDescent="0.25">
      <c r="A277" s="5" t="s">
        <v>827</v>
      </c>
      <c r="B277" s="6" t="s">
        <v>828</v>
      </c>
      <c r="C277" t="s">
        <v>829</v>
      </c>
      <c r="E277" t="str">
        <f>INDEX([1]Umsatzzuordn.!$J:$J,MATCH(B277,[1]Umsatzzuordn.!$C:$C,0))</f>
        <v>/profit and loss/income/sales/B2C</v>
      </c>
      <c r="F277" s="7">
        <f t="shared" si="25"/>
        <v>-17455.62</v>
      </c>
      <c r="G277" s="7">
        <f t="shared" si="26"/>
        <v>-8392.48</v>
      </c>
      <c r="H277" s="7">
        <f t="shared" si="27"/>
        <v>-42685.929999999993</v>
      </c>
      <c r="I277" s="7">
        <f t="shared" si="23"/>
        <v>-43045.02</v>
      </c>
      <c r="J277" s="8">
        <f t="shared" si="22"/>
        <v>-57225.819999999978</v>
      </c>
      <c r="K277" s="8">
        <f t="shared" si="24"/>
        <v>-28505.13</v>
      </c>
      <c r="L277" s="8">
        <v>-1401.71</v>
      </c>
      <c r="M277" s="8">
        <v>-1792.03</v>
      </c>
      <c r="N277" s="8">
        <v>-4860.47</v>
      </c>
      <c r="O277" s="8">
        <v>-5982.85</v>
      </c>
      <c r="P277" s="8">
        <v>-7335.51</v>
      </c>
      <c r="Q277" s="8">
        <v>-8232.7900000000009</v>
      </c>
      <c r="R277" s="8">
        <v>-9676.16</v>
      </c>
      <c r="S277" s="8">
        <v>-9912.69</v>
      </c>
      <c r="T277" s="8">
        <v>-13070.18</v>
      </c>
      <c r="U277" s="8">
        <v>-14367.79</v>
      </c>
      <c r="V277" s="8">
        <v>-16138.62</v>
      </c>
      <c r="W277" s="8">
        <v>-17455.62</v>
      </c>
      <c r="X277" s="8">
        <v>-1790.52</v>
      </c>
      <c r="Y277" s="8">
        <v>-2236.23</v>
      </c>
      <c r="Z277" s="8">
        <v>-4516.28</v>
      </c>
      <c r="AA277" s="8">
        <v>-6028.83</v>
      </c>
      <c r="AB277" s="8">
        <v>-7108.3</v>
      </c>
      <c r="AC277" s="8">
        <v>-8392.48</v>
      </c>
      <c r="AD277" s="8">
        <v>-8392.48</v>
      </c>
      <c r="AE277" s="8">
        <v>-8392.48</v>
      </c>
      <c r="AF277" s="8">
        <v>-8392.48</v>
      </c>
      <c r="AG277" s="8">
        <v>-8392.48</v>
      </c>
      <c r="AH277" s="8">
        <v>-8392.48</v>
      </c>
      <c r="AI277" s="8">
        <v>-8392.48</v>
      </c>
      <c r="AJ277" s="8">
        <f>IFERROR(INDEX([1]SuSa_2024!BN:BN,MATCH($B277,[1]SuSa_2024!$B:$B,0)),"0")</f>
        <v>-2674.25</v>
      </c>
      <c r="AK277" s="8">
        <f>IFERROR(INDEX([1]SuSa_2024!BO:BO,MATCH($B277,[1]SuSa_2024!$B:$B,0)),"0")</f>
        <v>-10096.779999999999</v>
      </c>
      <c r="AL277" s="8">
        <f>IFERROR(INDEX([1]SuSa_2024!BP:BP,MATCH($B277,[1]SuSa_2024!$B:$B,0)),"0")</f>
        <v>-12322.589999999998</v>
      </c>
      <c r="AM277" s="8">
        <f>IFERROR(INDEX([1]SuSa_2024!BQ:BQ,MATCH($B277,[1]SuSa_2024!$B:$B,0)),"0")</f>
        <v>-14539.509999999998</v>
      </c>
      <c r="AN277" s="8">
        <f>IFERROR(INDEX([1]SuSa_2024!BR:BR,MATCH($B277,[1]SuSa_2024!$B:$B,0)),"0")</f>
        <v>-24637.279999999999</v>
      </c>
      <c r="AO277" s="8">
        <f>IFERROR(INDEX([1]SuSa_2024!BS:BS,MATCH($B277,[1]SuSa_2024!$B:$B,0)),"0")</f>
        <v>-25389.57</v>
      </c>
      <c r="AP277" s="8">
        <f>IFERROR(INDEX([1]SuSa_2024!BT:BT,MATCH($B277,[1]SuSa_2024!$B:$B,0)),"0")</f>
        <v>-28505.13</v>
      </c>
      <c r="AQ277" s="8">
        <f>IFERROR(INDEX([1]SuSa_2024!BU:BU,MATCH($B277,[1]SuSa_2024!$B:$B,0)),"0")</f>
        <v>-32595.16</v>
      </c>
      <c r="AR277" s="8">
        <f>IFERROR(INDEX([1]SuSa_2024!BV:BV,MATCH($B277,[1]SuSa_2024!$B:$B,0)),"0")</f>
        <v>-35733.29</v>
      </c>
      <c r="AS277" s="8">
        <f>IFERROR(INDEX([1]SuSa_2024!BW:BW,MATCH($B277,[1]SuSa_2024!$B:$B,0)),"0")</f>
        <v>-36097.74</v>
      </c>
      <c r="AT277" s="8">
        <f>IFERROR(INDEX([1]SuSa_2024!BX:BX,MATCH($B277,[1]SuSa_2024!$B:$B,0)),"0")</f>
        <v>-39462.979999999996</v>
      </c>
      <c r="AU277" s="8">
        <f>IFERROR(INDEX([1]SuSa_2024!BY:BY,MATCH($B277,[1]SuSa_2024!$B:$B,0)),"0")</f>
        <v>-42685.929999999993</v>
      </c>
      <c r="AV277" s="8">
        <f>IFERROR(INDEX([1]SuSa_2025!AR:AR,MATCH($B277,[1]SuSa_2025!$B:$B,0)),"0")</f>
        <v>-3028.98</v>
      </c>
      <c r="AW277" s="8">
        <f>IFERROR(INDEX([1]SuSa_2025!AS:AS,MATCH($B277,[1]SuSa_2025!$B:$B,0)),"0")</f>
        <v>-6929.82</v>
      </c>
      <c r="AX277" s="8">
        <f>IFERROR(INDEX([1]SuSa_2025!AT:AT,MATCH($B277,[1]SuSa_2025!$B:$B,0)),"0")</f>
        <v>-11286.9</v>
      </c>
      <c r="AY277" s="8">
        <f>IFERROR(INDEX([1]SuSa_2025!AU:AU,MATCH($B277,[1]SuSa_2025!$B:$B,0)),"0")</f>
        <v>-13649.4</v>
      </c>
      <c r="AZ277" s="8">
        <f>IFERROR(INDEX([1]SuSa_2025!AV:AV,MATCH($B277,[1]SuSa_2025!$B:$B,0)),"0")</f>
        <v>-17578.39</v>
      </c>
      <c r="BA277" s="8">
        <f>IFERROR(INDEX([1]SuSa_2025!AW:AW,MATCH($B277,[1]SuSa_2025!$B:$B,0)),"0")</f>
        <v>-26707.129999999997</v>
      </c>
      <c r="BB277" s="8">
        <f>IFERROR(INDEX([1]SuSa_2025!AX:AX,MATCH($B277,[1]SuSa_2025!$B:$B,0)),"0")</f>
        <v>-43045.02</v>
      </c>
    </row>
    <row r="278" spans="1:54" outlineLevel="1" collapsed="1" x14ac:dyDescent="0.25">
      <c r="A278" s="5" t="s">
        <v>827</v>
      </c>
      <c r="B278" s="6" t="s">
        <v>830</v>
      </c>
      <c r="C278" t="s">
        <v>831</v>
      </c>
      <c r="E278" t="str">
        <f>INDEX([1]Umsatzzuordn.!$J:$J,MATCH(B278,[1]Umsatzzuordn.!$C:$C,0))</f>
        <v>/profit and loss/income/sales/B2C</v>
      </c>
      <c r="F278" s="7">
        <f t="shared" si="25"/>
        <v>0</v>
      </c>
      <c r="G278" s="7">
        <f t="shared" si="26"/>
        <v>-7671.28</v>
      </c>
      <c r="H278" s="7">
        <f t="shared" si="27"/>
        <v>0</v>
      </c>
      <c r="I278" s="7" t="str">
        <f t="shared" si="23"/>
        <v>0</v>
      </c>
      <c r="J278" s="8">
        <f t="shared" si="22"/>
        <v>0</v>
      </c>
      <c r="K278" s="8">
        <f t="shared" si="24"/>
        <v>0</v>
      </c>
      <c r="AI278" s="8">
        <v>-7671.28</v>
      </c>
      <c r="AJ278" s="8">
        <f>IFERROR(INDEX([1]SuSa_2024!BN:BN,MATCH($B278,[1]SuSa_2024!$B:$B,0)),"0")</f>
        <v>0</v>
      </c>
      <c r="AK278" s="8">
        <f>IFERROR(INDEX([1]SuSa_2024!BO:BO,MATCH($B278,[1]SuSa_2024!$B:$B,0)),"0")</f>
        <v>0</v>
      </c>
      <c r="AL278" s="8">
        <f>IFERROR(INDEX([1]SuSa_2024!BP:BP,MATCH($B278,[1]SuSa_2024!$B:$B,0)),"0")</f>
        <v>0</v>
      </c>
      <c r="AM278" s="8">
        <f>IFERROR(INDEX([1]SuSa_2024!BQ:BQ,MATCH($B278,[1]SuSa_2024!$B:$B,0)),"0")</f>
        <v>0</v>
      </c>
      <c r="AN278" s="8">
        <f>IFERROR(INDEX([1]SuSa_2024!BR:BR,MATCH($B278,[1]SuSa_2024!$B:$B,0)),"0")</f>
        <v>0</v>
      </c>
      <c r="AO278" s="8">
        <f>IFERROR(INDEX([1]SuSa_2024!BS:BS,MATCH($B278,[1]SuSa_2024!$B:$B,0)),"0")</f>
        <v>0</v>
      </c>
      <c r="AP278" s="8">
        <f>IFERROR(INDEX([1]SuSa_2024!BT:BT,MATCH($B278,[1]SuSa_2024!$B:$B,0)),"0")</f>
        <v>0</v>
      </c>
      <c r="AQ278" s="8">
        <f>IFERROR(INDEX([1]SuSa_2024!BU:BU,MATCH($B278,[1]SuSa_2024!$B:$B,0)),"0")</f>
        <v>0</v>
      </c>
      <c r="AR278" s="8">
        <f>IFERROR(INDEX([1]SuSa_2024!BV:BV,MATCH($B278,[1]SuSa_2024!$B:$B,0)),"0")</f>
        <v>0</v>
      </c>
      <c r="AS278" s="8">
        <f>IFERROR(INDEX([1]SuSa_2024!BW:BW,MATCH($B278,[1]SuSa_2024!$B:$B,0)),"0")</f>
        <v>0</v>
      </c>
      <c r="AT278" s="8">
        <f>IFERROR(INDEX([1]SuSa_2024!BX:BX,MATCH($B278,[1]SuSa_2024!$B:$B,0)),"0")</f>
        <v>0</v>
      </c>
      <c r="AU278" s="8">
        <f>IFERROR(INDEX([1]SuSa_2024!BY:BY,MATCH($B278,[1]SuSa_2024!$B:$B,0)),"0")</f>
        <v>0</v>
      </c>
      <c r="AV278" s="8" t="str">
        <f>IFERROR(INDEX([1]SuSa_2025!AR:AR,MATCH($B278,[1]SuSa_2025!$B:$B,0)),"0")</f>
        <v>0</v>
      </c>
      <c r="AW278" s="8" t="str">
        <f>IFERROR(INDEX([1]SuSa_2025!AS:AS,MATCH($B278,[1]SuSa_2025!$B:$B,0)),"0")</f>
        <v>0</v>
      </c>
      <c r="AX278" s="8" t="str">
        <f>IFERROR(INDEX([1]SuSa_2025!AT:AT,MATCH($B278,[1]SuSa_2025!$B:$B,0)),"0")</f>
        <v>0</v>
      </c>
      <c r="AY278" s="8" t="str">
        <f>IFERROR(INDEX([1]SuSa_2025!AU:AU,MATCH($B278,[1]SuSa_2025!$B:$B,0)),"0")</f>
        <v>0</v>
      </c>
      <c r="AZ278" s="8" t="str">
        <f>IFERROR(INDEX([1]SuSa_2025!AV:AV,MATCH($B278,[1]SuSa_2025!$B:$B,0)),"0")</f>
        <v>0</v>
      </c>
      <c r="BA278" s="8" t="str">
        <f>IFERROR(INDEX([1]SuSa_2025!AW:AW,MATCH($B278,[1]SuSa_2025!$B:$B,0)),"0")</f>
        <v>0</v>
      </c>
      <c r="BB278" s="8" t="str">
        <f>IFERROR(INDEX([1]SuSa_2025!AX:AX,MATCH($B278,[1]SuSa_2025!$B:$B,0)),"0")</f>
        <v>0</v>
      </c>
    </row>
    <row r="279" spans="1:54" outlineLevel="1" collapsed="1" x14ac:dyDescent="0.25">
      <c r="A279" s="5" t="s">
        <v>832</v>
      </c>
      <c r="B279" s="6" t="s">
        <v>833</v>
      </c>
      <c r="C279" t="s">
        <v>834</v>
      </c>
      <c r="E279" t="str">
        <f>INDEX([1]Umsatzzuordn.!$J:$J,MATCH(B279,[1]Umsatzzuordn.!$C:$C,0))</f>
        <v>/profit and loss/income/sales/B2B</v>
      </c>
      <c r="F279" s="7">
        <f t="shared" si="25"/>
        <v>-22320.75</v>
      </c>
      <c r="G279" s="7">
        <f t="shared" si="26"/>
        <v>-17365.7</v>
      </c>
      <c r="H279" s="7">
        <f t="shared" si="27"/>
        <v>-14559.83</v>
      </c>
      <c r="I279" s="7">
        <f t="shared" si="23"/>
        <v>0</v>
      </c>
      <c r="J279" s="8">
        <f t="shared" si="22"/>
        <v>0</v>
      </c>
      <c r="K279" s="8">
        <f t="shared" si="24"/>
        <v>-14559.83</v>
      </c>
      <c r="N279" s="8">
        <v>-5.04</v>
      </c>
      <c r="O279" s="8">
        <v>-5.04</v>
      </c>
      <c r="P279" s="8">
        <v>-5.04</v>
      </c>
      <c r="Q279" s="8">
        <v>-5.04</v>
      </c>
      <c r="R279" s="8">
        <v>-5.04</v>
      </c>
      <c r="S279" s="8">
        <v>-5.04</v>
      </c>
      <c r="T279" s="8">
        <v>-14.02</v>
      </c>
      <c r="U279" s="8">
        <v>-14.02</v>
      </c>
      <c r="V279" s="8">
        <v>-14.02</v>
      </c>
      <c r="W279" s="8">
        <v>-22320.75</v>
      </c>
      <c r="Z279" s="8">
        <v>-3192.11</v>
      </c>
      <c r="AA279" s="8">
        <v>-5532.04</v>
      </c>
      <c r="AB279" s="8">
        <v>-7904.48</v>
      </c>
      <c r="AC279" s="8">
        <v>-10027.450000000001</v>
      </c>
      <c r="AD279" s="8">
        <v>-10027.450000000001</v>
      </c>
      <c r="AE279" s="8">
        <v>-10027.450000000001</v>
      </c>
      <c r="AF279" s="8">
        <v>-10027.450000000001</v>
      </c>
      <c r="AG279" s="8">
        <v>-10027.450000000001</v>
      </c>
      <c r="AH279" s="8">
        <v>-10027.450000000001</v>
      </c>
      <c r="AI279" s="8">
        <v>-17365.7</v>
      </c>
      <c r="AJ279" s="8">
        <f>IFERROR(INDEX([1]SuSa_2024!BN:BN,MATCH($B279,[1]SuSa_2024!$B:$B,0)),"0")</f>
        <v>0</v>
      </c>
      <c r="AK279" s="8">
        <f>IFERROR(INDEX([1]SuSa_2024!BO:BO,MATCH($B279,[1]SuSa_2024!$B:$B,0)),"0")</f>
        <v>0</v>
      </c>
      <c r="AL279" s="8">
        <f>IFERROR(INDEX([1]SuSa_2024!BP:BP,MATCH($B279,[1]SuSa_2024!$B:$B,0)),"0")</f>
        <v>-70.36</v>
      </c>
      <c r="AM279" s="8">
        <f>IFERROR(INDEX([1]SuSa_2024!BQ:BQ,MATCH($B279,[1]SuSa_2024!$B:$B,0)),"0")</f>
        <v>-14630.19</v>
      </c>
      <c r="AN279" s="8">
        <f>IFERROR(INDEX([1]SuSa_2024!BR:BR,MATCH($B279,[1]SuSa_2024!$B:$B,0)),"0")</f>
        <v>-14559.83</v>
      </c>
      <c r="AO279" s="8">
        <f>IFERROR(INDEX([1]SuSa_2024!BS:BS,MATCH($B279,[1]SuSa_2024!$B:$B,0)),"0")</f>
        <v>-14559.83</v>
      </c>
      <c r="AP279" s="8">
        <f>IFERROR(INDEX([1]SuSa_2024!BT:BT,MATCH($B279,[1]SuSa_2024!$B:$B,0)),"0")</f>
        <v>-14559.83</v>
      </c>
      <c r="AQ279" s="8">
        <f>IFERROR(INDEX([1]SuSa_2024!BU:BU,MATCH($B279,[1]SuSa_2024!$B:$B,0)),"0")</f>
        <v>-14559.83</v>
      </c>
      <c r="AR279" s="8">
        <f>IFERROR(INDEX([1]SuSa_2024!BV:BV,MATCH($B279,[1]SuSa_2024!$B:$B,0)),"0")</f>
        <v>-14559.83</v>
      </c>
      <c r="AS279" s="8">
        <f>IFERROR(INDEX([1]SuSa_2024!BW:BW,MATCH($B279,[1]SuSa_2024!$B:$B,0)),"0")</f>
        <v>-14559.83</v>
      </c>
      <c r="AT279" s="8">
        <f>IFERROR(INDEX([1]SuSa_2024!BX:BX,MATCH($B279,[1]SuSa_2024!$B:$B,0)),"0")</f>
        <v>-14559.83</v>
      </c>
      <c r="AU279" s="8">
        <f>IFERROR(INDEX([1]SuSa_2024!BY:BY,MATCH($B279,[1]SuSa_2024!$B:$B,0)),"0")</f>
        <v>-14559.83</v>
      </c>
      <c r="AV279" s="8">
        <f>IFERROR(INDEX([1]SuSa_2025!AR:AR,MATCH($B279,[1]SuSa_2025!$B:$B,0)),"0")</f>
        <v>0</v>
      </c>
      <c r="AW279" s="8">
        <f>IFERROR(INDEX([1]SuSa_2025!AS:AS,MATCH($B279,[1]SuSa_2025!$B:$B,0)),"0")</f>
        <v>0</v>
      </c>
      <c r="AX279" s="8">
        <f>IFERROR(INDEX([1]SuSa_2025!AT:AT,MATCH($B279,[1]SuSa_2025!$B:$B,0)),"0")</f>
        <v>0</v>
      </c>
      <c r="AY279" s="8">
        <f>IFERROR(INDEX([1]SuSa_2025!AU:AU,MATCH($B279,[1]SuSa_2025!$B:$B,0)),"0")</f>
        <v>0</v>
      </c>
      <c r="AZ279" s="8">
        <f>IFERROR(INDEX([1]SuSa_2025!AV:AV,MATCH($B279,[1]SuSa_2025!$B:$B,0)),"0")</f>
        <v>0</v>
      </c>
      <c r="BA279" s="8">
        <f>IFERROR(INDEX([1]SuSa_2025!AW:AW,MATCH($B279,[1]SuSa_2025!$B:$B,0)),"0")</f>
        <v>0</v>
      </c>
      <c r="BB279" s="8">
        <f>IFERROR(INDEX([1]SuSa_2025!AX:AX,MATCH($B279,[1]SuSa_2025!$B:$B,0)),"0")</f>
        <v>0</v>
      </c>
    </row>
    <row r="280" spans="1:54" outlineLevel="1" collapsed="1" x14ac:dyDescent="0.25">
      <c r="A280" s="5" t="s">
        <v>832</v>
      </c>
      <c r="B280" s="6" t="s">
        <v>835</v>
      </c>
      <c r="C280" t="s">
        <v>836</v>
      </c>
      <c r="E280" t="str">
        <f>INDEX([1]Umsatzzuordn.!$J:$J,MATCH(B280,[1]Umsatzzuordn.!$C:$C,0))</f>
        <v>/profit and loss/income/sales/B2B</v>
      </c>
      <c r="F280" s="7">
        <f t="shared" si="25"/>
        <v>-14178.21</v>
      </c>
      <c r="G280" s="7">
        <f t="shared" si="26"/>
        <v>-20394.990000000002</v>
      </c>
      <c r="H280" s="7">
        <f t="shared" si="27"/>
        <v>-42717.080000000009</v>
      </c>
      <c r="I280" s="7">
        <f t="shared" si="23"/>
        <v>0</v>
      </c>
      <c r="J280" s="8">
        <f t="shared" si="22"/>
        <v>-36150.020000000004</v>
      </c>
      <c r="K280" s="8">
        <f t="shared" si="24"/>
        <v>-6567.0600000000013</v>
      </c>
      <c r="Q280" s="8">
        <v>-8372.1299999999992</v>
      </c>
      <c r="R280" s="8">
        <v>-8372.1299999999992</v>
      </c>
      <c r="S280" s="8">
        <v>-8372.1299999999992</v>
      </c>
      <c r="T280" s="8">
        <v>-8372.1299999999992</v>
      </c>
      <c r="U280" s="8">
        <v>-8372.1299999999992</v>
      </c>
      <c r="V280" s="8">
        <v>-14178.21</v>
      </c>
      <c r="W280" s="8">
        <v>-14178.21</v>
      </c>
      <c r="Y280" s="8">
        <v>-11040</v>
      </c>
      <c r="Z280" s="8">
        <v>-11040</v>
      </c>
      <c r="AA280" s="8">
        <v>-11040</v>
      </c>
      <c r="AB280" s="8">
        <v>-11040</v>
      </c>
      <c r="AC280" s="8">
        <v>-15219.1</v>
      </c>
      <c r="AD280" s="8">
        <v>-15219.1</v>
      </c>
      <c r="AE280" s="8">
        <v>-15219.1</v>
      </c>
      <c r="AF280" s="8">
        <v>-15219.1</v>
      </c>
      <c r="AG280" s="8">
        <v>-15219.1</v>
      </c>
      <c r="AH280" s="8">
        <v>-20394.990000000002</v>
      </c>
      <c r="AI280" s="8">
        <v>-20394.990000000002</v>
      </c>
      <c r="AJ280" s="8">
        <f>IFERROR(INDEX([1]SuSa_2024!BN:BN,MATCH($B280,[1]SuSa_2024!$B:$B,0)),"0")</f>
        <v>0</v>
      </c>
      <c r="AK280" s="8">
        <f>IFERROR(INDEX([1]SuSa_2024!BO:BO,MATCH($B280,[1]SuSa_2024!$B:$B,0)),"0")</f>
        <v>0</v>
      </c>
      <c r="AL280" s="8">
        <f>IFERROR(INDEX([1]SuSa_2024!BP:BP,MATCH($B280,[1]SuSa_2024!$B:$B,0)),"0")</f>
        <v>0</v>
      </c>
      <c r="AM280" s="8">
        <f>IFERROR(INDEX([1]SuSa_2024!BQ:BQ,MATCH($B280,[1]SuSa_2024!$B:$B,0)),"0")</f>
        <v>-15166.37</v>
      </c>
      <c r="AN280" s="8">
        <f>IFERROR(INDEX([1]SuSa_2024!BR:BR,MATCH($B280,[1]SuSa_2024!$B:$B,0)),"0")</f>
        <v>-13217.080000000002</v>
      </c>
      <c r="AO280" s="8">
        <f>IFERROR(INDEX([1]SuSa_2024!BS:BS,MATCH($B280,[1]SuSa_2024!$B:$B,0)),"0")</f>
        <v>-6567.0600000000013</v>
      </c>
      <c r="AP280" s="8">
        <f>IFERROR(INDEX([1]SuSa_2024!BT:BT,MATCH($B280,[1]SuSa_2024!$B:$B,0)),"0")</f>
        <v>-6567.0600000000013</v>
      </c>
      <c r="AQ280" s="8">
        <f>IFERROR(INDEX([1]SuSa_2024!BU:BU,MATCH($B280,[1]SuSa_2024!$B:$B,0)),"0")</f>
        <v>-8783.7200000000012</v>
      </c>
      <c r="AR280" s="8">
        <f>IFERROR(INDEX([1]SuSa_2024!BV:BV,MATCH($B280,[1]SuSa_2024!$B:$B,0)),"0")</f>
        <v>-9892.0500000000011</v>
      </c>
      <c r="AS280" s="8">
        <f>IFERROR(INDEX([1]SuSa_2024!BW:BW,MATCH($B280,[1]SuSa_2024!$B:$B,0)),"0")</f>
        <v>-40500.380000000005</v>
      </c>
      <c r="AT280" s="8">
        <f>IFERROR(INDEX([1]SuSa_2024!BX:BX,MATCH($B280,[1]SuSa_2024!$B:$B,0)),"0")</f>
        <v>-41608.710000000006</v>
      </c>
      <c r="AU280" s="8">
        <f>IFERROR(INDEX([1]SuSa_2024!BY:BY,MATCH($B280,[1]SuSa_2024!$B:$B,0)),"0")</f>
        <v>-42717.080000000009</v>
      </c>
      <c r="AV280" s="8">
        <f>IFERROR(INDEX([1]SuSa_2025!AR:AR,MATCH($B280,[1]SuSa_2025!$B:$B,0)),"0")</f>
        <v>0</v>
      </c>
      <c r="AW280" s="8">
        <f>IFERROR(INDEX([1]SuSa_2025!AS:AS,MATCH($B280,[1]SuSa_2025!$B:$B,0)),"0")</f>
        <v>0</v>
      </c>
      <c r="AX280" s="8">
        <f>IFERROR(INDEX([1]SuSa_2025!AT:AT,MATCH($B280,[1]SuSa_2025!$B:$B,0)),"0")</f>
        <v>0</v>
      </c>
      <c r="AY280" s="8">
        <f>IFERROR(INDEX([1]SuSa_2025!AU:AU,MATCH($B280,[1]SuSa_2025!$B:$B,0)),"0")</f>
        <v>0</v>
      </c>
      <c r="AZ280" s="8">
        <f>IFERROR(INDEX([1]SuSa_2025!AV:AV,MATCH($B280,[1]SuSa_2025!$B:$B,0)),"0")</f>
        <v>0</v>
      </c>
      <c r="BA280" s="8">
        <f>IFERROR(INDEX([1]SuSa_2025!AW:AW,MATCH($B280,[1]SuSa_2025!$B:$B,0)),"0")</f>
        <v>0</v>
      </c>
      <c r="BB280" s="8">
        <f>IFERROR(INDEX([1]SuSa_2025!AX:AX,MATCH($B280,[1]SuSa_2025!$B:$B,0)),"0")</f>
        <v>0</v>
      </c>
    </row>
    <row r="281" spans="1:54" outlineLevel="1" collapsed="1" x14ac:dyDescent="0.25">
      <c r="A281" s="5" t="s">
        <v>832</v>
      </c>
      <c r="B281" s="6" t="s">
        <v>837</v>
      </c>
      <c r="C281" t="s">
        <v>838</v>
      </c>
      <c r="E281" t="str">
        <f>INDEX([1]Umsatzzuordn.!$J:$J,MATCH(B281,[1]Umsatzzuordn.!$C:$C,0))</f>
        <v>/profit and loss/income/sales/B2B</v>
      </c>
      <c r="F281" s="7">
        <f t="shared" si="25"/>
        <v>-15000</v>
      </c>
      <c r="G281" s="7">
        <f t="shared" si="26"/>
        <v>0</v>
      </c>
      <c r="H281" s="7">
        <f t="shared" si="27"/>
        <v>-9533.68</v>
      </c>
      <c r="I281" s="7">
        <f t="shared" si="23"/>
        <v>0</v>
      </c>
      <c r="J281" s="8">
        <f t="shared" si="22"/>
        <v>-5350.72</v>
      </c>
      <c r="K281" s="8">
        <f t="shared" si="24"/>
        <v>-4182.96</v>
      </c>
      <c r="W281" s="8">
        <v>-15000</v>
      </c>
      <c r="AJ281" s="8">
        <f>IFERROR(INDEX([1]SuSa_2024!BN:BN,MATCH($B281,[1]SuSa_2024!$B:$B,0)),"0")</f>
        <v>0</v>
      </c>
      <c r="AK281" s="8">
        <f>IFERROR(INDEX([1]SuSa_2024!BO:BO,MATCH($B281,[1]SuSa_2024!$B:$B,0)),"0")</f>
        <v>0</v>
      </c>
      <c r="AL281" s="8">
        <f>IFERROR(INDEX([1]SuSa_2024!BP:BP,MATCH($B281,[1]SuSa_2024!$B:$B,0)),"0")</f>
        <v>0</v>
      </c>
      <c r="AM281" s="8">
        <f>IFERROR(INDEX([1]SuSa_2024!BQ:BQ,MATCH($B281,[1]SuSa_2024!$B:$B,0)),"0")</f>
        <v>0</v>
      </c>
      <c r="AN281" s="8">
        <f>IFERROR(INDEX([1]SuSa_2024!BR:BR,MATCH($B281,[1]SuSa_2024!$B:$B,0)),"0")</f>
        <v>0</v>
      </c>
      <c r="AO281" s="8">
        <f>IFERROR(INDEX([1]SuSa_2024!BS:BS,MATCH($B281,[1]SuSa_2024!$B:$B,0)),"0")</f>
        <v>-4182.96</v>
      </c>
      <c r="AP281" s="8">
        <f>IFERROR(INDEX([1]SuSa_2024!BT:BT,MATCH($B281,[1]SuSa_2024!$B:$B,0)),"0")</f>
        <v>-4182.96</v>
      </c>
      <c r="AQ281" s="8">
        <f>IFERROR(INDEX([1]SuSa_2024!BU:BU,MATCH($B281,[1]SuSa_2024!$B:$B,0)),"0")</f>
        <v>-4182.96</v>
      </c>
      <c r="AR281" s="8">
        <f>IFERROR(INDEX([1]SuSa_2024!BV:BV,MATCH($B281,[1]SuSa_2024!$B:$B,0)),"0")</f>
        <v>-4182.96</v>
      </c>
      <c r="AS281" s="8">
        <f>IFERROR(INDEX([1]SuSa_2024!BW:BW,MATCH($B281,[1]SuSa_2024!$B:$B,0)),"0")</f>
        <v>-4182.96</v>
      </c>
      <c r="AT281" s="8">
        <f>IFERROR(INDEX([1]SuSa_2024!BX:BX,MATCH($B281,[1]SuSa_2024!$B:$B,0)),"0")</f>
        <v>-4182.96</v>
      </c>
      <c r="AU281" s="8">
        <f>IFERROR(INDEX([1]SuSa_2024!BY:BY,MATCH($B281,[1]SuSa_2024!$B:$B,0)),"0")</f>
        <v>-9533.68</v>
      </c>
      <c r="AV281" s="8">
        <f>IFERROR(INDEX([1]SuSa_2025!AR:AR,MATCH($B281,[1]SuSa_2025!$B:$B,0)),"0")</f>
        <v>0</v>
      </c>
      <c r="AW281" s="8">
        <f>IFERROR(INDEX([1]SuSa_2025!AS:AS,MATCH($B281,[1]SuSa_2025!$B:$B,0)),"0")</f>
        <v>0</v>
      </c>
      <c r="AX281" s="8">
        <f>IFERROR(INDEX([1]SuSa_2025!AT:AT,MATCH($B281,[1]SuSa_2025!$B:$B,0)),"0")</f>
        <v>0</v>
      </c>
      <c r="AY281" s="8">
        <f>IFERROR(INDEX([1]SuSa_2025!AU:AU,MATCH($B281,[1]SuSa_2025!$B:$B,0)),"0")</f>
        <v>0</v>
      </c>
      <c r="AZ281" s="8">
        <f>IFERROR(INDEX([1]SuSa_2025!AV:AV,MATCH($B281,[1]SuSa_2025!$B:$B,0)),"0")</f>
        <v>0</v>
      </c>
      <c r="BA281" s="8">
        <f>IFERROR(INDEX([1]SuSa_2025!AW:AW,MATCH($B281,[1]SuSa_2025!$B:$B,0)),"0")</f>
        <v>0</v>
      </c>
      <c r="BB281" s="8">
        <f>IFERROR(INDEX([1]SuSa_2025!AX:AX,MATCH($B281,[1]SuSa_2025!$B:$B,0)),"0")</f>
        <v>0</v>
      </c>
    </row>
    <row r="282" spans="1:54" outlineLevel="1" collapsed="1" x14ac:dyDescent="0.25">
      <c r="A282" s="5" t="s">
        <v>832</v>
      </c>
      <c r="B282" s="6" t="s">
        <v>839</v>
      </c>
      <c r="C282" t="s">
        <v>840</v>
      </c>
      <c r="E282" t="str">
        <f>INDEX([1]Umsatzzuordn.!$J:$J,MATCH(B282,[1]Umsatzzuordn.!$C:$C,0))</f>
        <v>/profit and loss/income/sales/B2C</v>
      </c>
      <c r="F282" s="7">
        <f t="shared" si="25"/>
        <v>0</v>
      </c>
      <c r="G282" s="7">
        <f t="shared" si="26"/>
        <v>-2053.69</v>
      </c>
      <c r="H282" s="7">
        <f t="shared" si="27"/>
        <v>-724.74</v>
      </c>
      <c r="I282" s="7">
        <f t="shared" si="23"/>
        <v>0</v>
      </c>
      <c r="J282" s="8">
        <f t="shared" si="22"/>
        <v>-152.43999999999994</v>
      </c>
      <c r="K282" s="8">
        <f t="shared" si="24"/>
        <v>-572.30000000000007</v>
      </c>
      <c r="AF282" s="8">
        <v>-781.47</v>
      </c>
      <c r="AG282" s="8">
        <v>-1355.08</v>
      </c>
      <c r="AH282" s="8">
        <v>-1848.5</v>
      </c>
      <c r="AI282" s="8">
        <v>-2053.69</v>
      </c>
      <c r="AJ282" s="8">
        <f>IFERROR(INDEX([1]SuSa_2024!BN:BN,MATCH($B282,[1]SuSa_2024!$B:$B,0)),"0")</f>
        <v>0</v>
      </c>
      <c r="AK282" s="8">
        <f>IFERROR(INDEX([1]SuSa_2024!BO:BO,MATCH($B282,[1]SuSa_2024!$B:$B,0)),"0")</f>
        <v>-277.82</v>
      </c>
      <c r="AL282" s="8">
        <f>IFERROR(INDEX([1]SuSa_2024!BP:BP,MATCH($B282,[1]SuSa_2024!$B:$B,0)),"0")</f>
        <v>-394.61</v>
      </c>
      <c r="AM282" s="8">
        <f>IFERROR(INDEX([1]SuSa_2024!BQ:BQ,MATCH($B282,[1]SuSa_2024!$B:$B,0)),"0")</f>
        <v>-461.12</v>
      </c>
      <c r="AN282" s="8">
        <f>IFERROR(INDEX([1]SuSa_2024!BR:BR,MATCH($B282,[1]SuSa_2024!$B:$B,0)),"0")</f>
        <v>-527.83000000000004</v>
      </c>
      <c r="AO282" s="8">
        <f>IFERROR(INDEX([1]SuSa_2024!BS:BS,MATCH($B282,[1]SuSa_2024!$B:$B,0)),"0")</f>
        <v>-527.83000000000004</v>
      </c>
      <c r="AP282" s="8">
        <f>IFERROR(INDEX([1]SuSa_2024!BT:BT,MATCH($B282,[1]SuSa_2024!$B:$B,0)),"0")</f>
        <v>-572.30000000000007</v>
      </c>
      <c r="AQ282" s="8">
        <f>IFERROR(INDEX([1]SuSa_2024!BU:BU,MATCH($B282,[1]SuSa_2024!$B:$B,0)),"0")</f>
        <v>-572.30000000000007</v>
      </c>
      <c r="AR282" s="8">
        <f>IFERROR(INDEX([1]SuSa_2024!BV:BV,MATCH($B282,[1]SuSa_2024!$B:$B,0)),"0")</f>
        <v>-572.30000000000007</v>
      </c>
      <c r="AS282" s="8">
        <f>IFERROR(INDEX([1]SuSa_2024!BW:BW,MATCH($B282,[1]SuSa_2024!$B:$B,0)),"0")</f>
        <v>-610.6</v>
      </c>
      <c r="AT282" s="8">
        <f>IFERROR(INDEX([1]SuSa_2024!BX:BX,MATCH($B282,[1]SuSa_2024!$B:$B,0)),"0")</f>
        <v>-577.82000000000005</v>
      </c>
      <c r="AU282" s="8">
        <f>IFERROR(INDEX([1]SuSa_2024!BY:BY,MATCH($B282,[1]SuSa_2024!$B:$B,0)),"0")</f>
        <v>-724.74</v>
      </c>
      <c r="AV282" s="8">
        <f>IFERROR(INDEX([1]SuSa_2025!AR:AR,MATCH($B282,[1]SuSa_2025!$B:$B,0)),"0")</f>
        <v>0</v>
      </c>
      <c r="AW282" s="8">
        <f>IFERROR(INDEX([1]SuSa_2025!AS:AS,MATCH($B282,[1]SuSa_2025!$B:$B,0)),"0")</f>
        <v>0</v>
      </c>
      <c r="AX282" s="8">
        <f>IFERROR(INDEX([1]SuSa_2025!AT:AT,MATCH($B282,[1]SuSa_2025!$B:$B,0)),"0")</f>
        <v>0</v>
      </c>
      <c r="AY282" s="8">
        <f>IFERROR(INDEX([1]SuSa_2025!AU:AU,MATCH($B282,[1]SuSa_2025!$B:$B,0)),"0")</f>
        <v>0</v>
      </c>
      <c r="AZ282" s="8">
        <f>IFERROR(INDEX([1]SuSa_2025!AV:AV,MATCH($B282,[1]SuSa_2025!$B:$B,0)),"0")</f>
        <v>0</v>
      </c>
      <c r="BA282" s="8">
        <f>IFERROR(INDEX([1]SuSa_2025!AW:AW,MATCH($B282,[1]SuSa_2025!$B:$B,0)),"0")</f>
        <v>0</v>
      </c>
      <c r="BB282" s="8">
        <f>IFERROR(INDEX([1]SuSa_2025!AX:AX,MATCH($B282,[1]SuSa_2025!$B:$B,0)),"0")</f>
        <v>0</v>
      </c>
    </row>
    <row r="283" spans="1:54" outlineLevel="1" collapsed="1" x14ac:dyDescent="0.25">
      <c r="A283" s="5" t="s">
        <v>832</v>
      </c>
      <c r="B283" s="6" t="s">
        <v>841</v>
      </c>
      <c r="C283" t="s">
        <v>842</v>
      </c>
      <c r="E283" t="str">
        <f>INDEX([1]Umsatzzuordn.!$J:$J,MATCH(B283,[1]Umsatzzuordn.!$C:$C,0))</f>
        <v>/profit and loss/income/sales/other</v>
      </c>
      <c r="F283" s="7">
        <f t="shared" si="25"/>
        <v>0</v>
      </c>
      <c r="G283" s="7">
        <f t="shared" si="26"/>
        <v>0</v>
      </c>
      <c r="H283" s="7">
        <f t="shared" si="27"/>
        <v>-3162.54</v>
      </c>
      <c r="I283" s="7">
        <f t="shared" si="23"/>
        <v>-4010.96</v>
      </c>
      <c r="J283" s="8">
        <f t="shared" si="22"/>
        <v>-7173.5</v>
      </c>
      <c r="K283" s="8">
        <f t="shared" si="24"/>
        <v>0</v>
      </c>
      <c r="AG283" s="8">
        <v>-4000</v>
      </c>
      <c r="AH283" s="8">
        <v>-4000</v>
      </c>
      <c r="AI283" s="8">
        <v>0</v>
      </c>
      <c r="AJ283" s="8">
        <f>IFERROR(INDEX([1]SuSa_2024!BN:BN,MATCH($B283,[1]SuSa_2024!$B:$B,0)),"0")</f>
        <v>0</v>
      </c>
      <c r="AK283" s="8">
        <f>IFERROR(INDEX([1]SuSa_2024!BO:BO,MATCH($B283,[1]SuSa_2024!$B:$B,0)),"0")</f>
        <v>0</v>
      </c>
      <c r="AL283" s="8">
        <f>IFERROR(INDEX([1]SuSa_2024!BP:BP,MATCH($B283,[1]SuSa_2024!$B:$B,0)),"0")</f>
        <v>0</v>
      </c>
      <c r="AM283" s="8">
        <f>IFERROR(INDEX([1]SuSa_2024!BQ:BQ,MATCH($B283,[1]SuSa_2024!$B:$B,0)),"0")</f>
        <v>0</v>
      </c>
      <c r="AN283" s="8">
        <f>IFERROR(INDEX([1]SuSa_2024!BR:BR,MATCH($B283,[1]SuSa_2024!$B:$B,0)),"0")</f>
        <v>0</v>
      </c>
      <c r="AO283" s="8">
        <f>IFERROR(INDEX([1]SuSa_2024!BS:BS,MATCH($B283,[1]SuSa_2024!$B:$B,0)),"0")</f>
        <v>0</v>
      </c>
      <c r="AP283" s="8">
        <f>IFERROR(INDEX([1]SuSa_2024!BT:BT,MATCH($B283,[1]SuSa_2024!$B:$B,0)),"0")</f>
        <v>0</v>
      </c>
      <c r="AQ283" s="8">
        <f>IFERROR(INDEX([1]SuSa_2024!BU:BU,MATCH($B283,[1]SuSa_2024!$B:$B,0)),"0")</f>
        <v>0</v>
      </c>
      <c r="AR283" s="8">
        <f>IFERROR(INDEX([1]SuSa_2024!BV:BV,MATCH($B283,[1]SuSa_2024!$B:$B,0)),"0")</f>
        <v>0</v>
      </c>
      <c r="AS283" s="8">
        <f>IFERROR(INDEX([1]SuSa_2024!BW:BW,MATCH($B283,[1]SuSa_2024!$B:$B,0)),"0")</f>
        <v>0</v>
      </c>
      <c r="AT283" s="8">
        <f>IFERROR(INDEX([1]SuSa_2024!BX:BX,MATCH($B283,[1]SuSa_2024!$B:$B,0)),"0")</f>
        <v>0</v>
      </c>
      <c r="AU283" s="8">
        <f>IFERROR(INDEX([1]SuSa_2024!BY:BY,MATCH($B283,[1]SuSa_2024!$B:$B,0)),"0")</f>
        <v>-3162.54</v>
      </c>
      <c r="AV283" s="8">
        <f>IFERROR(INDEX([1]SuSa_2025!AR:AR,MATCH($B283,[1]SuSa_2025!$B:$B,0)),"0")</f>
        <v>0</v>
      </c>
      <c r="AW283" s="8">
        <f>IFERROR(INDEX([1]SuSa_2025!AS:AS,MATCH($B283,[1]SuSa_2025!$B:$B,0)),"0")</f>
        <v>0</v>
      </c>
      <c r="AX283" s="8">
        <f>IFERROR(INDEX([1]SuSa_2025!AT:AT,MATCH($B283,[1]SuSa_2025!$B:$B,0)),"0")</f>
        <v>0</v>
      </c>
      <c r="AY283" s="8">
        <f>IFERROR(INDEX([1]SuSa_2025!AU:AU,MATCH($B283,[1]SuSa_2025!$B:$B,0)),"0")</f>
        <v>0</v>
      </c>
      <c r="AZ283" s="8">
        <f>IFERROR(INDEX([1]SuSa_2025!AV:AV,MATCH($B283,[1]SuSa_2025!$B:$B,0)),"0")</f>
        <v>-4010.96</v>
      </c>
      <c r="BA283" s="8">
        <f>IFERROR(INDEX([1]SuSa_2025!AW:AW,MATCH($B283,[1]SuSa_2025!$B:$B,0)),"0")</f>
        <v>-4010.96</v>
      </c>
      <c r="BB283" s="8">
        <f>IFERROR(INDEX([1]SuSa_2025!AX:AX,MATCH($B283,[1]SuSa_2025!$B:$B,0)),"0")</f>
        <v>-4010.96</v>
      </c>
    </row>
    <row r="284" spans="1:54" outlineLevel="1" collapsed="1" x14ac:dyDescent="0.25">
      <c r="A284" s="5" t="s">
        <v>843</v>
      </c>
      <c r="B284" s="6" t="s">
        <v>844</v>
      </c>
      <c r="C284" t="s">
        <v>845</v>
      </c>
      <c r="E284" t="str">
        <f>INDEX([1]Umsatzzuordn.!$J:$J,MATCH(B284,[1]Umsatzzuordn.!$C:$C,0))</f>
        <v>/profit and loss/income/sales/B2B</v>
      </c>
      <c r="F284" s="7">
        <f t="shared" si="25"/>
        <v>-154168.92000000001</v>
      </c>
      <c r="G284" s="7">
        <f t="shared" si="26"/>
        <v>-532727.78</v>
      </c>
      <c r="H284" s="7">
        <f t="shared" si="27"/>
        <v>-25456.74</v>
      </c>
      <c r="I284" s="7">
        <f t="shared" si="23"/>
        <v>0</v>
      </c>
      <c r="J284" s="8">
        <f t="shared" si="22"/>
        <v>-24833.99</v>
      </c>
      <c r="K284" s="8">
        <f t="shared" si="24"/>
        <v>-622.75</v>
      </c>
      <c r="L284" s="8">
        <v>-15.03</v>
      </c>
      <c r="M284" s="8">
        <v>-15.03</v>
      </c>
      <c r="N284" s="8">
        <v>-15.03</v>
      </c>
      <c r="O284" s="8">
        <v>-15.03</v>
      </c>
      <c r="P284" s="8">
        <v>-15.03</v>
      </c>
      <c r="Q284" s="8">
        <v>-10515.03</v>
      </c>
      <c r="R284" s="8">
        <v>-10515.03</v>
      </c>
      <c r="S284" s="8">
        <v>-14552.03</v>
      </c>
      <c r="T284" s="8">
        <v>-50420.75</v>
      </c>
      <c r="U284" s="8">
        <v>-54420.75</v>
      </c>
      <c r="V284" s="8">
        <v>-54420.75</v>
      </c>
      <c r="W284" s="8">
        <v>-154168.92000000001</v>
      </c>
      <c r="Z284" s="8">
        <v>-281.04000000000002</v>
      </c>
      <c r="AA284" s="8">
        <v>-1167.6400000000001</v>
      </c>
      <c r="AB284" s="8">
        <v>-2021.33</v>
      </c>
      <c r="AC284" s="8">
        <v>-2021.33</v>
      </c>
      <c r="AD284" s="8">
        <v>-2352</v>
      </c>
      <c r="AE284" s="8">
        <v>-187248.31</v>
      </c>
      <c r="AF284" s="8">
        <v>-356307.17</v>
      </c>
      <c r="AG284" s="8">
        <v>-534208.38</v>
      </c>
      <c r="AH284" s="8">
        <v>-525216.78</v>
      </c>
      <c r="AI284" s="8">
        <v>-532727.78</v>
      </c>
      <c r="AJ284" s="8">
        <f>IFERROR(INDEX([1]SuSa_2024!BN:BN,MATCH($B284,[1]SuSa_2024!$B:$B,0)),"0")</f>
        <v>0</v>
      </c>
      <c r="AK284" s="8">
        <f>IFERROR(INDEX([1]SuSa_2024!BO:BO,MATCH($B284,[1]SuSa_2024!$B:$B,0)),"0")</f>
        <v>0</v>
      </c>
      <c r="AL284" s="8">
        <f>IFERROR(INDEX([1]SuSa_2024!BP:BP,MATCH($B284,[1]SuSa_2024!$B:$B,0)),"0")</f>
        <v>0</v>
      </c>
      <c r="AM284" s="8">
        <f>IFERROR(INDEX([1]SuSa_2024!BQ:BQ,MATCH($B284,[1]SuSa_2024!$B:$B,0)),"0")</f>
        <v>0</v>
      </c>
      <c r="AN284" s="8">
        <f>IFERROR(INDEX([1]SuSa_2024!BR:BR,MATCH($B284,[1]SuSa_2024!$B:$B,0)),"0")</f>
        <v>0</v>
      </c>
      <c r="AO284" s="8">
        <f>IFERROR(INDEX([1]SuSa_2024!BS:BS,MATCH($B284,[1]SuSa_2024!$B:$B,0)),"0")</f>
        <v>-622.75</v>
      </c>
      <c r="AP284" s="8">
        <f>IFERROR(INDEX([1]SuSa_2024!BT:BT,MATCH($B284,[1]SuSa_2024!$B:$B,0)),"0")</f>
        <v>-622.75</v>
      </c>
      <c r="AQ284" s="8">
        <f>IFERROR(INDEX([1]SuSa_2024!BU:BU,MATCH($B284,[1]SuSa_2024!$B:$B,0)),"0")</f>
        <v>-24729.75</v>
      </c>
      <c r="AR284" s="8">
        <f>IFERROR(INDEX([1]SuSa_2024!BV:BV,MATCH($B284,[1]SuSa_2024!$B:$B,0)),"0")</f>
        <v>-24729.75</v>
      </c>
      <c r="AS284" s="8">
        <f>IFERROR(INDEX([1]SuSa_2024!BW:BW,MATCH($B284,[1]SuSa_2024!$B:$B,0)),"0")</f>
        <v>-24729.75</v>
      </c>
      <c r="AT284" s="8">
        <f>IFERROR(INDEX([1]SuSa_2024!BX:BX,MATCH($B284,[1]SuSa_2024!$B:$B,0)),"0")</f>
        <v>-24729.75</v>
      </c>
      <c r="AU284" s="8">
        <f>IFERROR(INDEX([1]SuSa_2024!BY:BY,MATCH($B284,[1]SuSa_2024!$B:$B,0)),"0")</f>
        <v>-25456.74</v>
      </c>
      <c r="AV284" s="8">
        <f>IFERROR(INDEX([1]SuSa_2025!AR:AR,MATCH($B284,[1]SuSa_2025!$B:$B,0)),"0")</f>
        <v>0</v>
      </c>
      <c r="AW284" s="8">
        <f>IFERROR(INDEX([1]SuSa_2025!AS:AS,MATCH($B284,[1]SuSa_2025!$B:$B,0)),"0")</f>
        <v>0</v>
      </c>
      <c r="AX284" s="8">
        <f>IFERROR(INDEX([1]SuSa_2025!AT:AT,MATCH($B284,[1]SuSa_2025!$B:$B,0)),"0")</f>
        <v>0</v>
      </c>
      <c r="AY284" s="8">
        <f>IFERROR(INDEX([1]SuSa_2025!AU:AU,MATCH($B284,[1]SuSa_2025!$B:$B,0)),"0")</f>
        <v>0</v>
      </c>
      <c r="AZ284" s="8">
        <f>IFERROR(INDEX([1]SuSa_2025!AV:AV,MATCH($B284,[1]SuSa_2025!$B:$B,0)),"0")</f>
        <v>0</v>
      </c>
      <c r="BA284" s="8">
        <f>IFERROR(INDEX([1]SuSa_2025!AW:AW,MATCH($B284,[1]SuSa_2025!$B:$B,0)),"0")</f>
        <v>0</v>
      </c>
      <c r="BB284" s="8">
        <f>IFERROR(INDEX([1]SuSa_2025!AX:AX,MATCH($B284,[1]SuSa_2025!$B:$B,0)),"0")</f>
        <v>0</v>
      </c>
    </row>
    <row r="285" spans="1:54" outlineLevel="1" collapsed="1" x14ac:dyDescent="0.25">
      <c r="A285" s="5" t="s">
        <v>843</v>
      </c>
      <c r="B285" s="6" t="s">
        <v>846</v>
      </c>
      <c r="C285" t="s">
        <v>847</v>
      </c>
      <c r="E285" t="str">
        <f>INDEX([1]Umsatzzuordn.!$J:$J,MATCH(B285,[1]Umsatzzuordn.!$C:$C,0))</f>
        <v>/profit and loss/income/sales/BSH</v>
      </c>
      <c r="F285" s="7">
        <f t="shared" si="25"/>
        <v>-18892</v>
      </c>
      <c r="G285" s="7">
        <f t="shared" si="26"/>
        <v>-747232.27</v>
      </c>
      <c r="H285" s="7">
        <f t="shared" si="27"/>
        <v>-411838.36</v>
      </c>
      <c r="I285" s="7">
        <f t="shared" si="23"/>
        <v>0</v>
      </c>
      <c r="J285" s="8">
        <f t="shared" si="22"/>
        <v>-1374.75</v>
      </c>
      <c r="K285" s="8">
        <f t="shared" si="24"/>
        <v>-410463.61</v>
      </c>
      <c r="U285" s="8">
        <v>-8467</v>
      </c>
      <c r="V285" s="8">
        <v>-8467</v>
      </c>
      <c r="W285" s="8">
        <v>-18892</v>
      </c>
      <c r="Z285" s="8">
        <v>-164233.51999999999</v>
      </c>
      <c r="AA285" s="8">
        <v>-302986.44</v>
      </c>
      <c r="AB285" s="8">
        <v>-449024.29</v>
      </c>
      <c r="AC285" s="8">
        <v>-584614.68999999994</v>
      </c>
      <c r="AD285" s="8">
        <v>-744290.64</v>
      </c>
      <c r="AE285" s="8">
        <v>-744290.64</v>
      </c>
      <c r="AF285" s="8">
        <v>-744290.64</v>
      </c>
      <c r="AG285" s="8">
        <v>-744290.64</v>
      </c>
      <c r="AH285" s="8">
        <v>-744290.64</v>
      </c>
      <c r="AI285" s="8">
        <v>-747232.27</v>
      </c>
      <c r="AJ285" s="8">
        <f>IFERROR(INDEX([1]SuSa_2024!BN:BN,MATCH($B285,[1]SuSa_2024!$B:$B,0)),"0")</f>
        <v>-167475.1</v>
      </c>
      <c r="AK285" s="8">
        <f>IFERROR(INDEX([1]SuSa_2024!BO:BO,MATCH($B285,[1]SuSa_2024!$B:$B,0)),"0")</f>
        <v>-188227.16</v>
      </c>
      <c r="AL285" s="8">
        <f>IFERROR(INDEX([1]SuSa_2024!BP:BP,MATCH($B285,[1]SuSa_2024!$B:$B,0)),"0")</f>
        <v>-287143.31</v>
      </c>
      <c r="AM285" s="8">
        <f>IFERROR(INDEX([1]SuSa_2024!BQ:BQ,MATCH($B285,[1]SuSa_2024!$B:$B,0)),"0")</f>
        <v>-343047.29</v>
      </c>
      <c r="AN285" s="8">
        <f>IFERROR(INDEX([1]SuSa_2024!BR:BR,MATCH($B285,[1]SuSa_2024!$B:$B,0)),"0")</f>
        <v>-409581.17</v>
      </c>
      <c r="AO285" s="8">
        <f>IFERROR(INDEX([1]SuSa_2024!BS:BS,MATCH($B285,[1]SuSa_2024!$B:$B,0)),"0")</f>
        <v>-410463.61</v>
      </c>
      <c r="AP285" s="8">
        <f>IFERROR(INDEX([1]SuSa_2024!BT:BT,MATCH($B285,[1]SuSa_2024!$B:$B,0)),"0")</f>
        <v>-410463.61</v>
      </c>
      <c r="AQ285" s="8">
        <f>IFERROR(INDEX([1]SuSa_2024!BU:BU,MATCH($B285,[1]SuSa_2024!$B:$B,0)),"0")</f>
        <v>-411838.36</v>
      </c>
      <c r="AR285" s="8">
        <f>IFERROR(INDEX([1]SuSa_2024!BV:BV,MATCH($B285,[1]SuSa_2024!$B:$B,0)),"0")</f>
        <v>-411838.36</v>
      </c>
      <c r="AS285" s="8">
        <f>IFERROR(INDEX([1]SuSa_2024!BW:BW,MATCH($B285,[1]SuSa_2024!$B:$B,0)),"0")</f>
        <v>-411838.36</v>
      </c>
      <c r="AT285" s="8">
        <f>IFERROR(INDEX([1]SuSa_2024!BX:BX,MATCH($B285,[1]SuSa_2024!$B:$B,0)),"0")</f>
        <v>-411838.36</v>
      </c>
      <c r="AU285" s="8">
        <f>IFERROR(INDEX([1]SuSa_2024!BY:BY,MATCH($B285,[1]SuSa_2024!$B:$B,0)),"0")</f>
        <v>-411838.36</v>
      </c>
      <c r="AV285" s="8">
        <f>IFERROR(INDEX([1]SuSa_2025!AR:AR,MATCH($B285,[1]SuSa_2025!$B:$B,0)),"0")</f>
        <v>0</v>
      </c>
      <c r="AW285" s="8">
        <f>IFERROR(INDEX([1]SuSa_2025!AS:AS,MATCH($B285,[1]SuSa_2025!$B:$B,0)),"0")</f>
        <v>0</v>
      </c>
      <c r="AX285" s="8">
        <f>IFERROR(INDEX([1]SuSa_2025!AT:AT,MATCH($B285,[1]SuSa_2025!$B:$B,0)),"0")</f>
        <v>0</v>
      </c>
      <c r="AY285" s="8">
        <f>IFERROR(INDEX([1]SuSa_2025!AU:AU,MATCH($B285,[1]SuSa_2025!$B:$B,0)),"0")</f>
        <v>0</v>
      </c>
      <c r="AZ285" s="8">
        <f>IFERROR(INDEX([1]SuSa_2025!AV:AV,MATCH($B285,[1]SuSa_2025!$B:$B,0)),"0")</f>
        <v>0</v>
      </c>
      <c r="BA285" s="8">
        <f>IFERROR(INDEX([1]SuSa_2025!AW:AW,MATCH($B285,[1]SuSa_2025!$B:$B,0)),"0")</f>
        <v>0</v>
      </c>
      <c r="BB285" s="8">
        <f>IFERROR(INDEX([1]SuSa_2025!AX:AX,MATCH($B285,[1]SuSa_2025!$B:$B,0)),"0")</f>
        <v>0</v>
      </c>
    </row>
    <row r="286" spans="1:54" outlineLevel="1" collapsed="1" x14ac:dyDescent="0.25">
      <c r="A286" s="5" t="s">
        <v>843</v>
      </c>
      <c r="B286" s="6" t="s">
        <v>848</v>
      </c>
      <c r="C286" t="s">
        <v>849</v>
      </c>
      <c r="E286" t="str">
        <f>INDEX([1]Umsatzzuordn.!$J:$J,MATCH(B286,[1]Umsatzzuordn.!$C:$C,0))</f>
        <v>/profit and loss/income/sales/B2C</v>
      </c>
      <c r="F286" s="7">
        <f t="shared" si="25"/>
        <v>0</v>
      </c>
      <c r="G286" s="7">
        <f t="shared" si="26"/>
        <v>-907.61</v>
      </c>
      <c r="H286" s="7">
        <f t="shared" si="27"/>
        <v>42.02</v>
      </c>
      <c r="I286" s="7">
        <f t="shared" si="23"/>
        <v>0</v>
      </c>
      <c r="J286" s="8">
        <f t="shared" si="22"/>
        <v>0</v>
      </c>
      <c r="K286" s="8">
        <f t="shared" si="24"/>
        <v>42.02</v>
      </c>
      <c r="AF286" s="8">
        <v>-297.5</v>
      </c>
      <c r="AG286" s="8">
        <v>8.4</v>
      </c>
      <c r="AH286" s="8">
        <v>-297.5</v>
      </c>
      <c r="AI286" s="8">
        <v>-907.61</v>
      </c>
      <c r="AJ286" s="8">
        <f>IFERROR(INDEX([1]SuSa_2024!BN:BN,MATCH($B286,[1]SuSa_2024!$B:$B,0)),"0")</f>
        <v>0</v>
      </c>
      <c r="AK286" s="8">
        <f>IFERROR(INDEX([1]SuSa_2024!BO:BO,MATCH($B286,[1]SuSa_2024!$B:$B,0)),"0")</f>
        <v>0</v>
      </c>
      <c r="AL286" s="8">
        <f>IFERROR(INDEX([1]SuSa_2024!BP:BP,MATCH($B286,[1]SuSa_2024!$B:$B,0)),"0")</f>
        <v>42.02</v>
      </c>
      <c r="AM286" s="8">
        <f>IFERROR(INDEX([1]SuSa_2024!BQ:BQ,MATCH($B286,[1]SuSa_2024!$B:$B,0)),"0")</f>
        <v>42.02</v>
      </c>
      <c r="AN286" s="8">
        <f>IFERROR(INDEX([1]SuSa_2024!BR:BR,MATCH($B286,[1]SuSa_2024!$B:$B,0)),"0")</f>
        <v>42.02</v>
      </c>
      <c r="AO286" s="8">
        <f>IFERROR(INDEX([1]SuSa_2024!BS:BS,MATCH($B286,[1]SuSa_2024!$B:$B,0)),"0")</f>
        <v>42.02</v>
      </c>
      <c r="AP286" s="8">
        <f>IFERROR(INDEX([1]SuSa_2024!BT:BT,MATCH($B286,[1]SuSa_2024!$B:$B,0)),"0")</f>
        <v>42.02</v>
      </c>
      <c r="AQ286" s="8">
        <f>IFERROR(INDEX([1]SuSa_2024!BU:BU,MATCH($B286,[1]SuSa_2024!$B:$B,0)),"0")</f>
        <v>42.02</v>
      </c>
      <c r="AR286" s="8">
        <f>IFERROR(INDEX([1]SuSa_2024!BV:BV,MATCH($B286,[1]SuSa_2024!$B:$B,0)),"0")</f>
        <v>42.02</v>
      </c>
      <c r="AS286" s="8">
        <f>IFERROR(INDEX([1]SuSa_2024!BW:BW,MATCH($B286,[1]SuSa_2024!$B:$B,0)),"0")</f>
        <v>42.02</v>
      </c>
      <c r="AT286" s="8">
        <f>IFERROR(INDEX([1]SuSa_2024!BX:BX,MATCH($B286,[1]SuSa_2024!$B:$B,0)),"0")</f>
        <v>42.02</v>
      </c>
      <c r="AU286" s="8">
        <f>IFERROR(INDEX([1]SuSa_2024!BY:BY,MATCH($B286,[1]SuSa_2024!$B:$B,0)),"0")</f>
        <v>42.02</v>
      </c>
      <c r="AV286" s="8">
        <f>IFERROR(INDEX([1]SuSa_2025!AR:AR,MATCH($B286,[1]SuSa_2025!$B:$B,0)),"0")</f>
        <v>0</v>
      </c>
      <c r="AW286" s="8">
        <f>IFERROR(INDEX([1]SuSa_2025!AS:AS,MATCH($B286,[1]SuSa_2025!$B:$B,0)),"0")</f>
        <v>0</v>
      </c>
      <c r="AX286" s="8">
        <f>IFERROR(INDEX([1]SuSa_2025!AT:AT,MATCH($B286,[1]SuSa_2025!$B:$B,0)),"0")</f>
        <v>0</v>
      </c>
      <c r="AY286" s="8">
        <f>IFERROR(INDEX([1]SuSa_2025!AU:AU,MATCH($B286,[1]SuSa_2025!$B:$B,0)),"0")</f>
        <v>0</v>
      </c>
      <c r="AZ286" s="8">
        <f>IFERROR(INDEX([1]SuSa_2025!AV:AV,MATCH($B286,[1]SuSa_2025!$B:$B,0)),"0")</f>
        <v>0</v>
      </c>
      <c r="BA286" s="8">
        <f>IFERROR(INDEX([1]SuSa_2025!AW:AW,MATCH($B286,[1]SuSa_2025!$B:$B,0)),"0")</f>
        <v>0</v>
      </c>
      <c r="BB286" s="8">
        <f>IFERROR(INDEX([1]SuSa_2025!AX:AX,MATCH($B286,[1]SuSa_2025!$B:$B,0)),"0")</f>
        <v>0</v>
      </c>
    </row>
    <row r="287" spans="1:54" outlineLevel="1" collapsed="1" x14ac:dyDescent="0.25">
      <c r="A287" s="5" t="s">
        <v>850</v>
      </c>
      <c r="B287" s="6" t="s">
        <v>851</v>
      </c>
      <c r="C287" t="s">
        <v>852</v>
      </c>
      <c r="E287" t="str">
        <f>INDEX([1]Umsatzzuordn.!$J:$J,MATCH(B287,[1]Umsatzzuordn.!$C:$C,0))</f>
        <v>/profit and loss/income/sales/B2B</v>
      </c>
      <c r="F287" s="7">
        <f t="shared" si="25"/>
        <v>-278400</v>
      </c>
      <c r="G287" s="7">
        <f t="shared" si="26"/>
        <v>-1247000</v>
      </c>
      <c r="H287" s="7">
        <f t="shared" si="27"/>
        <v>-206360.44</v>
      </c>
      <c r="I287" s="7">
        <f t="shared" si="23"/>
        <v>-209595.12</v>
      </c>
      <c r="J287" s="8">
        <f t="shared" si="22"/>
        <v>-285138.23</v>
      </c>
      <c r="K287" s="8">
        <f t="shared" si="24"/>
        <v>-130817.33</v>
      </c>
      <c r="N287" s="8">
        <v>-31100</v>
      </c>
      <c r="O287" s="8">
        <v>-51100</v>
      </c>
      <c r="P287" s="8">
        <v>-71600</v>
      </c>
      <c r="Q287" s="8">
        <v>-112600</v>
      </c>
      <c r="R287" s="8">
        <v>-112600</v>
      </c>
      <c r="S287" s="8">
        <v>-112600</v>
      </c>
      <c r="T287" s="8">
        <v>-134600</v>
      </c>
      <c r="U287" s="8">
        <v>-163400</v>
      </c>
      <c r="V287" s="8">
        <v>-200900</v>
      </c>
      <c r="W287" s="8">
        <v>-278400</v>
      </c>
      <c r="X287" s="8">
        <v>-2500</v>
      </c>
      <c r="Y287" s="8">
        <v>-5000</v>
      </c>
      <c r="Z287" s="8">
        <v>-7500</v>
      </c>
      <c r="AA287" s="8">
        <v>-225250</v>
      </c>
      <c r="AB287" s="8">
        <v>-312750</v>
      </c>
      <c r="AC287" s="8">
        <v>-400250</v>
      </c>
      <c r="AD287" s="8">
        <v>-487750</v>
      </c>
      <c r="AE287" s="8">
        <v>-595125</v>
      </c>
      <c r="AF287" s="8">
        <v>-804375</v>
      </c>
      <c r="AG287" s="8">
        <v>-920547.89</v>
      </c>
      <c r="AH287" s="8">
        <v>-1057300</v>
      </c>
      <c r="AI287" s="8">
        <v>-1247000</v>
      </c>
      <c r="AJ287" s="8">
        <f>IFERROR(INDEX([1]SuSa_2024!BN:BN,MATCH($B287,[1]SuSa_2024!$B:$B,0)),"0")</f>
        <v>-18750</v>
      </c>
      <c r="AK287" s="8">
        <f>IFERROR(INDEX([1]SuSa_2024!BO:BO,MATCH($B287,[1]SuSa_2024!$B:$B,0)),"0")</f>
        <v>-68711.55</v>
      </c>
      <c r="AL287" s="8">
        <f>IFERROR(INDEX([1]SuSa_2024!BP:BP,MATCH($B287,[1]SuSa_2024!$B:$B,0)),"0")</f>
        <v>-103355.98000000001</v>
      </c>
      <c r="AM287" s="8">
        <f>IFERROR(INDEX([1]SuSa_2024!BQ:BQ,MATCH($B287,[1]SuSa_2024!$B:$B,0)),"0")</f>
        <v>-124971.04000000001</v>
      </c>
      <c r="AN287" s="8">
        <f>IFERROR(INDEX([1]SuSa_2024!BR:BR,MATCH($B287,[1]SuSa_2024!$B:$B,0)),"0")</f>
        <v>-140943.53</v>
      </c>
      <c r="AO287" s="8">
        <f>IFERROR(INDEX([1]SuSa_2024!BS:BS,MATCH($B287,[1]SuSa_2024!$B:$B,0)),"0")</f>
        <v>-130123.16</v>
      </c>
      <c r="AP287" s="8">
        <f>IFERROR(INDEX([1]SuSa_2024!BT:BT,MATCH($B287,[1]SuSa_2024!$B:$B,0)),"0")</f>
        <v>-130817.33</v>
      </c>
      <c r="AQ287" s="8">
        <f>IFERROR(INDEX([1]SuSa_2024!BU:BU,MATCH($B287,[1]SuSa_2024!$B:$B,0)),"0")</f>
        <v>-184033.95</v>
      </c>
      <c r="AR287" s="8">
        <f>IFERROR(INDEX([1]SuSa_2024!BV:BV,MATCH($B287,[1]SuSa_2024!$B:$B,0)),"0")</f>
        <v>-191801.17</v>
      </c>
      <c r="AS287" s="8">
        <f>IFERROR(INDEX([1]SuSa_2024!BW:BW,MATCH($B287,[1]SuSa_2024!$B:$B,0)),"0")</f>
        <v>-206919.56</v>
      </c>
      <c r="AT287" s="8">
        <f>IFERROR(INDEX([1]SuSa_2024!BX:BX,MATCH($B287,[1]SuSa_2024!$B:$B,0)),"0")</f>
        <v>-214686.78</v>
      </c>
      <c r="AU287" s="8">
        <f>IFERROR(INDEX([1]SuSa_2024!BY:BY,MATCH($B287,[1]SuSa_2024!$B:$B,0)),"0")</f>
        <v>-206360.44</v>
      </c>
      <c r="AV287" s="8">
        <f>IFERROR(INDEX([1]SuSa_2025!AR:AR,MATCH($B287,[1]SuSa_2025!$B:$B,0)),"0")</f>
        <v>-6484.31</v>
      </c>
      <c r="AW287" s="8">
        <f>IFERROR(INDEX([1]SuSa_2025!AS:AS,MATCH($B287,[1]SuSa_2025!$B:$B,0)),"0")</f>
        <v>-13412.39</v>
      </c>
      <c r="AX287" s="8">
        <f>IFERROR(INDEX([1]SuSa_2025!AT:AT,MATCH($B287,[1]SuSa_2025!$B:$B,0)),"0")</f>
        <v>-33398.399999999994</v>
      </c>
      <c r="AY287" s="8">
        <f>IFERROR(INDEX([1]SuSa_2025!AU:AU,MATCH($B287,[1]SuSa_2025!$B:$B,0)),"0")</f>
        <v>-61509.569999999992</v>
      </c>
      <c r="AZ287" s="8">
        <f>IFERROR(INDEX([1]SuSa_2025!AV:AV,MATCH($B287,[1]SuSa_2025!$B:$B,0)),"0")</f>
        <v>-131299.84</v>
      </c>
      <c r="BA287" s="8">
        <f>IFERROR(INDEX([1]SuSa_2025!AW:AW,MATCH($B287,[1]SuSa_2025!$B:$B,0)),"0")</f>
        <v>-200087.97</v>
      </c>
      <c r="BB287" s="8">
        <f>IFERROR(INDEX([1]SuSa_2025!AX:AX,MATCH($B287,[1]SuSa_2025!$B:$B,0)),"0")</f>
        <v>-209595.12</v>
      </c>
    </row>
    <row r="288" spans="1:54" outlineLevel="1" collapsed="1" x14ac:dyDescent="0.25">
      <c r="A288" s="5" t="s">
        <v>850</v>
      </c>
      <c r="B288" s="6" t="s">
        <v>853</v>
      </c>
      <c r="C288" t="s">
        <v>854</v>
      </c>
      <c r="E288" t="str">
        <f>INDEX([1]Umsatzzuordn.!$J:$J,MATCH(B288,[1]Umsatzzuordn.!$C:$C,0))</f>
        <v>/profit and loss/income/sales/B2B</v>
      </c>
      <c r="F288" s="7">
        <f t="shared" si="25"/>
        <v>0</v>
      </c>
      <c r="G288" s="7">
        <f t="shared" si="26"/>
        <v>-48000</v>
      </c>
      <c r="H288" s="7">
        <f t="shared" si="27"/>
        <v>-24350</v>
      </c>
      <c r="I288" s="7">
        <f t="shared" si="23"/>
        <v>-20125</v>
      </c>
      <c r="J288" s="8">
        <f t="shared" ref="J288:J318" si="28">H288+I288-AP288</f>
        <v>-44475</v>
      </c>
      <c r="K288" s="8">
        <f t="shared" si="24"/>
        <v>0</v>
      </c>
      <c r="AI288" s="8">
        <v>-48000</v>
      </c>
      <c r="AJ288" s="8">
        <f>IFERROR(INDEX([1]SuSa_2024!BN:BN,MATCH($B288,[1]SuSa_2024!$B:$B,0)),"0")</f>
        <v>0</v>
      </c>
      <c r="AK288" s="8">
        <f>IFERROR(INDEX([1]SuSa_2024!BO:BO,MATCH($B288,[1]SuSa_2024!$B:$B,0)),"0")</f>
        <v>0</v>
      </c>
      <c r="AL288" s="8">
        <f>IFERROR(INDEX([1]SuSa_2024!BP:BP,MATCH($B288,[1]SuSa_2024!$B:$B,0)),"0")</f>
        <v>0</v>
      </c>
      <c r="AM288" s="8">
        <f>IFERROR(INDEX([1]SuSa_2024!BQ:BQ,MATCH($B288,[1]SuSa_2024!$B:$B,0)),"0")</f>
        <v>0</v>
      </c>
      <c r="AN288" s="8">
        <f>IFERROR(INDEX([1]SuSa_2024!BR:BR,MATCH($B288,[1]SuSa_2024!$B:$B,0)),"0")</f>
        <v>0</v>
      </c>
      <c r="AO288" s="8">
        <f>IFERROR(INDEX([1]SuSa_2024!BS:BS,MATCH($B288,[1]SuSa_2024!$B:$B,0)),"0")</f>
        <v>0</v>
      </c>
      <c r="AP288" s="8">
        <f>IFERROR(INDEX([1]SuSa_2024!BT:BT,MATCH($B288,[1]SuSa_2024!$B:$B,0)),"0")</f>
        <v>0</v>
      </c>
      <c r="AQ288" s="8">
        <f>IFERROR(INDEX([1]SuSa_2024!BU:BU,MATCH($B288,[1]SuSa_2024!$B:$B,0)),"0")</f>
        <v>0</v>
      </c>
      <c r="AR288" s="8">
        <f>IFERROR(INDEX([1]SuSa_2024!BV:BV,MATCH($B288,[1]SuSa_2024!$B:$B,0)),"0")</f>
        <v>0</v>
      </c>
      <c r="AS288" s="8">
        <f>IFERROR(INDEX([1]SuSa_2024!BW:BW,MATCH($B288,[1]SuSa_2024!$B:$B,0)),"0")</f>
        <v>0</v>
      </c>
      <c r="AT288" s="8">
        <f>IFERROR(INDEX([1]SuSa_2024!BX:BX,MATCH($B288,[1]SuSa_2024!$B:$B,0)),"0")</f>
        <v>0</v>
      </c>
      <c r="AU288" s="8">
        <f>IFERROR(INDEX([1]SuSa_2024!BY:BY,MATCH($B288,[1]SuSa_2024!$B:$B,0)),"0")</f>
        <v>-24350</v>
      </c>
      <c r="AV288" s="8">
        <f>IFERROR(INDEX([1]SuSa_2025!AR:AR,MATCH($B288,[1]SuSa_2025!$B:$B,0)),"0")</f>
        <v>-2875</v>
      </c>
      <c r="AW288" s="8">
        <f>IFERROR(INDEX([1]SuSa_2025!AS:AS,MATCH($B288,[1]SuSa_2025!$B:$B,0)),"0")</f>
        <v>-5750</v>
      </c>
      <c r="AX288" s="8">
        <f>IFERROR(INDEX([1]SuSa_2025!AT:AT,MATCH($B288,[1]SuSa_2025!$B:$B,0)),"0")</f>
        <v>-8625</v>
      </c>
      <c r="AY288" s="8">
        <f>IFERROR(INDEX([1]SuSa_2025!AU:AU,MATCH($B288,[1]SuSa_2025!$B:$B,0)),"0")</f>
        <v>-11500</v>
      </c>
      <c r="AZ288" s="8">
        <f>IFERROR(INDEX([1]SuSa_2025!AV:AV,MATCH($B288,[1]SuSa_2025!$B:$B,0)),"0")</f>
        <v>-14375</v>
      </c>
      <c r="BA288" s="8">
        <f>IFERROR(INDEX([1]SuSa_2025!AW:AW,MATCH($B288,[1]SuSa_2025!$B:$B,0)),"0")</f>
        <v>-17250</v>
      </c>
      <c r="BB288" s="8">
        <f>IFERROR(INDEX([1]SuSa_2025!AX:AX,MATCH($B288,[1]SuSa_2025!$B:$B,0)),"0")</f>
        <v>-20125</v>
      </c>
    </row>
    <row r="289" spans="1:54" outlineLevel="1" collapsed="1" x14ac:dyDescent="0.25">
      <c r="A289" s="5" t="s">
        <v>855</v>
      </c>
      <c r="B289" s="6" t="s">
        <v>856</v>
      </c>
      <c r="C289" t="s">
        <v>857</v>
      </c>
      <c r="E289" t="str">
        <f>INDEX([1]Umsatzzuordn.!$J:$J,MATCH(B289,[1]Umsatzzuordn.!$C:$C,0))</f>
        <v>/profit and loss/income/sales/other</v>
      </c>
      <c r="F289" s="7">
        <f t="shared" si="25"/>
        <v>0</v>
      </c>
      <c r="G289" s="7">
        <f t="shared" si="26"/>
        <v>72</v>
      </c>
      <c r="H289" s="7">
        <f t="shared" si="27"/>
        <v>0</v>
      </c>
      <c r="I289" s="7" t="str">
        <f t="shared" si="23"/>
        <v>0</v>
      </c>
      <c r="J289" s="8">
        <f t="shared" si="28"/>
        <v>0</v>
      </c>
      <c r="K289" s="8">
        <f t="shared" si="24"/>
        <v>0</v>
      </c>
      <c r="AI289" s="8">
        <v>72</v>
      </c>
      <c r="AJ289" s="8">
        <f>IFERROR(INDEX([1]SuSa_2024!BN:BN,MATCH($B289,[1]SuSa_2024!$B:$B,0)),"0")</f>
        <v>0</v>
      </c>
      <c r="AK289" s="8">
        <f>IFERROR(INDEX([1]SuSa_2024!BO:BO,MATCH($B289,[1]SuSa_2024!$B:$B,0)),"0")</f>
        <v>0</v>
      </c>
      <c r="AL289" s="8">
        <f>IFERROR(INDEX([1]SuSa_2024!BP:BP,MATCH($B289,[1]SuSa_2024!$B:$B,0)),"0")</f>
        <v>0</v>
      </c>
      <c r="AM289" s="8">
        <f>IFERROR(INDEX([1]SuSa_2024!BQ:BQ,MATCH($B289,[1]SuSa_2024!$B:$B,0)),"0")</f>
        <v>0</v>
      </c>
      <c r="AN289" s="8">
        <f>IFERROR(INDEX([1]SuSa_2024!BR:BR,MATCH($B289,[1]SuSa_2024!$B:$B,0)),"0")</f>
        <v>0</v>
      </c>
      <c r="AO289" s="8">
        <f>IFERROR(INDEX([1]SuSa_2024!BS:BS,MATCH($B289,[1]SuSa_2024!$B:$B,0)),"0")</f>
        <v>0</v>
      </c>
      <c r="AP289" s="8">
        <f>IFERROR(INDEX([1]SuSa_2024!BT:BT,MATCH($B289,[1]SuSa_2024!$B:$B,0)),"0")</f>
        <v>0</v>
      </c>
      <c r="AQ289" s="8">
        <f>IFERROR(INDEX([1]SuSa_2024!BU:BU,MATCH($B289,[1]SuSa_2024!$B:$B,0)),"0")</f>
        <v>0</v>
      </c>
      <c r="AR289" s="8">
        <f>IFERROR(INDEX([1]SuSa_2024!BV:BV,MATCH($B289,[1]SuSa_2024!$B:$B,0)),"0")</f>
        <v>0</v>
      </c>
      <c r="AS289" s="8">
        <f>IFERROR(INDEX([1]SuSa_2024!BW:BW,MATCH($B289,[1]SuSa_2024!$B:$B,0)),"0")</f>
        <v>0</v>
      </c>
      <c r="AT289" s="8">
        <f>IFERROR(INDEX([1]SuSa_2024!BX:BX,MATCH($B289,[1]SuSa_2024!$B:$B,0)),"0")</f>
        <v>0</v>
      </c>
      <c r="AU289" s="8">
        <f>IFERROR(INDEX([1]SuSa_2024!BY:BY,MATCH($B289,[1]SuSa_2024!$B:$B,0)),"0")</f>
        <v>0</v>
      </c>
      <c r="AV289" s="8" t="str">
        <f>IFERROR(INDEX([1]SuSa_2025!AR:AR,MATCH($B289,[1]SuSa_2025!$B:$B,0)),"0")</f>
        <v>0</v>
      </c>
      <c r="AW289" s="8" t="str">
        <f>IFERROR(INDEX([1]SuSa_2025!AS:AS,MATCH($B289,[1]SuSa_2025!$B:$B,0)),"0")</f>
        <v>0</v>
      </c>
      <c r="AX289" s="8" t="str">
        <f>IFERROR(INDEX([1]SuSa_2025!AT:AT,MATCH($B289,[1]SuSa_2025!$B:$B,0)),"0")</f>
        <v>0</v>
      </c>
      <c r="AY289" s="8" t="str">
        <f>IFERROR(INDEX([1]SuSa_2025!AU:AU,MATCH($B289,[1]SuSa_2025!$B:$B,0)),"0")</f>
        <v>0</v>
      </c>
      <c r="AZ289" s="8" t="str">
        <f>IFERROR(INDEX([1]SuSa_2025!AV:AV,MATCH($B289,[1]SuSa_2025!$B:$B,0)),"0")</f>
        <v>0</v>
      </c>
      <c r="BA289" s="8" t="str">
        <f>IFERROR(INDEX([1]SuSa_2025!AW:AW,MATCH($B289,[1]SuSa_2025!$B:$B,0)),"0")</f>
        <v>0</v>
      </c>
      <c r="BB289" s="8" t="str">
        <f>IFERROR(INDEX([1]SuSa_2025!AX:AX,MATCH($B289,[1]SuSa_2025!$B:$B,0)),"0")</f>
        <v>0</v>
      </c>
    </row>
    <row r="290" spans="1:54" outlineLevel="1" collapsed="1" x14ac:dyDescent="0.25">
      <c r="A290" s="5" t="s">
        <v>858</v>
      </c>
      <c r="B290" s="6" t="s">
        <v>859</v>
      </c>
      <c r="C290" t="s">
        <v>860</v>
      </c>
      <c r="E290" t="str">
        <f>INDEX([1]Umsatzzuordn.!$J:$J,MATCH(B290,[1]Umsatzzuordn.!$C:$C,0))</f>
        <v>/profit and loss/income/sales/B2B</v>
      </c>
      <c r="F290" s="7">
        <f t="shared" si="25"/>
        <v>-58125.7</v>
      </c>
      <c r="G290" s="7">
        <f t="shared" si="26"/>
        <v>-563669.75</v>
      </c>
      <c r="H290" s="7">
        <f t="shared" si="27"/>
        <v>-45929.98</v>
      </c>
      <c r="I290" s="7">
        <f t="shared" si="23"/>
        <v>-23804.219999999998</v>
      </c>
      <c r="J290" s="8">
        <f t="shared" si="28"/>
        <v>-69734.2</v>
      </c>
      <c r="K290" s="8">
        <f t="shared" si="24"/>
        <v>0</v>
      </c>
      <c r="N290" s="8">
        <v>-7036.67</v>
      </c>
      <c r="O290" s="8">
        <v>-20478.099999999999</v>
      </c>
      <c r="P290" s="8">
        <v>-30760.85</v>
      </c>
      <c r="Q290" s="8">
        <v>-30760.85</v>
      </c>
      <c r="R290" s="8">
        <v>-34908.25</v>
      </c>
      <c r="S290" s="8">
        <v>-42783.68</v>
      </c>
      <c r="T290" s="8">
        <v>-42783.68</v>
      </c>
      <c r="U290" s="8">
        <v>-46254.35</v>
      </c>
      <c r="V290" s="8">
        <v>-46254.35</v>
      </c>
      <c r="W290" s="8">
        <v>-58125.7</v>
      </c>
      <c r="Z290" s="8">
        <v>-802.21</v>
      </c>
      <c r="AA290" s="8">
        <v>-802.21</v>
      </c>
      <c r="AB290" s="8">
        <v>-804.53</v>
      </c>
      <c r="AC290" s="8">
        <v>-815.37</v>
      </c>
      <c r="AD290" s="8">
        <v>-820.18</v>
      </c>
      <c r="AE290" s="8">
        <v>-820.18</v>
      </c>
      <c r="AF290" s="8">
        <v>-820.18</v>
      </c>
      <c r="AG290" s="8">
        <v>-820.18</v>
      </c>
      <c r="AH290" s="8">
        <v>-176163.3</v>
      </c>
      <c r="AI290" s="8">
        <v>-563669.75</v>
      </c>
      <c r="AJ290" s="8">
        <f>IFERROR(INDEX([1]SuSa_2024!BN:BN,MATCH($B290,[1]SuSa_2024!$B:$B,0)),"0")</f>
        <v>0</v>
      </c>
      <c r="AK290" s="8">
        <f>IFERROR(INDEX([1]SuSa_2024!BO:BO,MATCH($B290,[1]SuSa_2024!$B:$B,0)),"0")</f>
        <v>0</v>
      </c>
      <c r="AL290" s="8">
        <f>IFERROR(INDEX([1]SuSa_2024!BP:BP,MATCH($B290,[1]SuSa_2024!$B:$B,0)),"0")</f>
        <v>0</v>
      </c>
      <c r="AM290" s="8">
        <f>IFERROR(INDEX([1]SuSa_2024!BQ:BQ,MATCH($B290,[1]SuSa_2024!$B:$B,0)),"0")</f>
        <v>0</v>
      </c>
      <c r="AN290" s="8">
        <f>IFERROR(INDEX([1]SuSa_2024!BR:BR,MATCH($B290,[1]SuSa_2024!$B:$B,0)),"0")</f>
        <v>0</v>
      </c>
      <c r="AO290" s="8">
        <f>IFERROR(INDEX([1]SuSa_2024!BS:BS,MATCH($B290,[1]SuSa_2024!$B:$B,0)),"0")</f>
        <v>0</v>
      </c>
      <c r="AP290" s="8">
        <f>IFERROR(INDEX([1]SuSa_2024!BT:BT,MATCH($B290,[1]SuSa_2024!$B:$B,0)),"0")</f>
        <v>0</v>
      </c>
      <c r="AQ290" s="8">
        <f>IFERROR(INDEX([1]SuSa_2024!BU:BU,MATCH($B290,[1]SuSa_2024!$B:$B,0)),"0")</f>
        <v>0</v>
      </c>
      <c r="AR290" s="8">
        <f>IFERROR(INDEX([1]SuSa_2024!BV:BV,MATCH($B290,[1]SuSa_2024!$B:$B,0)),"0")</f>
        <v>0</v>
      </c>
      <c r="AS290" s="8">
        <f>IFERROR(INDEX([1]SuSa_2024!BW:BW,MATCH($B290,[1]SuSa_2024!$B:$B,0)),"0")</f>
        <v>0</v>
      </c>
      <c r="AT290" s="8">
        <f>IFERROR(INDEX([1]SuSa_2024!BX:BX,MATCH($B290,[1]SuSa_2024!$B:$B,0)),"0")</f>
        <v>0</v>
      </c>
      <c r="AU290" s="8">
        <f>IFERROR(INDEX([1]SuSa_2024!BY:BY,MATCH($B290,[1]SuSa_2024!$B:$B,0)),"0")</f>
        <v>-45929.98</v>
      </c>
      <c r="AV290" s="8">
        <f>IFERROR(INDEX([1]SuSa_2025!AR:AR,MATCH($B290,[1]SuSa_2025!$B:$B,0)),"0")</f>
        <v>-11725.33</v>
      </c>
      <c r="AW290" s="8">
        <f>IFERROR(INDEX([1]SuSa_2025!AS:AS,MATCH($B290,[1]SuSa_2025!$B:$B,0)),"0")</f>
        <v>-23450.67</v>
      </c>
      <c r="AX290" s="8">
        <f>IFERROR(INDEX([1]SuSa_2025!AT:AT,MATCH($B290,[1]SuSa_2025!$B:$B,0)),"0")</f>
        <v>-23450.67</v>
      </c>
      <c r="AY290" s="8">
        <f>IFERROR(INDEX([1]SuSa_2025!AU:AU,MATCH($B290,[1]SuSa_2025!$B:$B,0)),"0")</f>
        <v>-23450.67</v>
      </c>
      <c r="AZ290" s="8">
        <f>IFERROR(INDEX([1]SuSa_2025!AV:AV,MATCH($B290,[1]SuSa_2025!$B:$B,0)),"0")</f>
        <v>-23450.67</v>
      </c>
      <c r="BA290" s="8">
        <f>IFERROR(INDEX([1]SuSa_2025!AW:AW,MATCH($B290,[1]SuSa_2025!$B:$B,0)),"0")</f>
        <v>-23804.219999999998</v>
      </c>
      <c r="BB290" s="8">
        <f>IFERROR(INDEX([1]SuSa_2025!AX:AX,MATCH($B290,[1]SuSa_2025!$B:$B,0)),"0")</f>
        <v>-23804.219999999998</v>
      </c>
    </row>
    <row r="291" spans="1:54" outlineLevel="1" collapsed="1" x14ac:dyDescent="0.25">
      <c r="A291" s="5" t="s">
        <v>861</v>
      </c>
      <c r="B291" s="6" t="s">
        <v>862</v>
      </c>
      <c r="C291" t="s">
        <v>863</v>
      </c>
      <c r="E291" t="str">
        <f>INDEX([1]Umsatzzuordn.!$J:$J,MATCH(B291,[1]Umsatzzuordn.!$C:$C,0))</f>
        <v>/profit and loss/income/sales/B2B</v>
      </c>
      <c r="F291" s="7">
        <f t="shared" si="25"/>
        <v>-424793</v>
      </c>
      <c r="G291" s="7">
        <f t="shared" si="26"/>
        <v>-531910.38</v>
      </c>
      <c r="H291" s="7">
        <f t="shared" si="27"/>
        <v>-43806</v>
      </c>
      <c r="I291" s="7">
        <f t="shared" si="23"/>
        <v>0</v>
      </c>
      <c r="J291" s="8">
        <f t="shared" si="28"/>
        <v>-30806</v>
      </c>
      <c r="K291" s="8">
        <f t="shared" si="24"/>
        <v>-13000</v>
      </c>
      <c r="M291" s="8">
        <v>-900</v>
      </c>
      <c r="N291" s="8">
        <v>-80853.33</v>
      </c>
      <c r="O291" s="8">
        <v>-107504.44</v>
      </c>
      <c r="P291" s="8">
        <v>-134155.54999999999</v>
      </c>
      <c r="Q291" s="8">
        <v>-160806.66</v>
      </c>
      <c r="R291" s="8">
        <v>-192401.6</v>
      </c>
      <c r="S291" s="8">
        <v>-223996.54</v>
      </c>
      <c r="T291" s="8">
        <v>-255591.49</v>
      </c>
      <c r="U291" s="8">
        <v>-293446.98</v>
      </c>
      <c r="V291" s="8">
        <v>-381340.47</v>
      </c>
      <c r="W291" s="8">
        <v>-424793</v>
      </c>
      <c r="AE291" s="8">
        <v>-182802.58</v>
      </c>
      <c r="AF291" s="8">
        <v>-269200.08</v>
      </c>
      <c r="AG291" s="8">
        <v>-355597.58</v>
      </c>
      <c r="AH291" s="8">
        <v>-484558.41</v>
      </c>
      <c r="AI291" s="8">
        <v>-531910.38</v>
      </c>
      <c r="AJ291" s="8">
        <f>IFERROR(INDEX([1]SuSa_2024!BN:BN,MATCH($B291,[1]SuSa_2024!$B:$B,0)),"0")</f>
        <v>-13000</v>
      </c>
      <c r="AK291" s="8">
        <f>IFERROR(INDEX([1]SuSa_2024!BO:BO,MATCH($B291,[1]SuSa_2024!$B:$B,0)),"0")</f>
        <v>-13000</v>
      </c>
      <c r="AL291" s="8">
        <f>IFERROR(INDEX([1]SuSa_2024!BP:BP,MATCH($B291,[1]SuSa_2024!$B:$B,0)),"0")</f>
        <v>-13000</v>
      </c>
      <c r="AM291" s="8">
        <f>IFERROR(INDEX([1]SuSa_2024!BQ:BQ,MATCH($B291,[1]SuSa_2024!$B:$B,0)),"0")</f>
        <v>-13000</v>
      </c>
      <c r="AN291" s="8">
        <f>IFERROR(INDEX([1]SuSa_2024!BR:BR,MATCH($B291,[1]SuSa_2024!$B:$B,0)),"0")</f>
        <v>-13000</v>
      </c>
      <c r="AO291" s="8">
        <f>IFERROR(INDEX([1]SuSa_2024!BS:BS,MATCH($B291,[1]SuSa_2024!$B:$B,0)),"0")</f>
        <v>-13000</v>
      </c>
      <c r="AP291" s="8">
        <f>IFERROR(INDEX([1]SuSa_2024!BT:BT,MATCH($B291,[1]SuSa_2024!$B:$B,0)),"0")</f>
        <v>-13000</v>
      </c>
      <c r="AQ291" s="8">
        <f>IFERROR(INDEX([1]SuSa_2024!BU:BU,MATCH($B291,[1]SuSa_2024!$B:$B,0)),"0")</f>
        <v>-13000</v>
      </c>
      <c r="AR291" s="8">
        <f>IFERROR(INDEX([1]SuSa_2024!BV:BV,MATCH($B291,[1]SuSa_2024!$B:$B,0)),"0")</f>
        <v>-25258</v>
      </c>
      <c r="AS291" s="8">
        <f>IFERROR(INDEX([1]SuSa_2024!BW:BW,MATCH($B291,[1]SuSa_2024!$B:$B,0)),"0")</f>
        <v>-37258</v>
      </c>
      <c r="AT291" s="8">
        <f>IFERROR(INDEX([1]SuSa_2024!BX:BX,MATCH($B291,[1]SuSa_2024!$B:$B,0)),"0")</f>
        <v>-37258</v>
      </c>
      <c r="AU291" s="8">
        <f>IFERROR(INDEX([1]SuSa_2024!BY:BY,MATCH($B291,[1]SuSa_2024!$B:$B,0)),"0")</f>
        <v>-43806</v>
      </c>
      <c r="AV291" s="8">
        <f>IFERROR(INDEX([1]SuSa_2025!AR:AR,MATCH($B291,[1]SuSa_2025!$B:$B,0)),"0")</f>
        <v>0</v>
      </c>
      <c r="AW291" s="8">
        <f>IFERROR(INDEX([1]SuSa_2025!AS:AS,MATCH($B291,[1]SuSa_2025!$B:$B,0)),"0")</f>
        <v>0</v>
      </c>
      <c r="AX291" s="8">
        <f>IFERROR(INDEX([1]SuSa_2025!AT:AT,MATCH($B291,[1]SuSa_2025!$B:$B,0)),"0")</f>
        <v>0</v>
      </c>
      <c r="AY291" s="8">
        <f>IFERROR(INDEX([1]SuSa_2025!AU:AU,MATCH($B291,[1]SuSa_2025!$B:$B,0)),"0")</f>
        <v>0</v>
      </c>
      <c r="AZ291" s="8">
        <f>IFERROR(INDEX([1]SuSa_2025!AV:AV,MATCH($B291,[1]SuSa_2025!$B:$B,0)),"0")</f>
        <v>0</v>
      </c>
      <c r="BA291" s="8">
        <f>IFERROR(INDEX([1]SuSa_2025!AW:AW,MATCH($B291,[1]SuSa_2025!$B:$B,0)),"0")</f>
        <v>0</v>
      </c>
      <c r="BB291" s="8">
        <f>IFERROR(INDEX([1]SuSa_2025!AX:AX,MATCH($B291,[1]SuSa_2025!$B:$B,0)),"0")</f>
        <v>0</v>
      </c>
    </row>
    <row r="292" spans="1:54" outlineLevel="1" collapsed="1" x14ac:dyDescent="0.25">
      <c r="A292" s="5" t="s">
        <v>861</v>
      </c>
      <c r="B292" s="6" t="s">
        <v>864</v>
      </c>
      <c r="C292" t="s">
        <v>865</v>
      </c>
      <c r="E292" t="str">
        <f>INDEX([1]Umsatzzuordn.!$J:$J,MATCH(B292,[1]Umsatzzuordn.!$C:$C,0))</f>
        <v>/profit and loss/income/sales/BSH</v>
      </c>
      <c r="F292" s="7">
        <f t="shared" si="25"/>
        <v>0</v>
      </c>
      <c r="G292" s="7">
        <f t="shared" si="26"/>
        <v>-611815.15</v>
      </c>
      <c r="H292" s="7">
        <f t="shared" si="27"/>
        <v>-210013.34000000003</v>
      </c>
      <c r="I292" s="7">
        <f t="shared" si="23"/>
        <v>0</v>
      </c>
      <c r="J292" s="8">
        <f t="shared" si="28"/>
        <v>-13573.340000000026</v>
      </c>
      <c r="K292" s="8">
        <f t="shared" si="24"/>
        <v>-196440</v>
      </c>
      <c r="X292" s="8">
        <v>-93525.33</v>
      </c>
      <c r="Y292" s="8">
        <v>-187050.66</v>
      </c>
      <c r="Z292" s="8">
        <v>-341246.74</v>
      </c>
      <c r="AA292" s="8">
        <v>-434772.07</v>
      </c>
      <c r="AB292" s="8">
        <v>-528297.4</v>
      </c>
      <c r="AC292" s="8">
        <v>-621822.73</v>
      </c>
      <c r="AD292" s="8">
        <v>-641020.9</v>
      </c>
      <c r="AE292" s="8">
        <v>-611815.15</v>
      </c>
      <c r="AF292" s="8">
        <v>-611815.15</v>
      </c>
      <c r="AG292" s="8">
        <v>-611815.15</v>
      </c>
      <c r="AH292" s="8">
        <v>-611815.15</v>
      </c>
      <c r="AI292" s="8">
        <v>-611815.15</v>
      </c>
      <c r="AJ292" s="8">
        <f>IFERROR(INDEX([1]SuSa_2024!BN:BN,MATCH($B292,[1]SuSa_2024!$B:$B,0)),"0")</f>
        <v>-32741</v>
      </c>
      <c r="AK292" s="8">
        <f>IFERROR(INDEX([1]SuSa_2024!BO:BO,MATCH($B292,[1]SuSa_2024!$B:$B,0)),"0")</f>
        <v>-65480</v>
      </c>
      <c r="AL292" s="8">
        <f>IFERROR(INDEX([1]SuSa_2024!BP:BP,MATCH($B292,[1]SuSa_2024!$B:$B,0)),"0")</f>
        <v>-75063.33</v>
      </c>
      <c r="AM292" s="8">
        <f>IFERROR(INDEX([1]SuSa_2024!BQ:BQ,MATCH($B292,[1]SuSa_2024!$B:$B,0)),"0")</f>
        <v>-107803.33</v>
      </c>
      <c r="AN292" s="8">
        <f>IFERROR(INDEX([1]SuSa_2024!BR:BR,MATCH($B292,[1]SuSa_2024!$B:$B,0)),"0")</f>
        <v>-140543.33000000002</v>
      </c>
      <c r="AO292" s="8">
        <f>IFERROR(INDEX([1]SuSa_2024!BS:BS,MATCH($B292,[1]SuSa_2024!$B:$B,0)),"0")</f>
        <v>-173283.33000000002</v>
      </c>
      <c r="AP292" s="8">
        <f>IFERROR(INDEX([1]SuSa_2024!BT:BT,MATCH($B292,[1]SuSa_2024!$B:$B,0)),"0")</f>
        <v>-196440</v>
      </c>
      <c r="AQ292" s="8">
        <f>IFERROR(INDEX([1]SuSa_2024!BU:BU,MATCH($B292,[1]SuSa_2024!$B:$B,0)),"0")</f>
        <v>-186856.67</v>
      </c>
      <c r="AR292" s="8">
        <f>IFERROR(INDEX([1]SuSa_2024!BV:BV,MATCH($B292,[1]SuSa_2024!$B:$B,0)),"0")</f>
        <v>-210013.34000000003</v>
      </c>
      <c r="AS292" s="8">
        <f>IFERROR(INDEX([1]SuSa_2024!BW:BW,MATCH($B292,[1]SuSa_2024!$B:$B,0)),"0")</f>
        <v>-210013.34000000003</v>
      </c>
      <c r="AT292" s="8">
        <f>IFERROR(INDEX([1]SuSa_2024!BX:BX,MATCH($B292,[1]SuSa_2024!$B:$B,0)),"0")</f>
        <v>-210013.34000000003</v>
      </c>
      <c r="AU292" s="8">
        <f>IFERROR(INDEX([1]SuSa_2024!BY:BY,MATCH($B292,[1]SuSa_2024!$B:$B,0)),"0")</f>
        <v>-210013.34000000003</v>
      </c>
      <c r="AV292" s="8">
        <f>IFERROR(INDEX([1]SuSa_2025!AR:AR,MATCH($B292,[1]SuSa_2025!$B:$B,0)),"0")</f>
        <v>0</v>
      </c>
      <c r="AW292" s="8">
        <f>IFERROR(INDEX([1]SuSa_2025!AS:AS,MATCH($B292,[1]SuSa_2025!$B:$B,0)),"0")</f>
        <v>0</v>
      </c>
      <c r="AX292" s="8">
        <f>IFERROR(INDEX([1]SuSa_2025!AT:AT,MATCH($B292,[1]SuSa_2025!$B:$B,0)),"0")</f>
        <v>0</v>
      </c>
      <c r="AY292" s="8">
        <f>IFERROR(INDEX([1]SuSa_2025!AU:AU,MATCH($B292,[1]SuSa_2025!$B:$B,0)),"0")</f>
        <v>0</v>
      </c>
      <c r="AZ292" s="8">
        <f>IFERROR(INDEX([1]SuSa_2025!AV:AV,MATCH($B292,[1]SuSa_2025!$B:$B,0)),"0")</f>
        <v>0</v>
      </c>
      <c r="BA292" s="8">
        <f>IFERROR(INDEX([1]SuSa_2025!AW:AW,MATCH($B292,[1]SuSa_2025!$B:$B,0)),"0")</f>
        <v>0</v>
      </c>
      <c r="BB292" s="8">
        <f>IFERROR(INDEX([1]SuSa_2025!AX:AX,MATCH($B292,[1]SuSa_2025!$B:$B,0)),"0")</f>
        <v>0</v>
      </c>
    </row>
    <row r="293" spans="1:54" outlineLevel="1" collapsed="1" x14ac:dyDescent="0.25">
      <c r="A293" s="5" t="s">
        <v>861</v>
      </c>
      <c r="B293" s="6" t="s">
        <v>866</v>
      </c>
      <c r="C293" t="s">
        <v>867</v>
      </c>
      <c r="E293" t="str">
        <f>INDEX([1]Umsatzzuordn.!$J:$J,MATCH(B293,[1]Umsatzzuordn.!$C:$C,0))</f>
        <v>/profit and loss/income/sales/BSH</v>
      </c>
      <c r="F293" s="7">
        <f t="shared" si="25"/>
        <v>0</v>
      </c>
      <c r="G293" s="7">
        <f t="shared" si="26"/>
        <v>-116172.89</v>
      </c>
      <c r="H293" s="7">
        <f t="shared" si="27"/>
        <v>-29166.7</v>
      </c>
      <c r="I293" s="7">
        <f t="shared" si="23"/>
        <v>0</v>
      </c>
      <c r="J293" s="8">
        <f t="shared" si="28"/>
        <v>5833.34</v>
      </c>
      <c r="K293" s="8">
        <f t="shared" si="24"/>
        <v>-35000.04</v>
      </c>
      <c r="AB293" s="8">
        <v>-66790.240000000005</v>
      </c>
      <c r="AC293" s="8">
        <v>-60000</v>
      </c>
      <c r="AD293" s="8">
        <v>-145378.64000000001</v>
      </c>
      <c r="AE293" s="8">
        <v>-145378.64000000001</v>
      </c>
      <c r="AF293" s="8">
        <v>-145378.64000000001</v>
      </c>
      <c r="AG293" s="8">
        <v>-145378.64000000001</v>
      </c>
      <c r="AH293" s="8">
        <v>-145378.64000000001</v>
      </c>
      <c r="AI293" s="8">
        <v>-116172.89</v>
      </c>
      <c r="AJ293" s="8">
        <f>IFERROR(INDEX([1]SuSa_2024!BN:BN,MATCH($B293,[1]SuSa_2024!$B:$B,0)),"0")</f>
        <v>-5833.34</v>
      </c>
      <c r="AK293" s="8">
        <f>IFERROR(INDEX([1]SuSa_2024!BO:BO,MATCH($B293,[1]SuSa_2024!$B:$B,0)),"0")</f>
        <v>-11666.68</v>
      </c>
      <c r="AL293" s="8">
        <f>IFERROR(INDEX([1]SuSa_2024!BP:BP,MATCH($B293,[1]SuSa_2024!$B:$B,0)),"0")</f>
        <v>-17500.02</v>
      </c>
      <c r="AM293" s="8">
        <f>IFERROR(INDEX([1]SuSa_2024!BQ:BQ,MATCH($B293,[1]SuSa_2024!$B:$B,0)),"0")</f>
        <v>-23333.360000000001</v>
      </c>
      <c r="AN293" s="8">
        <f>IFERROR(INDEX([1]SuSa_2024!BR:BR,MATCH($B293,[1]SuSa_2024!$B:$B,0)),"0")</f>
        <v>-29166.7</v>
      </c>
      <c r="AO293" s="8">
        <f>IFERROR(INDEX([1]SuSa_2024!BS:BS,MATCH($B293,[1]SuSa_2024!$B:$B,0)),"0")</f>
        <v>-35000.04</v>
      </c>
      <c r="AP293" s="8">
        <f>IFERROR(INDEX([1]SuSa_2024!BT:BT,MATCH($B293,[1]SuSa_2024!$B:$B,0)),"0")</f>
        <v>-35000.04</v>
      </c>
      <c r="AQ293" s="8">
        <f>IFERROR(INDEX([1]SuSa_2024!BU:BU,MATCH($B293,[1]SuSa_2024!$B:$B,0)),"0")</f>
        <v>-29166.7</v>
      </c>
      <c r="AR293" s="8">
        <f>IFERROR(INDEX([1]SuSa_2024!BV:BV,MATCH($B293,[1]SuSa_2024!$B:$B,0)),"0")</f>
        <v>-29166.7</v>
      </c>
      <c r="AS293" s="8">
        <f>IFERROR(INDEX([1]SuSa_2024!BW:BW,MATCH($B293,[1]SuSa_2024!$B:$B,0)),"0")</f>
        <v>-29166.7</v>
      </c>
      <c r="AT293" s="8">
        <f>IFERROR(INDEX([1]SuSa_2024!BX:BX,MATCH($B293,[1]SuSa_2024!$B:$B,0)),"0")</f>
        <v>-29166.7</v>
      </c>
      <c r="AU293" s="8">
        <f>IFERROR(INDEX([1]SuSa_2024!BY:BY,MATCH($B293,[1]SuSa_2024!$B:$B,0)),"0")</f>
        <v>-29166.7</v>
      </c>
      <c r="AV293" s="8">
        <f>IFERROR(INDEX([1]SuSa_2025!AR:AR,MATCH($B293,[1]SuSa_2025!$B:$B,0)),"0")</f>
        <v>0</v>
      </c>
      <c r="AW293" s="8">
        <f>IFERROR(INDEX([1]SuSa_2025!AS:AS,MATCH($B293,[1]SuSa_2025!$B:$B,0)),"0")</f>
        <v>0</v>
      </c>
      <c r="AX293" s="8">
        <f>IFERROR(INDEX([1]SuSa_2025!AT:AT,MATCH($B293,[1]SuSa_2025!$B:$B,0)),"0")</f>
        <v>0</v>
      </c>
      <c r="AY293" s="8">
        <f>IFERROR(INDEX([1]SuSa_2025!AU:AU,MATCH($B293,[1]SuSa_2025!$B:$B,0)),"0")</f>
        <v>0</v>
      </c>
      <c r="AZ293" s="8">
        <f>IFERROR(INDEX([1]SuSa_2025!AV:AV,MATCH($B293,[1]SuSa_2025!$B:$B,0)),"0")</f>
        <v>0</v>
      </c>
      <c r="BA293" s="8">
        <f>IFERROR(INDEX([1]SuSa_2025!AW:AW,MATCH($B293,[1]SuSa_2025!$B:$B,0)),"0")</f>
        <v>0</v>
      </c>
      <c r="BB293" s="8">
        <f>IFERROR(INDEX([1]SuSa_2025!AX:AX,MATCH($B293,[1]SuSa_2025!$B:$B,0)),"0")</f>
        <v>0</v>
      </c>
    </row>
    <row r="294" spans="1:54" outlineLevel="1" collapsed="1" x14ac:dyDescent="0.25">
      <c r="A294" s="5" t="s">
        <v>868</v>
      </c>
      <c r="B294" s="6" t="s">
        <v>869</v>
      </c>
      <c r="C294" t="s">
        <v>870</v>
      </c>
      <c r="E294" t="str">
        <f>INDEX([1]Umsatzzuordn.!$J:$J,MATCH(B294,[1]Umsatzzuordn.!$C:$C,0))</f>
        <v>/profit and loss/income/sales/B2B</v>
      </c>
      <c r="F294" s="7">
        <f t="shared" si="25"/>
        <v>-340951.76</v>
      </c>
      <c r="G294" s="7">
        <f t="shared" si="26"/>
        <v>-188875</v>
      </c>
      <c r="H294" s="7">
        <f t="shared" si="27"/>
        <v>0</v>
      </c>
      <c r="I294" s="7" t="str">
        <f t="shared" si="23"/>
        <v>0</v>
      </c>
      <c r="J294" s="8">
        <f t="shared" si="28"/>
        <v>0</v>
      </c>
      <c r="K294" s="8">
        <f t="shared" si="24"/>
        <v>0</v>
      </c>
      <c r="L294" s="8">
        <v>-20750</v>
      </c>
      <c r="M294" s="8">
        <v>-79350</v>
      </c>
      <c r="N294" s="8">
        <v>-96150</v>
      </c>
      <c r="O294" s="8">
        <v>-121671.76</v>
      </c>
      <c r="P294" s="8">
        <v>-159671.76</v>
      </c>
      <c r="Q294" s="8">
        <v>-179951.76</v>
      </c>
      <c r="R294" s="8">
        <v>-224151.76</v>
      </c>
      <c r="S294" s="8">
        <v>-224151.76</v>
      </c>
      <c r="T294" s="8">
        <v>-224151.76</v>
      </c>
      <c r="U294" s="8">
        <v>-224151.76</v>
      </c>
      <c r="V294" s="8">
        <v>-266201.76</v>
      </c>
      <c r="W294" s="8">
        <v>-340951.76</v>
      </c>
      <c r="Y294" s="8">
        <v>-11500</v>
      </c>
      <c r="Z294" s="8">
        <v>-27500</v>
      </c>
      <c r="AA294" s="8">
        <v>-31000</v>
      </c>
      <c r="AB294" s="8">
        <v>-31000</v>
      </c>
      <c r="AC294" s="8">
        <v>-43500</v>
      </c>
      <c r="AD294" s="8">
        <v>-50500</v>
      </c>
      <c r="AE294" s="8">
        <v>-121875</v>
      </c>
      <c r="AF294" s="8">
        <v>-168875</v>
      </c>
      <c r="AG294" s="8">
        <v>-168875</v>
      </c>
      <c r="AH294" s="8">
        <v>-168875</v>
      </c>
      <c r="AI294" s="8">
        <v>-188875</v>
      </c>
      <c r="AJ294" s="8">
        <f>IFERROR(INDEX([1]SuSa_2024!BN:BN,MATCH($B294,[1]SuSa_2024!$B:$B,0)),"0")</f>
        <v>0</v>
      </c>
      <c r="AK294" s="8">
        <f>IFERROR(INDEX([1]SuSa_2024!BO:BO,MATCH($B294,[1]SuSa_2024!$B:$B,0)),"0")</f>
        <v>0</v>
      </c>
      <c r="AL294" s="8">
        <f>IFERROR(INDEX([1]SuSa_2024!BP:BP,MATCH($B294,[1]SuSa_2024!$B:$B,0)),"0")</f>
        <v>0</v>
      </c>
      <c r="AM294" s="8">
        <f>IFERROR(INDEX([1]SuSa_2024!BQ:BQ,MATCH($B294,[1]SuSa_2024!$B:$B,0)),"0")</f>
        <v>0</v>
      </c>
      <c r="AN294" s="8">
        <f>IFERROR(INDEX([1]SuSa_2024!BR:BR,MATCH($B294,[1]SuSa_2024!$B:$B,0)),"0")</f>
        <v>0</v>
      </c>
      <c r="AO294" s="8">
        <f>IFERROR(INDEX([1]SuSa_2024!BS:BS,MATCH($B294,[1]SuSa_2024!$B:$B,0)),"0")</f>
        <v>0</v>
      </c>
      <c r="AP294" s="8">
        <f>IFERROR(INDEX([1]SuSa_2024!BT:BT,MATCH($B294,[1]SuSa_2024!$B:$B,0)),"0")</f>
        <v>0</v>
      </c>
      <c r="AQ294" s="8">
        <f>IFERROR(INDEX([1]SuSa_2024!BU:BU,MATCH($B294,[1]SuSa_2024!$B:$B,0)),"0")</f>
        <v>0</v>
      </c>
      <c r="AR294" s="8">
        <f>IFERROR(INDEX([1]SuSa_2024!BV:BV,MATCH($B294,[1]SuSa_2024!$B:$B,0)),"0")</f>
        <v>0</v>
      </c>
      <c r="AS294" s="8">
        <f>IFERROR(INDEX([1]SuSa_2024!BW:BW,MATCH($B294,[1]SuSa_2024!$B:$B,0)),"0")</f>
        <v>0</v>
      </c>
      <c r="AT294" s="8">
        <f>IFERROR(INDEX([1]SuSa_2024!BX:BX,MATCH($B294,[1]SuSa_2024!$B:$B,0)),"0")</f>
        <v>0</v>
      </c>
      <c r="AU294" s="8">
        <f>IFERROR(INDEX([1]SuSa_2024!BY:BY,MATCH($B294,[1]SuSa_2024!$B:$B,0)),"0")</f>
        <v>0</v>
      </c>
      <c r="AV294" s="8" t="str">
        <f>IFERROR(INDEX([1]SuSa_2025!AR:AR,MATCH($B294,[1]SuSa_2025!$B:$B,0)),"0")</f>
        <v>0</v>
      </c>
      <c r="AW294" s="8" t="str">
        <f>IFERROR(INDEX([1]SuSa_2025!AS:AS,MATCH($B294,[1]SuSa_2025!$B:$B,0)),"0")</f>
        <v>0</v>
      </c>
      <c r="AX294" s="8" t="str">
        <f>IFERROR(INDEX([1]SuSa_2025!AT:AT,MATCH($B294,[1]SuSa_2025!$B:$B,0)),"0")</f>
        <v>0</v>
      </c>
      <c r="AY294" s="8" t="str">
        <f>IFERROR(INDEX([1]SuSa_2025!AU:AU,MATCH($B294,[1]SuSa_2025!$B:$B,0)),"0")</f>
        <v>0</v>
      </c>
      <c r="AZ294" s="8" t="str">
        <f>IFERROR(INDEX([1]SuSa_2025!AV:AV,MATCH($B294,[1]SuSa_2025!$B:$B,0)),"0")</f>
        <v>0</v>
      </c>
      <c r="BA294" s="8" t="str">
        <f>IFERROR(INDEX([1]SuSa_2025!AW:AW,MATCH($B294,[1]SuSa_2025!$B:$B,0)),"0")</f>
        <v>0</v>
      </c>
      <c r="BB294" s="8" t="str">
        <f>IFERROR(INDEX([1]SuSa_2025!AX:AX,MATCH($B294,[1]SuSa_2025!$B:$B,0)),"0")</f>
        <v>0</v>
      </c>
    </row>
    <row r="295" spans="1:54" outlineLevel="1" collapsed="1" x14ac:dyDescent="0.25">
      <c r="A295" s="5" t="s">
        <v>871</v>
      </c>
      <c r="B295" s="6" t="s">
        <v>872</v>
      </c>
      <c r="C295" t="s">
        <v>873</v>
      </c>
      <c r="E295" t="str">
        <f>INDEX([1]Umsatzzuordn.!$J:$J,MATCH(B295,[1]Umsatzzuordn.!$C:$C,0))</f>
        <v>/profit and loss/income/sales/B2B</v>
      </c>
      <c r="F295" s="7">
        <f t="shared" si="25"/>
        <v>-420913</v>
      </c>
      <c r="G295" s="7">
        <f t="shared" si="26"/>
        <v>-235364.45</v>
      </c>
      <c r="H295" s="7">
        <f t="shared" si="27"/>
        <v>-136302.49</v>
      </c>
      <c r="I295" s="7">
        <f t="shared" si="23"/>
        <v>-95978.400000000009</v>
      </c>
      <c r="J295" s="8">
        <f t="shared" si="28"/>
        <v>-152390.86000000002</v>
      </c>
      <c r="K295" s="8">
        <f t="shared" si="24"/>
        <v>-79890.03</v>
      </c>
      <c r="L295" s="8">
        <v>-30350</v>
      </c>
      <c r="M295" s="8">
        <v>-57750</v>
      </c>
      <c r="N295" s="8">
        <v>-80350</v>
      </c>
      <c r="O295" s="8">
        <v>-95750</v>
      </c>
      <c r="P295" s="8">
        <v>-131876</v>
      </c>
      <c r="Q295" s="8">
        <v>-185922</v>
      </c>
      <c r="R295" s="8">
        <v>-189922</v>
      </c>
      <c r="S295" s="8">
        <v>-206922</v>
      </c>
      <c r="T295" s="8">
        <v>-243422</v>
      </c>
      <c r="U295" s="8">
        <v>-277122</v>
      </c>
      <c r="V295" s="8">
        <v>-327472</v>
      </c>
      <c r="W295" s="8">
        <v>-420913</v>
      </c>
      <c r="Y295" s="8">
        <v>-2500</v>
      </c>
      <c r="Z295" s="8">
        <v>-16500</v>
      </c>
      <c r="AA295" s="8">
        <v>-27000</v>
      </c>
      <c r="AB295" s="8">
        <v>-27000</v>
      </c>
      <c r="AC295" s="8">
        <v>-29500</v>
      </c>
      <c r="AD295" s="8">
        <v>-30500</v>
      </c>
      <c r="AE295" s="8">
        <v>-102422.89</v>
      </c>
      <c r="AF295" s="8">
        <v>-194845.78</v>
      </c>
      <c r="AG295" s="8">
        <v>-194845.78</v>
      </c>
      <c r="AH295" s="8">
        <v>-217191.56</v>
      </c>
      <c r="AI295" s="8">
        <v>-235364.45</v>
      </c>
      <c r="AJ295" s="8">
        <f>IFERROR(INDEX([1]SuSa_2024!BN:BN,MATCH($B295,[1]SuSa_2024!$B:$B,0)),"0")</f>
        <v>-5929.58</v>
      </c>
      <c r="AK295" s="8">
        <f>IFERROR(INDEX([1]SuSa_2024!BO:BO,MATCH($B295,[1]SuSa_2024!$B:$B,0)),"0")</f>
        <v>-26109.160000000003</v>
      </c>
      <c r="AL295" s="8">
        <f>IFERROR(INDEX([1]SuSa_2024!BP:BP,MATCH($B295,[1]SuSa_2024!$B:$B,0)),"0")</f>
        <v>-40353.64</v>
      </c>
      <c r="AM295" s="8">
        <f>IFERROR(INDEX([1]SuSa_2024!BQ:BQ,MATCH($B295,[1]SuSa_2024!$B:$B,0)),"0")</f>
        <v>-49065.89</v>
      </c>
      <c r="AN295" s="8">
        <f>IFERROR(INDEX([1]SuSa_2024!BR:BR,MATCH($B295,[1]SuSa_2024!$B:$B,0)),"0")</f>
        <v>-53420.71</v>
      </c>
      <c r="AO295" s="8">
        <f>IFERROR(INDEX([1]SuSa_2024!BS:BS,MATCH($B295,[1]SuSa_2024!$B:$B,0)),"0")</f>
        <v>-79890.03</v>
      </c>
      <c r="AP295" s="8">
        <f>IFERROR(INDEX([1]SuSa_2024!BT:BT,MATCH($B295,[1]SuSa_2024!$B:$B,0)),"0")</f>
        <v>-79890.03</v>
      </c>
      <c r="AQ295" s="8">
        <f>IFERROR(INDEX([1]SuSa_2024!BU:BU,MATCH($B295,[1]SuSa_2024!$B:$B,0)),"0")</f>
        <v>-96397.75</v>
      </c>
      <c r="AR295" s="8">
        <f>IFERROR(INDEX([1]SuSa_2024!BV:BV,MATCH($B295,[1]SuSa_2024!$B:$B,0)),"0")</f>
        <v>-103409.15</v>
      </c>
      <c r="AS295" s="8">
        <f>IFERROR(INDEX([1]SuSa_2024!BW:BW,MATCH($B295,[1]SuSa_2024!$B:$B,0)),"0")</f>
        <v>-110420.54999999999</v>
      </c>
      <c r="AT295" s="8">
        <f>IFERROR(INDEX([1]SuSa_2024!BX:BX,MATCH($B295,[1]SuSa_2024!$B:$B,0)),"0")</f>
        <v>-123361.52999999998</v>
      </c>
      <c r="AU295" s="8">
        <f>IFERROR(INDEX([1]SuSa_2024!BY:BY,MATCH($B295,[1]SuSa_2024!$B:$B,0)),"0")</f>
        <v>-136302.49</v>
      </c>
      <c r="AV295" s="8">
        <f>IFERROR(INDEX([1]SuSa_2025!AR:AR,MATCH($B295,[1]SuSa_2025!$B:$B,0)),"0")</f>
        <v>0</v>
      </c>
      <c r="AW295" s="8">
        <f>IFERROR(INDEX([1]SuSa_2025!AS:AS,MATCH($B295,[1]SuSa_2025!$B:$B,0)),"0")</f>
        <v>-24293.3</v>
      </c>
      <c r="AX295" s="8">
        <f>IFERROR(INDEX([1]SuSa_2025!AT:AT,MATCH($B295,[1]SuSa_2025!$B:$B,0)),"0")</f>
        <v>-48505</v>
      </c>
      <c r="AY295" s="8">
        <f>IFERROR(INDEX([1]SuSa_2025!AU:AU,MATCH($B295,[1]SuSa_2025!$B:$B,0)),"0")</f>
        <v>-48505</v>
      </c>
      <c r="AZ295" s="8">
        <f>IFERROR(INDEX([1]SuSa_2025!AV:AV,MATCH($B295,[1]SuSa_2025!$B:$B,0)),"0")</f>
        <v>-83828.010000000009</v>
      </c>
      <c r="BA295" s="8">
        <f>IFERROR(INDEX([1]SuSa_2025!AW:AW,MATCH($B295,[1]SuSa_2025!$B:$B,0)),"0")</f>
        <v>-95978.400000000009</v>
      </c>
      <c r="BB295" s="8">
        <f>IFERROR(INDEX([1]SuSa_2025!AX:AX,MATCH($B295,[1]SuSa_2025!$B:$B,0)),"0")</f>
        <v>-95978.400000000009</v>
      </c>
    </row>
    <row r="296" spans="1:54" outlineLevel="1" collapsed="1" x14ac:dyDescent="0.25">
      <c r="A296" s="5" t="s">
        <v>871</v>
      </c>
      <c r="B296" s="6" t="s">
        <v>874</v>
      </c>
      <c r="C296" t="s">
        <v>875</v>
      </c>
      <c r="E296" t="str">
        <f>INDEX([1]Umsatzzuordn.!$J:$J,MATCH(B296,[1]Umsatzzuordn.!$C:$C,0))</f>
        <v>/profit and loss/income/sales/BSH</v>
      </c>
      <c r="F296" s="7">
        <f t="shared" si="25"/>
        <v>0</v>
      </c>
      <c r="G296" s="7">
        <f t="shared" si="26"/>
        <v>-33518.67</v>
      </c>
      <c r="H296" s="7">
        <f t="shared" si="27"/>
        <v>-885938.58000000019</v>
      </c>
      <c r="I296" s="7">
        <f t="shared" si="23"/>
        <v>-618882.92999999993</v>
      </c>
      <c r="J296" s="8">
        <f t="shared" si="28"/>
        <v>-1034263.6700000002</v>
      </c>
      <c r="K296" s="8">
        <f t="shared" si="24"/>
        <v>-470557.84000000008</v>
      </c>
      <c r="AC296" s="8">
        <v>-33518.67</v>
      </c>
      <c r="AD296" s="8">
        <v>-33518.67</v>
      </c>
      <c r="AE296" s="8">
        <v>-33518.67</v>
      </c>
      <c r="AF296" s="8">
        <v>-33518.67</v>
      </c>
      <c r="AG296" s="8">
        <v>-33518.67</v>
      </c>
      <c r="AH296" s="8">
        <v>-33518.67</v>
      </c>
      <c r="AI296" s="8">
        <v>-33518.67</v>
      </c>
      <c r="AJ296" s="8">
        <f>IFERROR(INDEX([1]SuSa_2024!BN:BN,MATCH($B296,[1]SuSa_2024!$B:$B,0)),"0")</f>
        <v>-74134.820000000007</v>
      </c>
      <c r="AK296" s="8">
        <f>IFERROR(INDEX([1]SuSa_2024!BO:BO,MATCH($B296,[1]SuSa_2024!$B:$B,0)),"0")</f>
        <v>-148269.64000000001</v>
      </c>
      <c r="AL296" s="8">
        <f>IFERROR(INDEX([1]SuSa_2024!BP:BP,MATCH($B296,[1]SuSa_2024!$B:$B,0)),"0")</f>
        <v>-246598.03000000003</v>
      </c>
      <c r="AM296" s="8">
        <f>IFERROR(INDEX([1]SuSa_2024!BQ:BQ,MATCH($B296,[1]SuSa_2024!$B:$B,0)),"0")</f>
        <v>-321251.30000000005</v>
      </c>
      <c r="AN296" s="8">
        <f>IFERROR(INDEX([1]SuSa_2024!BR:BR,MATCH($B296,[1]SuSa_2024!$B:$B,0)),"0")</f>
        <v>-395904.57000000007</v>
      </c>
      <c r="AO296" s="8">
        <f>IFERROR(INDEX([1]SuSa_2024!BS:BS,MATCH($B296,[1]SuSa_2024!$B:$B,0)),"0")</f>
        <v>-470557.84000000008</v>
      </c>
      <c r="AP296" s="8">
        <f>IFERROR(INDEX([1]SuSa_2024!BT:BT,MATCH($B296,[1]SuSa_2024!$B:$B,0)),"0")</f>
        <v>-470557.84000000008</v>
      </c>
      <c r="AQ296" s="8">
        <f>IFERROR(INDEX([1]SuSa_2024!BU:BU,MATCH($B296,[1]SuSa_2024!$B:$B,0)),"0")</f>
        <v>-529753.56000000006</v>
      </c>
      <c r="AR296" s="8">
        <f>IFERROR(INDEX([1]SuSa_2024!BV:BV,MATCH($B296,[1]SuSa_2024!$B:$B,0)),"0")</f>
        <v>-598990.18000000005</v>
      </c>
      <c r="AS296" s="8">
        <f>IFERROR(INDEX([1]SuSa_2024!BW:BW,MATCH($B296,[1]SuSa_2024!$B:$B,0)),"0")</f>
        <v>-736944.97000000009</v>
      </c>
      <c r="AT296" s="8">
        <f>IFERROR(INDEX([1]SuSa_2024!BX:BX,MATCH($B296,[1]SuSa_2024!$B:$B,0)),"0")</f>
        <v>-816700.91000000015</v>
      </c>
      <c r="AU296" s="8">
        <f>IFERROR(INDEX([1]SuSa_2024!BY:BY,MATCH($B296,[1]SuSa_2024!$B:$B,0)),"0")</f>
        <v>-885938.58000000019</v>
      </c>
      <c r="AV296" s="8">
        <f>IFERROR(INDEX([1]SuSa_2025!AR:AR,MATCH($B296,[1]SuSa_2025!$B:$B,0)),"0")</f>
        <v>-67728.75</v>
      </c>
      <c r="AW296" s="8">
        <f>IFERROR(INDEX([1]SuSa_2025!AS:AS,MATCH($B296,[1]SuSa_2025!$B:$B,0)),"0")</f>
        <v>-119402.5</v>
      </c>
      <c r="AX296" s="8">
        <f>IFERROR(INDEX([1]SuSa_2025!AT:AT,MATCH($B296,[1]SuSa_2025!$B:$B,0)),"0")</f>
        <v>-185871.25</v>
      </c>
      <c r="AY296" s="8">
        <f>IFERROR(INDEX([1]SuSa_2025!AU:AU,MATCH($B296,[1]SuSa_2025!$B:$B,0)),"0")</f>
        <v>-287524.92</v>
      </c>
      <c r="AZ296" s="8">
        <f>IFERROR(INDEX([1]SuSa_2025!AV:AV,MATCH($B296,[1]SuSa_2025!$B:$B,0)),"0")</f>
        <v>-320872.25</v>
      </c>
      <c r="BA296" s="8">
        <f>IFERROR(INDEX([1]SuSa_2025!AW:AW,MATCH($B296,[1]SuSa_2025!$B:$B,0)),"0")</f>
        <v>-474952.57999999996</v>
      </c>
      <c r="BB296" s="8">
        <f>IFERROR(INDEX([1]SuSa_2025!AX:AX,MATCH($B296,[1]SuSa_2025!$B:$B,0)),"0")</f>
        <v>-618882.92999999993</v>
      </c>
    </row>
    <row r="297" spans="1:54" outlineLevel="1" collapsed="1" x14ac:dyDescent="0.25">
      <c r="A297" s="5" t="s">
        <v>876</v>
      </c>
      <c r="B297" s="6" t="s">
        <v>877</v>
      </c>
      <c r="C297" t="s">
        <v>878</v>
      </c>
      <c r="F297" s="7">
        <f t="shared" si="25"/>
        <v>0</v>
      </c>
      <c r="G297" s="7">
        <f t="shared" si="26"/>
        <v>-107.1</v>
      </c>
      <c r="H297" s="7">
        <f t="shared" si="27"/>
        <v>0</v>
      </c>
      <c r="I297" s="7" t="str">
        <f t="shared" si="23"/>
        <v>0</v>
      </c>
      <c r="J297" s="8">
        <f t="shared" si="28"/>
        <v>0</v>
      </c>
      <c r="K297" s="8">
        <f t="shared" si="24"/>
        <v>0</v>
      </c>
      <c r="AH297" s="8">
        <v>-107.1</v>
      </c>
      <c r="AI297" s="8">
        <v>-107.1</v>
      </c>
      <c r="AJ297" s="8">
        <f>IFERROR(INDEX([1]SuSa_2024!BN:BN,MATCH($B297,[1]SuSa_2024!$B:$B,0)),"0")</f>
        <v>0</v>
      </c>
      <c r="AK297" s="8">
        <f>IFERROR(INDEX([1]SuSa_2024!BO:BO,MATCH($B297,[1]SuSa_2024!$B:$B,0)),"0")</f>
        <v>0</v>
      </c>
      <c r="AL297" s="8">
        <f>IFERROR(INDEX([1]SuSa_2024!BP:BP,MATCH($B297,[1]SuSa_2024!$B:$B,0)),"0")</f>
        <v>0</v>
      </c>
      <c r="AM297" s="8">
        <f>IFERROR(INDEX([1]SuSa_2024!BQ:BQ,MATCH($B297,[1]SuSa_2024!$B:$B,0)),"0")</f>
        <v>0</v>
      </c>
      <c r="AN297" s="8">
        <f>IFERROR(INDEX([1]SuSa_2024!BR:BR,MATCH($B297,[1]SuSa_2024!$B:$B,0)),"0")</f>
        <v>0</v>
      </c>
      <c r="AO297" s="8">
        <f>IFERROR(INDEX([1]SuSa_2024!BS:BS,MATCH($B297,[1]SuSa_2024!$B:$B,0)),"0")</f>
        <v>0</v>
      </c>
      <c r="AP297" s="8">
        <f>IFERROR(INDEX([1]SuSa_2024!BT:BT,MATCH($B297,[1]SuSa_2024!$B:$B,0)),"0")</f>
        <v>0</v>
      </c>
      <c r="AQ297" s="8">
        <f>IFERROR(INDEX([1]SuSa_2024!BU:BU,MATCH($B297,[1]SuSa_2024!$B:$B,0)),"0")</f>
        <v>0</v>
      </c>
      <c r="AR297" s="8">
        <f>IFERROR(INDEX([1]SuSa_2024!BV:BV,MATCH($B297,[1]SuSa_2024!$B:$B,0)),"0")</f>
        <v>0</v>
      </c>
      <c r="AS297" s="8">
        <f>IFERROR(INDEX([1]SuSa_2024!BW:BW,MATCH($B297,[1]SuSa_2024!$B:$B,0)),"0")</f>
        <v>0</v>
      </c>
      <c r="AT297" s="8">
        <f>IFERROR(INDEX([1]SuSa_2024!BX:BX,MATCH($B297,[1]SuSa_2024!$B:$B,0)),"0")</f>
        <v>0</v>
      </c>
      <c r="AU297" s="8">
        <f>IFERROR(INDEX([1]SuSa_2024!BY:BY,MATCH($B297,[1]SuSa_2024!$B:$B,0)),"0")</f>
        <v>0</v>
      </c>
      <c r="AV297" s="8" t="str">
        <f>IFERROR(INDEX([1]SuSa_2025!AR:AR,MATCH($B297,[1]SuSa_2025!$B:$B,0)),"0")</f>
        <v>0</v>
      </c>
      <c r="AW297" s="8" t="str">
        <f>IFERROR(INDEX([1]SuSa_2025!AS:AS,MATCH($B297,[1]SuSa_2025!$B:$B,0)),"0")</f>
        <v>0</v>
      </c>
      <c r="AX297" s="8" t="str">
        <f>IFERROR(INDEX([1]SuSa_2025!AT:AT,MATCH($B297,[1]SuSa_2025!$B:$B,0)),"0")</f>
        <v>0</v>
      </c>
      <c r="AY297" s="8" t="str">
        <f>IFERROR(INDEX([1]SuSa_2025!AU:AU,MATCH($B297,[1]SuSa_2025!$B:$B,0)),"0")</f>
        <v>0</v>
      </c>
      <c r="AZ297" s="8" t="str">
        <f>IFERROR(INDEX([1]SuSa_2025!AV:AV,MATCH($B297,[1]SuSa_2025!$B:$B,0)),"0")</f>
        <v>0</v>
      </c>
      <c r="BA297" s="8" t="str">
        <f>IFERROR(INDEX([1]SuSa_2025!AW:AW,MATCH($B297,[1]SuSa_2025!$B:$B,0)),"0")</f>
        <v>0</v>
      </c>
      <c r="BB297" s="8" t="str">
        <f>IFERROR(INDEX([1]SuSa_2025!AX:AX,MATCH($B297,[1]SuSa_2025!$B:$B,0)),"0")</f>
        <v>0</v>
      </c>
    </row>
    <row r="298" spans="1:54" outlineLevel="1" collapsed="1" x14ac:dyDescent="0.25">
      <c r="A298" s="5" t="s">
        <v>879</v>
      </c>
      <c r="B298" s="6" t="s">
        <v>880</v>
      </c>
      <c r="C298" t="s">
        <v>881</v>
      </c>
      <c r="F298" s="7">
        <f t="shared" si="25"/>
        <v>-1942.05</v>
      </c>
      <c r="G298" s="7">
        <f t="shared" si="26"/>
        <v>-575.79999999999995</v>
      </c>
      <c r="H298" s="7">
        <f t="shared" si="27"/>
        <v>-381.40000000000003</v>
      </c>
      <c r="I298" s="7">
        <f t="shared" si="23"/>
        <v>-1200</v>
      </c>
      <c r="J298" s="8">
        <f t="shared" si="28"/>
        <v>-1200</v>
      </c>
      <c r="K298" s="8">
        <f t="shared" si="24"/>
        <v>-381.40000000000003</v>
      </c>
      <c r="L298" s="8">
        <v>-379</v>
      </c>
      <c r="M298" s="8">
        <v>-529</v>
      </c>
      <c r="N298" s="8">
        <v>-618.95000000000005</v>
      </c>
      <c r="O298" s="8">
        <v>-618.95000000000005</v>
      </c>
      <c r="P298" s="8">
        <v>-618.95000000000005</v>
      </c>
      <c r="Q298" s="8">
        <v>-618.95000000000005</v>
      </c>
      <c r="R298" s="8">
        <v>-1072.55</v>
      </c>
      <c r="S298" s="8">
        <v>-1152.55</v>
      </c>
      <c r="T298" s="8">
        <v>-1152.55</v>
      </c>
      <c r="U298" s="8">
        <v>-1152.55</v>
      </c>
      <c r="V298" s="8">
        <v>-1152.55</v>
      </c>
      <c r="W298" s="8">
        <v>-1942.05</v>
      </c>
      <c r="Y298" s="8">
        <v>-80</v>
      </c>
      <c r="Z298" s="8">
        <v>-177.9</v>
      </c>
      <c r="AA298" s="8">
        <v>-177.9</v>
      </c>
      <c r="AB298" s="8">
        <v>-177.9</v>
      </c>
      <c r="AC298" s="8">
        <v>-177.9</v>
      </c>
      <c r="AD298" s="8">
        <v>-275.8</v>
      </c>
      <c r="AE298" s="8">
        <v>-275.8</v>
      </c>
      <c r="AF298" s="8">
        <v>-275.8</v>
      </c>
      <c r="AG298" s="8">
        <v>-425.8</v>
      </c>
      <c r="AH298" s="8">
        <v>-575.79999999999995</v>
      </c>
      <c r="AI298" s="8">
        <v>-575.79999999999995</v>
      </c>
      <c r="AJ298" s="8">
        <f>IFERROR(INDEX([1]SuSa_2024!BN:BN,MATCH($B298,[1]SuSa_2024!$B:$B,0)),"0")</f>
        <v>0</v>
      </c>
      <c r="AK298" s="8">
        <f>IFERROR(INDEX([1]SuSa_2024!BO:BO,MATCH($B298,[1]SuSa_2024!$B:$B,0)),"0")</f>
        <v>0</v>
      </c>
      <c r="AL298" s="8">
        <f>IFERROR(INDEX([1]SuSa_2024!BP:BP,MATCH($B298,[1]SuSa_2024!$B:$B,0)),"0")</f>
        <v>0</v>
      </c>
      <c r="AM298" s="8">
        <f>IFERROR(INDEX([1]SuSa_2024!BQ:BQ,MATCH($B298,[1]SuSa_2024!$B:$B,0)),"0")</f>
        <v>-179.8</v>
      </c>
      <c r="AN298" s="8">
        <f>IFERROR(INDEX([1]SuSa_2024!BR:BR,MATCH($B298,[1]SuSa_2024!$B:$B,0)),"0")</f>
        <v>-179.8</v>
      </c>
      <c r="AO298" s="8">
        <f>IFERROR(INDEX([1]SuSa_2024!BS:BS,MATCH($B298,[1]SuSa_2024!$B:$B,0)),"0")</f>
        <v>-275.60000000000002</v>
      </c>
      <c r="AP298" s="8">
        <f>IFERROR(INDEX([1]SuSa_2024!BT:BT,MATCH($B298,[1]SuSa_2024!$B:$B,0)),"0")</f>
        <v>-381.40000000000003</v>
      </c>
      <c r="AQ298" s="8">
        <f>IFERROR(INDEX([1]SuSa_2024!BU:BU,MATCH($B298,[1]SuSa_2024!$B:$B,0)),"0")</f>
        <v>-381.40000000000003</v>
      </c>
      <c r="AR298" s="8">
        <f>IFERROR(INDEX([1]SuSa_2024!BV:BV,MATCH($B298,[1]SuSa_2024!$B:$B,0)),"0")</f>
        <v>-381.40000000000003</v>
      </c>
      <c r="AS298" s="8">
        <f>IFERROR(INDEX([1]SuSa_2024!BW:BW,MATCH($B298,[1]SuSa_2024!$B:$B,0)),"0")</f>
        <v>-381.40000000000003</v>
      </c>
      <c r="AT298" s="8">
        <f>IFERROR(INDEX([1]SuSa_2024!BX:BX,MATCH($B298,[1]SuSa_2024!$B:$B,0)),"0")</f>
        <v>-381.40000000000003</v>
      </c>
      <c r="AU298" s="8">
        <f>IFERROR(INDEX([1]SuSa_2024!BY:BY,MATCH($B298,[1]SuSa_2024!$B:$B,0)),"0")</f>
        <v>-381.40000000000003</v>
      </c>
      <c r="AV298" s="8">
        <f>IFERROR(INDEX([1]SuSa_2025!AR:AR,MATCH($B298,[1]SuSa_2025!$B:$B,0)),"0")</f>
        <v>0</v>
      </c>
      <c r="AW298" s="8">
        <f>IFERROR(INDEX([1]SuSa_2025!AS:AS,MATCH($B298,[1]SuSa_2025!$B:$B,0)),"0")</f>
        <v>0</v>
      </c>
      <c r="AX298" s="8">
        <f>IFERROR(INDEX([1]SuSa_2025!AT:AT,MATCH($B298,[1]SuSa_2025!$B:$B,0)),"0")</f>
        <v>0</v>
      </c>
      <c r="AY298" s="8">
        <f>IFERROR(INDEX([1]SuSa_2025!AU:AU,MATCH($B298,[1]SuSa_2025!$B:$B,0)),"0")</f>
        <v>-300</v>
      </c>
      <c r="AZ298" s="8">
        <f>IFERROR(INDEX([1]SuSa_2025!AV:AV,MATCH($B298,[1]SuSa_2025!$B:$B,0)),"0")</f>
        <v>-600</v>
      </c>
      <c r="BA298" s="8">
        <f>IFERROR(INDEX([1]SuSa_2025!AW:AW,MATCH($B298,[1]SuSa_2025!$B:$B,0)),"0")</f>
        <v>-900</v>
      </c>
      <c r="BB298" s="8">
        <f>IFERROR(INDEX([1]SuSa_2025!AX:AX,MATCH($B298,[1]SuSa_2025!$B:$B,0)),"0")</f>
        <v>-1200</v>
      </c>
    </row>
    <row r="299" spans="1:54" outlineLevel="1" collapsed="1" x14ac:dyDescent="0.25">
      <c r="A299" s="5" t="s">
        <v>882</v>
      </c>
      <c r="B299" s="6" t="s">
        <v>883</v>
      </c>
      <c r="C299" t="s">
        <v>884</v>
      </c>
      <c r="F299" s="7">
        <f t="shared" si="25"/>
        <v>0</v>
      </c>
      <c r="G299" s="7">
        <f t="shared" si="26"/>
        <v>0</v>
      </c>
      <c r="H299" s="7">
        <f t="shared" si="27"/>
        <v>-3288.99</v>
      </c>
      <c r="I299" s="7">
        <f t="shared" si="23"/>
        <v>0</v>
      </c>
      <c r="J299" s="8">
        <f t="shared" si="28"/>
        <v>0</v>
      </c>
      <c r="K299" s="8">
        <f t="shared" si="24"/>
        <v>-3288.99</v>
      </c>
      <c r="AJ299" s="8">
        <f>IFERROR(INDEX([1]SuSa_2024!BN:BN,MATCH($B299,[1]SuSa_2024!$B:$B,0)),"0")</f>
        <v>0</v>
      </c>
      <c r="AK299" s="8">
        <f>IFERROR(INDEX([1]SuSa_2024!BO:BO,MATCH($B299,[1]SuSa_2024!$B:$B,0)),"0")</f>
        <v>0</v>
      </c>
      <c r="AL299" s="8">
        <f>IFERROR(INDEX([1]SuSa_2024!BP:BP,MATCH($B299,[1]SuSa_2024!$B:$B,0)),"0")</f>
        <v>0</v>
      </c>
      <c r="AM299" s="8">
        <f>IFERROR(INDEX([1]SuSa_2024!BQ:BQ,MATCH($B299,[1]SuSa_2024!$B:$B,0)),"0")</f>
        <v>0</v>
      </c>
      <c r="AN299" s="8">
        <f>IFERROR(INDEX([1]SuSa_2024!BR:BR,MATCH($B299,[1]SuSa_2024!$B:$B,0)),"0")</f>
        <v>0</v>
      </c>
      <c r="AO299" s="8">
        <f>IFERROR(INDEX([1]SuSa_2024!BS:BS,MATCH($B299,[1]SuSa_2024!$B:$B,0)),"0")</f>
        <v>0</v>
      </c>
      <c r="AP299" s="8">
        <f>IFERROR(INDEX([1]SuSa_2024!BT:BT,MATCH($B299,[1]SuSa_2024!$B:$B,0)),"0")</f>
        <v>-3288.99</v>
      </c>
      <c r="AQ299" s="8">
        <f>IFERROR(INDEX([1]SuSa_2024!BU:BU,MATCH($B299,[1]SuSa_2024!$B:$B,0)),"0")</f>
        <v>-3288.99</v>
      </c>
      <c r="AR299" s="8">
        <f>IFERROR(INDEX([1]SuSa_2024!BV:BV,MATCH($B299,[1]SuSa_2024!$B:$B,0)),"0")</f>
        <v>-3288.99</v>
      </c>
      <c r="AS299" s="8">
        <f>IFERROR(INDEX([1]SuSa_2024!BW:BW,MATCH($B299,[1]SuSa_2024!$B:$B,0)),"0")</f>
        <v>-3288.99</v>
      </c>
      <c r="AT299" s="8">
        <f>IFERROR(INDEX([1]SuSa_2024!BX:BX,MATCH($B299,[1]SuSa_2024!$B:$B,0)),"0")</f>
        <v>-3288.99</v>
      </c>
      <c r="AU299" s="8">
        <f>IFERROR(INDEX([1]SuSa_2024!BY:BY,MATCH($B299,[1]SuSa_2024!$B:$B,0)),"0")</f>
        <v>-3288.99</v>
      </c>
      <c r="AV299" s="8">
        <f>IFERROR(INDEX([1]SuSa_2025!AR:AR,MATCH($B299,[1]SuSa_2025!$B:$B,0)),"0")</f>
        <v>0</v>
      </c>
      <c r="AW299" s="8">
        <f>IFERROR(INDEX([1]SuSa_2025!AS:AS,MATCH($B299,[1]SuSa_2025!$B:$B,0)),"0")</f>
        <v>0</v>
      </c>
      <c r="AX299" s="8">
        <f>IFERROR(INDEX([1]SuSa_2025!AT:AT,MATCH($B299,[1]SuSa_2025!$B:$B,0)),"0")</f>
        <v>0</v>
      </c>
      <c r="AY299" s="8">
        <f>IFERROR(INDEX([1]SuSa_2025!AU:AU,MATCH($B299,[1]SuSa_2025!$B:$B,0)),"0")</f>
        <v>0</v>
      </c>
      <c r="AZ299" s="8">
        <f>IFERROR(INDEX([1]SuSa_2025!AV:AV,MATCH($B299,[1]SuSa_2025!$B:$B,0)),"0")</f>
        <v>0</v>
      </c>
      <c r="BA299" s="8">
        <f>IFERROR(INDEX([1]SuSa_2025!AW:AW,MATCH($B299,[1]SuSa_2025!$B:$B,0)),"0")</f>
        <v>0</v>
      </c>
      <c r="BB299" s="8">
        <f>IFERROR(INDEX([1]SuSa_2025!AX:AX,MATCH($B299,[1]SuSa_2025!$B:$B,0)),"0")</f>
        <v>0</v>
      </c>
    </row>
    <row r="300" spans="1:54" outlineLevel="1" collapsed="1" x14ac:dyDescent="0.25">
      <c r="A300" s="5" t="s">
        <v>885</v>
      </c>
      <c r="B300" s="6" t="s">
        <v>886</v>
      </c>
      <c r="C300" t="s">
        <v>887</v>
      </c>
      <c r="F300" s="7">
        <f t="shared" si="25"/>
        <v>0</v>
      </c>
      <c r="G300" s="7">
        <f t="shared" si="26"/>
        <v>-2369.7399999999998</v>
      </c>
      <c r="H300" s="7">
        <f t="shared" si="27"/>
        <v>-6002.5900000000011</v>
      </c>
      <c r="I300" s="7">
        <f t="shared" si="23"/>
        <v>0</v>
      </c>
      <c r="J300" s="8">
        <f t="shared" si="28"/>
        <v>-1247.0500000000011</v>
      </c>
      <c r="K300" s="8">
        <f t="shared" si="24"/>
        <v>-4755.54</v>
      </c>
      <c r="AE300" s="8">
        <v>-327.73</v>
      </c>
      <c r="AF300" s="8">
        <v>-756.3</v>
      </c>
      <c r="AG300" s="8">
        <v>-1285.71</v>
      </c>
      <c r="AH300" s="8">
        <v>-1815.12</v>
      </c>
      <c r="AI300" s="8">
        <v>-2369.7399999999998</v>
      </c>
      <c r="AJ300" s="8">
        <f>IFERROR(INDEX([1]SuSa_2024!BN:BN,MATCH($B300,[1]SuSa_2024!$B:$B,0)),"0")</f>
        <v>-554.62</v>
      </c>
      <c r="AK300" s="8">
        <f>IFERROR(INDEX([1]SuSa_2024!BO:BO,MATCH($B300,[1]SuSa_2024!$B:$B,0)),"0")</f>
        <v>-1235.29</v>
      </c>
      <c r="AL300" s="8">
        <f>IFERROR(INDEX([1]SuSa_2024!BP:BP,MATCH($B300,[1]SuSa_2024!$B:$B,0)),"0")</f>
        <v>-1966.38</v>
      </c>
      <c r="AM300" s="8">
        <f>IFERROR(INDEX([1]SuSa_2024!BQ:BQ,MATCH($B300,[1]SuSa_2024!$B:$B,0)),"0")</f>
        <v>-2747.81</v>
      </c>
      <c r="AN300" s="8">
        <f>IFERROR(INDEX([1]SuSa_2024!BR:BR,MATCH($B300,[1]SuSa_2024!$B:$B,0)),"0")</f>
        <v>-3428.48</v>
      </c>
      <c r="AO300" s="8">
        <f>IFERROR(INDEX([1]SuSa_2024!BS:BS,MATCH($B300,[1]SuSa_2024!$B:$B,0)),"0")</f>
        <v>-4125.29</v>
      </c>
      <c r="AP300" s="8">
        <f>IFERROR(INDEX([1]SuSa_2024!BT:BT,MATCH($B300,[1]SuSa_2024!$B:$B,0)),"0")</f>
        <v>-4755.54</v>
      </c>
      <c r="AQ300" s="8">
        <f>IFERROR(INDEX([1]SuSa_2024!BU:BU,MATCH($B300,[1]SuSa_2024!$B:$B,0)),"0")</f>
        <v>-5083.2700000000004</v>
      </c>
      <c r="AR300" s="8">
        <f>IFERROR(INDEX([1]SuSa_2024!BV:BV,MATCH($B300,[1]SuSa_2024!$B:$B,0)),"0")</f>
        <v>-5397.55</v>
      </c>
      <c r="AS300" s="8">
        <f>IFERROR(INDEX([1]SuSa_2024!BW:BW,MATCH($B300,[1]SuSa_2024!$B:$B,0)),"0")</f>
        <v>-5599.2300000000005</v>
      </c>
      <c r="AT300" s="8">
        <f>IFERROR(INDEX([1]SuSa_2024!BX:BX,MATCH($B300,[1]SuSa_2024!$B:$B,0)),"0")</f>
        <v>-5800.9100000000008</v>
      </c>
      <c r="AU300" s="8">
        <f>IFERROR(INDEX([1]SuSa_2024!BY:BY,MATCH($B300,[1]SuSa_2024!$B:$B,0)),"0")</f>
        <v>-6002.5900000000011</v>
      </c>
      <c r="AV300" s="8">
        <f>IFERROR(INDEX([1]SuSa_2025!AR:AR,MATCH($B300,[1]SuSa_2025!$B:$B,0)),"0")</f>
        <v>0</v>
      </c>
      <c r="AW300" s="8">
        <f>IFERROR(INDEX([1]SuSa_2025!AS:AS,MATCH($B300,[1]SuSa_2025!$B:$B,0)),"0")</f>
        <v>0</v>
      </c>
      <c r="AX300" s="8">
        <f>IFERROR(INDEX([1]SuSa_2025!AT:AT,MATCH($B300,[1]SuSa_2025!$B:$B,0)),"0")</f>
        <v>0</v>
      </c>
      <c r="AY300" s="8">
        <f>IFERROR(INDEX([1]SuSa_2025!AU:AU,MATCH($B300,[1]SuSa_2025!$B:$B,0)),"0")</f>
        <v>0</v>
      </c>
      <c r="AZ300" s="8">
        <f>IFERROR(INDEX([1]SuSa_2025!AV:AV,MATCH($B300,[1]SuSa_2025!$B:$B,0)),"0")</f>
        <v>0</v>
      </c>
      <c r="BA300" s="8">
        <f>IFERROR(INDEX([1]SuSa_2025!AW:AW,MATCH($B300,[1]SuSa_2025!$B:$B,0)),"0")</f>
        <v>0</v>
      </c>
      <c r="BB300" s="8">
        <f>IFERROR(INDEX([1]SuSa_2025!AX:AX,MATCH($B300,[1]SuSa_2025!$B:$B,0)),"0")</f>
        <v>0</v>
      </c>
    </row>
    <row r="301" spans="1:54" outlineLevel="1" collapsed="1" x14ac:dyDescent="0.25">
      <c r="A301" s="5" t="s">
        <v>888</v>
      </c>
      <c r="B301" s="6" t="s">
        <v>889</v>
      </c>
      <c r="C301" t="s">
        <v>890</v>
      </c>
      <c r="E301" t="str">
        <f>INDEX([1]Umsatzzuordn.!$J:$J,MATCH(B301,[1]Umsatzzuordn.!$C:$C,0))</f>
        <v>/profit and loss/income/sales/B2B</v>
      </c>
      <c r="F301" s="7">
        <f t="shared" si="25"/>
        <v>0.08</v>
      </c>
      <c r="G301" s="7">
        <f t="shared" si="26"/>
        <v>28.88</v>
      </c>
      <c r="H301" s="7">
        <f t="shared" si="27"/>
        <v>0</v>
      </c>
      <c r="I301" s="7" t="str">
        <f t="shared" si="23"/>
        <v>0</v>
      </c>
      <c r="J301" s="8">
        <f t="shared" si="28"/>
        <v>0</v>
      </c>
      <c r="K301" s="8">
        <f t="shared" si="24"/>
        <v>0</v>
      </c>
      <c r="V301" s="8">
        <v>0.08</v>
      </c>
      <c r="W301" s="8">
        <v>0.08</v>
      </c>
      <c r="AD301" s="8">
        <v>28.87</v>
      </c>
      <c r="AE301" s="8">
        <v>28.87</v>
      </c>
      <c r="AF301" s="8">
        <v>28.87</v>
      </c>
      <c r="AG301" s="8">
        <v>28.87</v>
      </c>
      <c r="AH301" s="8">
        <v>28.87</v>
      </c>
      <c r="AI301" s="8">
        <v>28.88</v>
      </c>
      <c r="AJ301" s="8">
        <f>IFERROR(INDEX([1]SuSa_2024!BN:BN,MATCH($B301,[1]SuSa_2024!$B:$B,0)),"0")</f>
        <v>0</v>
      </c>
      <c r="AK301" s="8">
        <f>IFERROR(INDEX([1]SuSa_2024!BO:BO,MATCH($B301,[1]SuSa_2024!$B:$B,0)),"0")</f>
        <v>0</v>
      </c>
      <c r="AL301" s="8">
        <f>IFERROR(INDEX([1]SuSa_2024!BP:BP,MATCH($B301,[1]SuSa_2024!$B:$B,0)),"0")</f>
        <v>0</v>
      </c>
      <c r="AM301" s="8">
        <f>IFERROR(INDEX([1]SuSa_2024!BQ:BQ,MATCH($B301,[1]SuSa_2024!$B:$B,0)),"0")</f>
        <v>0</v>
      </c>
      <c r="AN301" s="8">
        <f>IFERROR(INDEX([1]SuSa_2024!BR:BR,MATCH($B301,[1]SuSa_2024!$B:$B,0)),"0")</f>
        <v>0</v>
      </c>
      <c r="AO301" s="8">
        <f>IFERROR(INDEX([1]SuSa_2024!BS:BS,MATCH($B301,[1]SuSa_2024!$B:$B,0)),"0")</f>
        <v>0</v>
      </c>
      <c r="AP301" s="8">
        <f>IFERROR(INDEX([1]SuSa_2024!BT:BT,MATCH($B301,[1]SuSa_2024!$B:$B,0)),"0")</f>
        <v>0</v>
      </c>
      <c r="AQ301" s="8">
        <f>IFERROR(INDEX([1]SuSa_2024!BU:BU,MATCH($B301,[1]SuSa_2024!$B:$B,0)),"0")</f>
        <v>0</v>
      </c>
      <c r="AR301" s="8">
        <f>IFERROR(INDEX([1]SuSa_2024!BV:BV,MATCH($B301,[1]SuSa_2024!$B:$B,0)),"0")</f>
        <v>0</v>
      </c>
      <c r="AS301" s="8">
        <f>IFERROR(INDEX([1]SuSa_2024!BW:BW,MATCH($B301,[1]SuSa_2024!$B:$B,0)),"0")</f>
        <v>0</v>
      </c>
      <c r="AT301" s="8">
        <f>IFERROR(INDEX([1]SuSa_2024!BX:BX,MATCH($B301,[1]SuSa_2024!$B:$B,0)),"0")</f>
        <v>0</v>
      </c>
      <c r="AU301" s="8">
        <f>IFERROR(INDEX([1]SuSa_2024!BY:BY,MATCH($B301,[1]SuSa_2024!$B:$B,0)),"0")</f>
        <v>0</v>
      </c>
      <c r="AV301" s="8" t="str">
        <f>IFERROR(INDEX([1]SuSa_2025!AR:AR,MATCH($B301,[1]SuSa_2025!$B:$B,0)),"0")</f>
        <v>0</v>
      </c>
      <c r="AW301" s="8" t="str">
        <f>IFERROR(INDEX([1]SuSa_2025!AS:AS,MATCH($B301,[1]SuSa_2025!$B:$B,0)),"0")</f>
        <v>0</v>
      </c>
      <c r="AX301" s="8" t="str">
        <f>IFERROR(INDEX([1]SuSa_2025!AT:AT,MATCH($B301,[1]SuSa_2025!$B:$B,0)),"0")</f>
        <v>0</v>
      </c>
      <c r="AY301" s="8" t="str">
        <f>IFERROR(INDEX([1]SuSa_2025!AU:AU,MATCH($B301,[1]SuSa_2025!$B:$B,0)),"0")</f>
        <v>0</v>
      </c>
      <c r="AZ301" s="8" t="str">
        <f>IFERROR(INDEX([1]SuSa_2025!AV:AV,MATCH($B301,[1]SuSa_2025!$B:$B,0)),"0")</f>
        <v>0</v>
      </c>
      <c r="BA301" s="8" t="str">
        <f>IFERROR(INDEX([1]SuSa_2025!AW:AW,MATCH($B301,[1]SuSa_2025!$B:$B,0)),"0")</f>
        <v>0</v>
      </c>
      <c r="BB301" s="8" t="str">
        <f>IFERROR(INDEX([1]SuSa_2025!AX:AX,MATCH($B301,[1]SuSa_2025!$B:$B,0)),"0")</f>
        <v>0</v>
      </c>
    </row>
    <row r="302" spans="1:54" outlineLevel="1" collapsed="1" x14ac:dyDescent="0.25">
      <c r="A302" s="5" t="s">
        <v>891</v>
      </c>
      <c r="B302" s="6" t="s">
        <v>892</v>
      </c>
      <c r="C302" t="s">
        <v>893</v>
      </c>
      <c r="E302" t="str">
        <f>INDEX([1]Umsatzzuordn.!$J:$J,MATCH(B302,[1]Umsatzzuordn.!$C:$C,0))</f>
        <v>/profit and loss/income/sales/B2B</v>
      </c>
      <c r="F302" s="7">
        <f t="shared" si="25"/>
        <v>0</v>
      </c>
      <c r="G302" s="7">
        <f t="shared" si="26"/>
        <v>5000</v>
      </c>
      <c r="H302" s="7">
        <f t="shared" si="27"/>
        <v>-5000</v>
      </c>
      <c r="I302" s="7">
        <f t="shared" si="23"/>
        <v>0</v>
      </c>
      <c r="J302" s="8">
        <f t="shared" si="28"/>
        <v>-5000</v>
      </c>
      <c r="K302" s="8">
        <f t="shared" si="24"/>
        <v>0</v>
      </c>
      <c r="Y302" s="8">
        <v>5000</v>
      </c>
      <c r="Z302" s="8">
        <v>5000</v>
      </c>
      <c r="AA302" s="8">
        <v>5000</v>
      </c>
      <c r="AB302" s="8">
        <v>5000</v>
      </c>
      <c r="AC302" s="8">
        <v>5000</v>
      </c>
      <c r="AD302" s="8">
        <v>5000</v>
      </c>
      <c r="AE302" s="8">
        <v>5000</v>
      </c>
      <c r="AF302" s="8">
        <v>5000</v>
      </c>
      <c r="AG302" s="8">
        <v>5000</v>
      </c>
      <c r="AH302" s="8">
        <v>5000</v>
      </c>
      <c r="AI302" s="8">
        <v>5000</v>
      </c>
      <c r="AJ302" s="8">
        <f>IFERROR(INDEX([1]SuSa_2024!BN:BN,MATCH($B302,[1]SuSa_2024!$B:$B,0)),"0")</f>
        <v>0</v>
      </c>
      <c r="AK302" s="8">
        <f>IFERROR(INDEX([1]SuSa_2024!BO:BO,MATCH($B302,[1]SuSa_2024!$B:$B,0)),"0")</f>
        <v>0</v>
      </c>
      <c r="AL302" s="8">
        <f>IFERROR(INDEX([1]SuSa_2024!BP:BP,MATCH($B302,[1]SuSa_2024!$B:$B,0)),"0")</f>
        <v>0</v>
      </c>
      <c r="AM302" s="8">
        <f>IFERROR(INDEX([1]SuSa_2024!BQ:BQ,MATCH($B302,[1]SuSa_2024!$B:$B,0)),"0")</f>
        <v>0</v>
      </c>
      <c r="AN302" s="8">
        <f>IFERROR(INDEX([1]SuSa_2024!BR:BR,MATCH($B302,[1]SuSa_2024!$B:$B,0)),"0")</f>
        <v>0</v>
      </c>
      <c r="AO302" s="8">
        <f>IFERROR(INDEX([1]SuSa_2024!BS:BS,MATCH($B302,[1]SuSa_2024!$B:$B,0)),"0")</f>
        <v>0</v>
      </c>
      <c r="AP302" s="8">
        <f>IFERROR(INDEX([1]SuSa_2024!BT:BT,MATCH($B302,[1]SuSa_2024!$B:$B,0)),"0")</f>
        <v>0</v>
      </c>
      <c r="AQ302" s="8">
        <f>IFERROR(INDEX([1]SuSa_2024!BU:BU,MATCH($B302,[1]SuSa_2024!$B:$B,0)),"0")</f>
        <v>0</v>
      </c>
      <c r="AR302" s="8">
        <f>IFERROR(INDEX([1]SuSa_2024!BV:BV,MATCH($B302,[1]SuSa_2024!$B:$B,0)),"0")</f>
        <v>0</v>
      </c>
      <c r="AS302" s="8">
        <f>IFERROR(INDEX([1]SuSa_2024!BW:BW,MATCH($B302,[1]SuSa_2024!$B:$B,0)),"0")</f>
        <v>0</v>
      </c>
      <c r="AT302" s="8">
        <f>IFERROR(INDEX([1]SuSa_2024!BX:BX,MATCH($B302,[1]SuSa_2024!$B:$B,0)),"0")</f>
        <v>0</v>
      </c>
      <c r="AU302" s="8">
        <f>IFERROR(INDEX([1]SuSa_2024!BY:BY,MATCH($B302,[1]SuSa_2024!$B:$B,0)),"0")</f>
        <v>-5000</v>
      </c>
      <c r="AV302" s="8">
        <f>IFERROR(INDEX([1]SuSa_2025!AR:AR,MATCH($B302,[1]SuSa_2025!$B:$B,0)),"0")</f>
        <v>0</v>
      </c>
      <c r="AW302" s="8">
        <f>IFERROR(INDEX([1]SuSa_2025!AS:AS,MATCH($B302,[1]SuSa_2025!$B:$B,0)),"0")</f>
        <v>0</v>
      </c>
      <c r="AX302" s="8">
        <f>IFERROR(INDEX([1]SuSa_2025!AT:AT,MATCH($B302,[1]SuSa_2025!$B:$B,0)),"0")</f>
        <v>0</v>
      </c>
      <c r="AY302" s="8">
        <f>IFERROR(INDEX([1]SuSa_2025!AU:AU,MATCH($B302,[1]SuSa_2025!$B:$B,0)),"0")</f>
        <v>0</v>
      </c>
      <c r="AZ302" s="8">
        <f>IFERROR(INDEX([1]SuSa_2025!AV:AV,MATCH($B302,[1]SuSa_2025!$B:$B,0)),"0")</f>
        <v>0</v>
      </c>
      <c r="BA302" s="8">
        <f>IFERROR(INDEX([1]SuSa_2025!AW:AW,MATCH($B302,[1]SuSa_2025!$B:$B,0)),"0")</f>
        <v>0</v>
      </c>
      <c r="BB302" s="8">
        <f>IFERROR(INDEX([1]SuSa_2025!AX:AX,MATCH($B302,[1]SuSa_2025!$B:$B,0)),"0")</f>
        <v>0</v>
      </c>
    </row>
    <row r="303" spans="1:54" outlineLevel="1" collapsed="1" x14ac:dyDescent="0.25">
      <c r="A303" s="5" t="s">
        <v>894</v>
      </c>
      <c r="B303" s="6" t="s">
        <v>895</v>
      </c>
      <c r="C303" t="s">
        <v>896</v>
      </c>
      <c r="E303" t="s">
        <v>354</v>
      </c>
      <c r="F303" s="7">
        <f t="shared" si="25"/>
        <v>0</v>
      </c>
      <c r="G303" s="7">
        <f t="shared" si="26"/>
        <v>0</v>
      </c>
      <c r="H303" s="7">
        <f t="shared" si="27"/>
        <v>-7177.02</v>
      </c>
      <c r="I303" s="7">
        <f t="shared" si="23"/>
        <v>0</v>
      </c>
      <c r="J303" s="8">
        <f t="shared" si="28"/>
        <v>-2061.6900000000005</v>
      </c>
      <c r="K303" s="8">
        <f t="shared" si="24"/>
        <v>-5115.33</v>
      </c>
      <c r="AJ303" s="8">
        <f>IFERROR(INDEX([1]SuSa_2024!BN:BN,MATCH($B303,[1]SuSa_2024!$B:$B,0)),"0")</f>
        <v>0</v>
      </c>
      <c r="AK303" s="8">
        <f>IFERROR(INDEX([1]SuSa_2024!BO:BO,MATCH($B303,[1]SuSa_2024!$B:$B,0)),"0")</f>
        <v>0</v>
      </c>
      <c r="AL303" s="8">
        <f>IFERROR(INDEX([1]SuSa_2024!BP:BP,MATCH($B303,[1]SuSa_2024!$B:$B,0)),"0")</f>
        <v>0</v>
      </c>
      <c r="AM303" s="8">
        <f>IFERROR(INDEX([1]SuSa_2024!BQ:BQ,MATCH($B303,[1]SuSa_2024!$B:$B,0)),"0")</f>
        <v>0</v>
      </c>
      <c r="AN303" s="8">
        <f>IFERROR(INDEX([1]SuSa_2024!BR:BR,MATCH($B303,[1]SuSa_2024!$B:$B,0)),"0")</f>
        <v>0</v>
      </c>
      <c r="AO303" s="8">
        <f>IFERROR(INDEX([1]SuSa_2024!BS:BS,MATCH($B303,[1]SuSa_2024!$B:$B,0)),"0")</f>
        <v>-4251.33</v>
      </c>
      <c r="AP303" s="8">
        <f>IFERROR(INDEX([1]SuSa_2024!BT:BT,MATCH($B303,[1]SuSa_2024!$B:$B,0)),"0")</f>
        <v>-5115.33</v>
      </c>
      <c r="AQ303" s="8">
        <f>IFERROR(INDEX([1]SuSa_2024!BU:BU,MATCH($B303,[1]SuSa_2024!$B:$B,0)),"0")</f>
        <v>-5977.02</v>
      </c>
      <c r="AR303" s="8">
        <f>IFERROR(INDEX([1]SuSa_2024!BV:BV,MATCH($B303,[1]SuSa_2024!$B:$B,0)),"0")</f>
        <v>-5977.02</v>
      </c>
      <c r="AS303" s="8">
        <f>IFERROR(INDEX([1]SuSa_2024!BW:BW,MATCH($B303,[1]SuSa_2024!$B:$B,0)),"0")</f>
        <v>-5977.02</v>
      </c>
      <c r="AT303" s="8">
        <f>IFERROR(INDEX([1]SuSa_2024!BX:BX,MATCH($B303,[1]SuSa_2024!$B:$B,0)),"0")</f>
        <v>-7177.02</v>
      </c>
      <c r="AU303" s="8">
        <f>IFERROR(INDEX([1]SuSa_2024!BY:BY,MATCH($B303,[1]SuSa_2024!$B:$B,0)),"0")</f>
        <v>-7177.02</v>
      </c>
      <c r="AV303" s="8">
        <f>IFERROR(INDEX([1]SuSa_2025!AR:AR,MATCH($B303,[1]SuSa_2025!$B:$B,0)),"0")</f>
        <v>0</v>
      </c>
      <c r="AW303" s="8">
        <f>IFERROR(INDEX([1]SuSa_2025!AS:AS,MATCH($B303,[1]SuSa_2025!$B:$B,0)),"0")</f>
        <v>0</v>
      </c>
      <c r="AX303" s="8">
        <f>IFERROR(INDEX([1]SuSa_2025!AT:AT,MATCH($B303,[1]SuSa_2025!$B:$B,0)),"0")</f>
        <v>0</v>
      </c>
      <c r="AY303" s="8">
        <f>IFERROR(INDEX([1]SuSa_2025!AU:AU,MATCH($B303,[1]SuSa_2025!$B:$B,0)),"0")</f>
        <v>0</v>
      </c>
      <c r="AZ303" s="8">
        <f>IFERROR(INDEX([1]SuSa_2025!AV:AV,MATCH($B303,[1]SuSa_2025!$B:$B,0)),"0")</f>
        <v>0</v>
      </c>
      <c r="BA303" s="8">
        <f>IFERROR(INDEX([1]SuSa_2025!AW:AW,MATCH($B303,[1]SuSa_2025!$B:$B,0)),"0")</f>
        <v>0</v>
      </c>
      <c r="BB303" s="8">
        <f>IFERROR(INDEX([1]SuSa_2025!AX:AX,MATCH($B303,[1]SuSa_2025!$B:$B,0)),"0")</f>
        <v>0</v>
      </c>
    </row>
    <row r="304" spans="1:54" outlineLevel="1" collapsed="1" x14ac:dyDescent="0.25">
      <c r="A304" s="5" t="s">
        <v>897</v>
      </c>
      <c r="B304" s="6" t="s">
        <v>898</v>
      </c>
      <c r="C304" t="s">
        <v>899</v>
      </c>
      <c r="F304" s="7">
        <f t="shared" si="25"/>
        <v>-81133.570000000007</v>
      </c>
      <c r="G304" s="7">
        <f t="shared" si="26"/>
        <v>-6015.06</v>
      </c>
      <c r="H304" s="7">
        <f t="shared" si="27"/>
        <v>61954</v>
      </c>
      <c r="I304" s="7">
        <f t="shared" si="23"/>
        <v>0</v>
      </c>
      <c r="J304" s="8">
        <f t="shared" si="28"/>
        <v>0</v>
      </c>
      <c r="K304" s="8">
        <f t="shared" si="24"/>
        <v>61954</v>
      </c>
      <c r="L304" s="8">
        <v>-36577</v>
      </c>
      <c r="M304" s="8">
        <v>-72362</v>
      </c>
      <c r="N304" s="8">
        <v>-86190</v>
      </c>
      <c r="O304" s="8">
        <v>-138778.06</v>
      </c>
      <c r="P304" s="8">
        <v>-58771.09</v>
      </c>
      <c r="Q304" s="8">
        <v>-98515.43</v>
      </c>
      <c r="R304" s="8">
        <v>-57667.61</v>
      </c>
      <c r="S304" s="8">
        <v>-74060.22</v>
      </c>
      <c r="T304" s="8">
        <v>-69091.25</v>
      </c>
      <c r="U304" s="8">
        <v>-101155.48</v>
      </c>
      <c r="V304" s="8">
        <v>-109501.27</v>
      </c>
      <c r="W304" s="8">
        <v>-81133.570000000007</v>
      </c>
      <c r="X304" s="8">
        <v>23380.92</v>
      </c>
      <c r="Y304" s="8">
        <v>-33454.129999999997</v>
      </c>
      <c r="Z304" s="8">
        <v>16441.09</v>
      </c>
      <c r="AA304" s="8">
        <v>27814.52</v>
      </c>
      <c r="AB304" s="8">
        <v>35919.769999999997</v>
      </c>
      <c r="AC304" s="8">
        <v>10117.299999999999</v>
      </c>
      <c r="AD304" s="8">
        <v>-9172.42</v>
      </c>
      <c r="AE304" s="8">
        <v>-32873.339999999997</v>
      </c>
      <c r="AF304" s="8">
        <v>559.66</v>
      </c>
      <c r="AG304" s="8">
        <v>-27783.34</v>
      </c>
      <c r="AH304" s="8">
        <v>-70552.06</v>
      </c>
      <c r="AI304" s="8">
        <v>-6015.06</v>
      </c>
      <c r="AJ304" s="8">
        <f>IFERROR(INDEX([1]SuSa_2024!BN:BN,MATCH($B304,[1]SuSa_2024!$B:$B,0)),"0")</f>
        <v>41794</v>
      </c>
      <c r="AK304" s="8">
        <f>IFERROR(INDEX([1]SuSa_2024!BO:BO,MATCH($B304,[1]SuSa_2024!$B:$B,0)),"0")</f>
        <v>61652</v>
      </c>
      <c r="AL304" s="8">
        <f>IFERROR(INDEX([1]SuSa_2024!BP:BP,MATCH($B304,[1]SuSa_2024!$B:$B,0)),"0")</f>
        <v>61954</v>
      </c>
      <c r="AM304" s="8">
        <f>IFERROR(INDEX([1]SuSa_2024!BQ:BQ,MATCH($B304,[1]SuSa_2024!$B:$B,0)),"0")</f>
        <v>61954</v>
      </c>
      <c r="AN304" s="8">
        <f>IFERROR(INDEX([1]SuSa_2024!BR:BR,MATCH($B304,[1]SuSa_2024!$B:$B,0)),"0")</f>
        <v>61954</v>
      </c>
      <c r="AO304" s="8">
        <f>IFERROR(INDEX([1]SuSa_2024!BS:BS,MATCH($B304,[1]SuSa_2024!$B:$B,0)),"0")</f>
        <v>61954</v>
      </c>
      <c r="AP304" s="8">
        <f>IFERROR(INDEX([1]SuSa_2024!BT:BT,MATCH($B304,[1]SuSa_2024!$B:$B,0)),"0")</f>
        <v>61954</v>
      </c>
      <c r="AQ304" s="8">
        <f>IFERROR(INDEX([1]SuSa_2024!BU:BU,MATCH($B304,[1]SuSa_2024!$B:$B,0)),"0")</f>
        <v>61954</v>
      </c>
      <c r="AR304" s="8">
        <f>IFERROR(INDEX([1]SuSa_2024!BV:BV,MATCH($B304,[1]SuSa_2024!$B:$B,0)),"0")</f>
        <v>61954</v>
      </c>
      <c r="AS304" s="8">
        <f>IFERROR(INDEX([1]SuSa_2024!BW:BW,MATCH($B304,[1]SuSa_2024!$B:$B,0)),"0")</f>
        <v>61954</v>
      </c>
      <c r="AT304" s="8">
        <f>IFERROR(INDEX([1]SuSa_2024!BX:BX,MATCH($B304,[1]SuSa_2024!$B:$B,0)),"0")</f>
        <v>61954</v>
      </c>
      <c r="AU304" s="8">
        <f>IFERROR(INDEX([1]SuSa_2024!BY:BY,MATCH($B304,[1]SuSa_2024!$B:$B,0)),"0")</f>
        <v>61954</v>
      </c>
      <c r="AV304" s="8">
        <f>IFERROR(INDEX([1]SuSa_2025!AR:AR,MATCH($B304,[1]SuSa_2025!$B:$B,0)),"0")</f>
        <v>0</v>
      </c>
      <c r="AW304" s="8">
        <f>IFERROR(INDEX([1]SuSa_2025!AS:AS,MATCH($B304,[1]SuSa_2025!$B:$B,0)),"0")</f>
        <v>0</v>
      </c>
      <c r="AX304" s="8">
        <f>IFERROR(INDEX([1]SuSa_2025!AT:AT,MATCH($B304,[1]SuSa_2025!$B:$B,0)),"0")</f>
        <v>0</v>
      </c>
      <c r="AY304" s="8">
        <f>IFERROR(INDEX([1]SuSa_2025!AU:AU,MATCH($B304,[1]SuSa_2025!$B:$B,0)),"0")</f>
        <v>0</v>
      </c>
      <c r="AZ304" s="8">
        <f>IFERROR(INDEX([1]SuSa_2025!AV:AV,MATCH($B304,[1]SuSa_2025!$B:$B,0)),"0")</f>
        <v>0</v>
      </c>
      <c r="BA304" s="8">
        <f>IFERROR(INDEX([1]SuSa_2025!AW:AW,MATCH($B304,[1]SuSa_2025!$B:$B,0)),"0")</f>
        <v>0</v>
      </c>
      <c r="BB304" s="8">
        <f>IFERROR(INDEX([1]SuSa_2025!AX:AX,MATCH($B304,[1]SuSa_2025!$B:$B,0)),"0")</f>
        <v>0</v>
      </c>
    </row>
    <row r="305" spans="1:54" outlineLevel="1" collapsed="1" x14ac:dyDescent="0.25">
      <c r="A305" s="5" t="s">
        <v>897</v>
      </c>
      <c r="B305" s="6" t="s">
        <v>900</v>
      </c>
      <c r="C305" t="s">
        <v>901</v>
      </c>
      <c r="F305" s="7">
        <f t="shared" si="25"/>
        <v>-9000</v>
      </c>
      <c r="G305" s="7">
        <f t="shared" si="26"/>
        <v>9000</v>
      </c>
      <c r="H305" s="7">
        <f t="shared" si="27"/>
        <v>0</v>
      </c>
      <c r="I305" s="7" t="str">
        <f t="shared" si="23"/>
        <v>0</v>
      </c>
      <c r="J305" s="8">
        <f t="shared" si="28"/>
        <v>0</v>
      </c>
      <c r="K305" s="8">
        <f t="shared" si="24"/>
        <v>0</v>
      </c>
      <c r="L305" s="8">
        <v>-18000</v>
      </c>
      <c r="M305" s="8">
        <v>-18000</v>
      </c>
      <c r="N305" s="8">
        <v>-18000</v>
      </c>
      <c r="O305" s="8">
        <v>-18000</v>
      </c>
      <c r="P305" s="8">
        <v>-9000</v>
      </c>
      <c r="Q305" s="8">
        <v>-18000</v>
      </c>
      <c r="R305" s="8">
        <v>-18000</v>
      </c>
      <c r="S305" s="8">
        <v>-9000</v>
      </c>
      <c r="T305" s="8">
        <v>-18000</v>
      </c>
      <c r="U305" s="8">
        <v>-18000</v>
      </c>
      <c r="V305" s="8">
        <v>-27000</v>
      </c>
      <c r="W305" s="8">
        <v>-9000</v>
      </c>
      <c r="Y305" s="8">
        <v>-9000</v>
      </c>
      <c r="Z305" s="8">
        <v>-9000</v>
      </c>
      <c r="AA305" s="8">
        <v>-18000</v>
      </c>
      <c r="AB305" s="8">
        <v>0</v>
      </c>
      <c r="AC305" s="8">
        <v>9000</v>
      </c>
      <c r="AD305" s="8">
        <v>9000</v>
      </c>
      <c r="AE305" s="8">
        <v>9000</v>
      </c>
      <c r="AF305" s="8">
        <v>9000</v>
      </c>
      <c r="AG305" s="8">
        <v>9000</v>
      </c>
      <c r="AH305" s="8">
        <v>9000</v>
      </c>
      <c r="AI305" s="8">
        <v>9000</v>
      </c>
      <c r="AJ305" s="8">
        <f>IFERROR(INDEX([1]SuSa_2024!BN:BN,MATCH($B305,[1]SuSa_2024!$B:$B,0)),"0")</f>
        <v>0</v>
      </c>
      <c r="AK305" s="8">
        <f>IFERROR(INDEX([1]SuSa_2024!BO:BO,MATCH($B305,[1]SuSa_2024!$B:$B,0)),"0")</f>
        <v>0</v>
      </c>
      <c r="AL305" s="8">
        <f>IFERROR(INDEX([1]SuSa_2024!BP:BP,MATCH($B305,[1]SuSa_2024!$B:$B,0)),"0")</f>
        <v>0</v>
      </c>
      <c r="AM305" s="8">
        <f>IFERROR(INDEX([1]SuSa_2024!BQ:BQ,MATCH($B305,[1]SuSa_2024!$B:$B,0)),"0")</f>
        <v>0</v>
      </c>
      <c r="AN305" s="8">
        <f>IFERROR(INDEX([1]SuSa_2024!BR:BR,MATCH($B305,[1]SuSa_2024!$B:$B,0)),"0")</f>
        <v>0</v>
      </c>
      <c r="AO305" s="8">
        <f>IFERROR(INDEX([1]SuSa_2024!BS:BS,MATCH($B305,[1]SuSa_2024!$B:$B,0)),"0")</f>
        <v>0</v>
      </c>
      <c r="AP305" s="8">
        <f>IFERROR(INDEX([1]SuSa_2024!BT:BT,MATCH($B305,[1]SuSa_2024!$B:$B,0)),"0")</f>
        <v>0</v>
      </c>
      <c r="AQ305" s="8">
        <f>IFERROR(INDEX([1]SuSa_2024!BU:BU,MATCH($B305,[1]SuSa_2024!$B:$B,0)),"0")</f>
        <v>0</v>
      </c>
      <c r="AR305" s="8">
        <f>IFERROR(INDEX([1]SuSa_2024!BV:BV,MATCH($B305,[1]SuSa_2024!$B:$B,0)),"0")</f>
        <v>0</v>
      </c>
      <c r="AS305" s="8">
        <f>IFERROR(INDEX([1]SuSa_2024!BW:BW,MATCH($B305,[1]SuSa_2024!$B:$B,0)),"0")</f>
        <v>0</v>
      </c>
      <c r="AT305" s="8">
        <f>IFERROR(INDEX([1]SuSa_2024!BX:BX,MATCH($B305,[1]SuSa_2024!$B:$B,0)),"0")</f>
        <v>0</v>
      </c>
      <c r="AU305" s="8">
        <f>IFERROR(INDEX([1]SuSa_2024!BY:BY,MATCH($B305,[1]SuSa_2024!$B:$B,0)),"0")</f>
        <v>0</v>
      </c>
      <c r="AV305" s="8" t="str">
        <f>IFERROR(INDEX([1]SuSa_2025!AR:AR,MATCH($B305,[1]SuSa_2025!$B:$B,0)),"0")</f>
        <v>0</v>
      </c>
      <c r="AW305" s="8" t="str">
        <f>IFERROR(INDEX([1]SuSa_2025!AS:AS,MATCH($B305,[1]SuSa_2025!$B:$B,0)),"0")</f>
        <v>0</v>
      </c>
      <c r="AX305" s="8" t="str">
        <f>IFERROR(INDEX([1]SuSa_2025!AT:AT,MATCH($B305,[1]SuSa_2025!$B:$B,0)),"0")</f>
        <v>0</v>
      </c>
      <c r="AY305" s="8" t="str">
        <f>IFERROR(INDEX([1]SuSa_2025!AU:AU,MATCH($B305,[1]SuSa_2025!$B:$B,0)),"0")</f>
        <v>0</v>
      </c>
      <c r="AZ305" s="8" t="str">
        <f>IFERROR(INDEX([1]SuSa_2025!AV:AV,MATCH($B305,[1]SuSa_2025!$B:$B,0)),"0")</f>
        <v>0</v>
      </c>
      <c r="BA305" s="8" t="str">
        <f>IFERROR(INDEX([1]SuSa_2025!AW:AW,MATCH($B305,[1]SuSa_2025!$B:$B,0)),"0")</f>
        <v>0</v>
      </c>
      <c r="BB305" s="8" t="str">
        <f>IFERROR(INDEX([1]SuSa_2025!AX:AX,MATCH($B305,[1]SuSa_2025!$B:$B,0)),"0")</f>
        <v>0</v>
      </c>
    </row>
    <row r="306" spans="1:54" outlineLevel="1" collapsed="1" x14ac:dyDescent="0.25">
      <c r="A306" s="5" t="s">
        <v>897</v>
      </c>
      <c r="B306" s="6" t="s">
        <v>902</v>
      </c>
      <c r="C306" t="s">
        <v>903</v>
      </c>
      <c r="F306" s="7">
        <f t="shared" si="25"/>
        <v>0.01</v>
      </c>
      <c r="G306" s="7">
        <f t="shared" si="26"/>
        <v>-0.25</v>
      </c>
      <c r="H306" s="7">
        <f t="shared" si="27"/>
        <v>0</v>
      </c>
      <c r="I306" s="7" t="str">
        <f t="shared" si="23"/>
        <v>0</v>
      </c>
      <c r="J306" s="8">
        <f t="shared" si="28"/>
        <v>0</v>
      </c>
      <c r="K306" s="8">
        <f t="shared" si="24"/>
        <v>0</v>
      </c>
      <c r="L306" s="8">
        <v>-21017</v>
      </c>
      <c r="M306" s="8">
        <v>-39684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-12714.57</v>
      </c>
      <c r="T306" s="8">
        <v>-25019</v>
      </c>
      <c r="U306" s="8">
        <v>-37733.57</v>
      </c>
      <c r="V306" s="8">
        <v>-14363.6</v>
      </c>
      <c r="W306" s="8">
        <v>0.01</v>
      </c>
      <c r="X306" s="8">
        <v>-19705.32</v>
      </c>
      <c r="Y306" s="8">
        <v>-39773.21</v>
      </c>
      <c r="Z306" s="8">
        <v>0</v>
      </c>
      <c r="AA306" s="8">
        <v>-5233.16</v>
      </c>
      <c r="AB306" s="8">
        <v>-10640.75</v>
      </c>
      <c r="AC306" s="8">
        <v>-15873.91</v>
      </c>
      <c r="AD306" s="8">
        <v>-21281.5</v>
      </c>
      <c r="AE306" s="8">
        <v>-26689.09</v>
      </c>
      <c r="AF306" s="8">
        <v>-31922.09</v>
      </c>
      <c r="AG306" s="8">
        <v>-37330.089999999997</v>
      </c>
      <c r="AH306" s="8">
        <v>-0.25</v>
      </c>
      <c r="AI306" s="8">
        <v>-0.25</v>
      </c>
      <c r="AJ306" s="8">
        <f>IFERROR(INDEX([1]SuSa_2024!BN:BN,MATCH($B306,[1]SuSa_2024!$B:$B,0)),"0")</f>
        <v>0</v>
      </c>
      <c r="AK306" s="8">
        <f>IFERROR(INDEX([1]SuSa_2024!BO:BO,MATCH($B306,[1]SuSa_2024!$B:$B,0)),"0")</f>
        <v>0</v>
      </c>
      <c r="AL306" s="8">
        <f>IFERROR(INDEX([1]SuSa_2024!BP:BP,MATCH($B306,[1]SuSa_2024!$B:$B,0)),"0")</f>
        <v>0</v>
      </c>
      <c r="AM306" s="8">
        <f>IFERROR(INDEX([1]SuSa_2024!BQ:BQ,MATCH($B306,[1]SuSa_2024!$B:$B,0)),"0")</f>
        <v>0</v>
      </c>
      <c r="AN306" s="8">
        <f>IFERROR(INDEX([1]SuSa_2024!BR:BR,MATCH($B306,[1]SuSa_2024!$B:$B,0)),"0")</f>
        <v>0</v>
      </c>
      <c r="AO306" s="8">
        <f>IFERROR(INDEX([1]SuSa_2024!BS:BS,MATCH($B306,[1]SuSa_2024!$B:$B,0)),"0")</f>
        <v>0</v>
      </c>
      <c r="AP306" s="8">
        <f>IFERROR(INDEX([1]SuSa_2024!BT:BT,MATCH($B306,[1]SuSa_2024!$B:$B,0)),"0")</f>
        <v>0</v>
      </c>
      <c r="AQ306" s="8">
        <f>IFERROR(INDEX([1]SuSa_2024!BU:BU,MATCH($B306,[1]SuSa_2024!$B:$B,0)),"0")</f>
        <v>0</v>
      </c>
      <c r="AR306" s="8">
        <f>IFERROR(INDEX([1]SuSa_2024!BV:BV,MATCH($B306,[1]SuSa_2024!$B:$B,0)),"0")</f>
        <v>0</v>
      </c>
      <c r="AS306" s="8">
        <f>IFERROR(INDEX([1]SuSa_2024!BW:BW,MATCH($B306,[1]SuSa_2024!$B:$B,0)),"0")</f>
        <v>0</v>
      </c>
      <c r="AT306" s="8">
        <f>IFERROR(INDEX([1]SuSa_2024!BX:BX,MATCH($B306,[1]SuSa_2024!$B:$B,0)),"0")</f>
        <v>0</v>
      </c>
      <c r="AU306" s="8">
        <f>IFERROR(INDEX([1]SuSa_2024!BY:BY,MATCH($B306,[1]SuSa_2024!$B:$B,0)),"0")</f>
        <v>0</v>
      </c>
      <c r="AV306" s="8" t="str">
        <f>IFERROR(INDEX([1]SuSa_2025!AR:AR,MATCH($B306,[1]SuSa_2025!$B:$B,0)),"0")</f>
        <v>0</v>
      </c>
      <c r="AW306" s="8" t="str">
        <f>IFERROR(INDEX([1]SuSa_2025!AS:AS,MATCH($B306,[1]SuSa_2025!$B:$B,0)),"0")</f>
        <v>0</v>
      </c>
      <c r="AX306" s="8" t="str">
        <f>IFERROR(INDEX([1]SuSa_2025!AT:AT,MATCH($B306,[1]SuSa_2025!$B:$B,0)),"0")</f>
        <v>0</v>
      </c>
      <c r="AY306" s="8" t="str">
        <f>IFERROR(INDEX([1]SuSa_2025!AU:AU,MATCH($B306,[1]SuSa_2025!$B:$B,0)),"0")</f>
        <v>0</v>
      </c>
      <c r="AZ306" s="8" t="str">
        <f>IFERROR(INDEX([1]SuSa_2025!AV:AV,MATCH($B306,[1]SuSa_2025!$B:$B,0)),"0")</f>
        <v>0</v>
      </c>
      <c r="BA306" s="8" t="str">
        <f>IFERROR(INDEX([1]SuSa_2025!AW:AW,MATCH($B306,[1]SuSa_2025!$B:$B,0)),"0")</f>
        <v>0</v>
      </c>
      <c r="BB306" s="8" t="str">
        <f>IFERROR(INDEX([1]SuSa_2025!AX:AX,MATCH($B306,[1]SuSa_2025!$B:$B,0)),"0")</f>
        <v>0</v>
      </c>
    </row>
    <row r="307" spans="1:54" outlineLevel="1" collapsed="1" x14ac:dyDescent="0.25">
      <c r="A307" s="5" t="s">
        <v>897</v>
      </c>
      <c r="B307" s="6" t="s">
        <v>904</v>
      </c>
      <c r="C307" t="s">
        <v>905</v>
      </c>
      <c r="F307" s="7">
        <f t="shared" si="25"/>
        <v>46937.31</v>
      </c>
      <c r="G307" s="7">
        <f t="shared" si="26"/>
        <v>0</v>
      </c>
      <c r="H307" s="7">
        <f t="shared" si="27"/>
        <v>0</v>
      </c>
      <c r="I307" s="7" t="str">
        <f t="shared" si="23"/>
        <v>0</v>
      </c>
      <c r="J307" s="8">
        <f t="shared" si="28"/>
        <v>0</v>
      </c>
      <c r="K307" s="8">
        <f t="shared" si="24"/>
        <v>0</v>
      </c>
      <c r="L307" s="8">
        <v>-14601</v>
      </c>
      <c r="M307" s="8">
        <v>10389</v>
      </c>
      <c r="N307" s="8">
        <v>-21180</v>
      </c>
      <c r="O307" s="8">
        <v>-6230.92</v>
      </c>
      <c r="P307" s="8">
        <v>-768.77</v>
      </c>
      <c r="Q307" s="8">
        <v>4766.09</v>
      </c>
      <c r="R307" s="8">
        <v>37920.639999999999</v>
      </c>
      <c r="S307" s="8">
        <v>33338.400000000001</v>
      </c>
      <c r="T307" s="8">
        <v>19040.89</v>
      </c>
      <c r="U307" s="8">
        <v>-8867.66</v>
      </c>
      <c r="V307" s="8">
        <v>-16202.99</v>
      </c>
      <c r="W307" s="8">
        <v>46937.31</v>
      </c>
      <c r="X307" s="8">
        <v>-8987.4500000000007</v>
      </c>
      <c r="Y307" s="8">
        <v>-17105.150000000001</v>
      </c>
      <c r="Z307" s="8">
        <v>-11871.29</v>
      </c>
      <c r="AA307" s="8">
        <v>-21604.34</v>
      </c>
      <c r="AB307" s="8">
        <v>-41390.639999999999</v>
      </c>
      <c r="AC307" s="8">
        <v>-60402.61</v>
      </c>
      <c r="AD307" s="8">
        <v>-59087.37</v>
      </c>
      <c r="AE307" s="8">
        <v>-34486.339999999997</v>
      </c>
      <c r="AF307" s="8">
        <v>-4918.34</v>
      </c>
      <c r="AG307" s="8">
        <v>-10000.34</v>
      </c>
      <c r="AH307" s="8">
        <v>-14918.37</v>
      </c>
      <c r="AI307" s="8">
        <v>0</v>
      </c>
      <c r="AJ307" s="8">
        <f>IFERROR(INDEX([1]SuSa_2024!BN:BN,MATCH($B307,[1]SuSa_2024!$B:$B,0)),"0")</f>
        <v>0</v>
      </c>
      <c r="AK307" s="8">
        <f>IFERROR(INDEX([1]SuSa_2024!BO:BO,MATCH($B307,[1]SuSa_2024!$B:$B,0)),"0")</f>
        <v>0</v>
      </c>
      <c r="AL307" s="8">
        <f>IFERROR(INDEX([1]SuSa_2024!BP:BP,MATCH($B307,[1]SuSa_2024!$B:$B,0)),"0")</f>
        <v>0</v>
      </c>
      <c r="AM307" s="8">
        <f>IFERROR(INDEX([1]SuSa_2024!BQ:BQ,MATCH($B307,[1]SuSa_2024!$B:$B,0)),"0")</f>
        <v>0</v>
      </c>
      <c r="AN307" s="8">
        <f>IFERROR(INDEX([1]SuSa_2024!BR:BR,MATCH($B307,[1]SuSa_2024!$B:$B,0)),"0")</f>
        <v>0</v>
      </c>
      <c r="AO307" s="8">
        <f>IFERROR(INDEX([1]SuSa_2024!BS:BS,MATCH($B307,[1]SuSa_2024!$B:$B,0)),"0")</f>
        <v>0</v>
      </c>
      <c r="AP307" s="8">
        <f>IFERROR(INDEX([1]SuSa_2024!BT:BT,MATCH($B307,[1]SuSa_2024!$B:$B,0)),"0")</f>
        <v>0</v>
      </c>
      <c r="AQ307" s="8">
        <f>IFERROR(INDEX([1]SuSa_2024!BU:BU,MATCH($B307,[1]SuSa_2024!$B:$B,0)),"0")</f>
        <v>0</v>
      </c>
      <c r="AR307" s="8">
        <f>IFERROR(INDEX([1]SuSa_2024!BV:BV,MATCH($B307,[1]SuSa_2024!$B:$B,0)),"0")</f>
        <v>0</v>
      </c>
      <c r="AS307" s="8">
        <f>IFERROR(INDEX([1]SuSa_2024!BW:BW,MATCH($B307,[1]SuSa_2024!$B:$B,0)),"0")</f>
        <v>0</v>
      </c>
      <c r="AT307" s="8">
        <f>IFERROR(INDEX([1]SuSa_2024!BX:BX,MATCH($B307,[1]SuSa_2024!$B:$B,0)),"0")</f>
        <v>0</v>
      </c>
      <c r="AU307" s="8">
        <f>IFERROR(INDEX([1]SuSa_2024!BY:BY,MATCH($B307,[1]SuSa_2024!$B:$B,0)),"0")</f>
        <v>0</v>
      </c>
      <c r="AV307" s="8" t="str">
        <f>IFERROR(INDEX([1]SuSa_2025!AR:AR,MATCH($B307,[1]SuSa_2025!$B:$B,0)),"0")</f>
        <v>0</v>
      </c>
      <c r="AW307" s="8" t="str">
        <f>IFERROR(INDEX([1]SuSa_2025!AS:AS,MATCH($B307,[1]SuSa_2025!$B:$B,0)),"0")</f>
        <v>0</v>
      </c>
      <c r="AX307" s="8" t="str">
        <f>IFERROR(INDEX([1]SuSa_2025!AT:AT,MATCH($B307,[1]SuSa_2025!$B:$B,0)),"0")</f>
        <v>0</v>
      </c>
      <c r="AY307" s="8" t="str">
        <f>IFERROR(INDEX([1]SuSa_2025!AU:AU,MATCH($B307,[1]SuSa_2025!$B:$B,0)),"0")</f>
        <v>0</v>
      </c>
      <c r="AZ307" s="8" t="str">
        <f>IFERROR(INDEX([1]SuSa_2025!AV:AV,MATCH($B307,[1]SuSa_2025!$B:$B,0)),"0")</f>
        <v>0</v>
      </c>
      <c r="BA307" s="8" t="str">
        <f>IFERROR(INDEX([1]SuSa_2025!AW:AW,MATCH($B307,[1]SuSa_2025!$B:$B,0)),"0")</f>
        <v>0</v>
      </c>
      <c r="BB307" s="8" t="str">
        <f>IFERROR(INDEX([1]SuSa_2025!AX:AX,MATCH($B307,[1]SuSa_2025!$B:$B,0)),"0")</f>
        <v>0</v>
      </c>
    </row>
    <row r="308" spans="1:54" outlineLevel="1" collapsed="1" x14ac:dyDescent="0.25">
      <c r="A308" s="5" t="s">
        <v>897</v>
      </c>
      <c r="B308" s="6" t="s">
        <v>906</v>
      </c>
      <c r="C308" t="s">
        <v>907</v>
      </c>
      <c r="F308" s="7">
        <f t="shared" si="25"/>
        <v>34061.97</v>
      </c>
      <c r="G308" s="7">
        <f t="shared" si="26"/>
        <v>-40766.71</v>
      </c>
      <c r="H308" s="7">
        <f t="shared" si="27"/>
        <v>59624</v>
      </c>
      <c r="I308" s="7">
        <f t="shared" si="23"/>
        <v>0</v>
      </c>
      <c r="J308" s="8">
        <f t="shared" si="28"/>
        <v>0</v>
      </c>
      <c r="K308" s="8">
        <f t="shared" si="24"/>
        <v>59624</v>
      </c>
      <c r="L308" s="8">
        <v>5292</v>
      </c>
      <c r="M308" s="8">
        <v>11300</v>
      </c>
      <c r="N308" s="8">
        <v>7999</v>
      </c>
      <c r="O308" s="8">
        <v>2597.6999999999998</v>
      </c>
      <c r="P308" s="8">
        <v>12308.45</v>
      </c>
      <c r="Q308" s="8">
        <v>1606.68</v>
      </c>
      <c r="R308" s="8">
        <v>-12656.31</v>
      </c>
      <c r="S308" s="8">
        <v>-24236.03</v>
      </c>
      <c r="T308" s="8">
        <v>-15310.45</v>
      </c>
      <c r="U308" s="8">
        <v>-24551.84</v>
      </c>
      <c r="V308" s="8">
        <v>-22658.5</v>
      </c>
      <c r="W308" s="8">
        <v>34061.97</v>
      </c>
      <c r="X308" s="8">
        <v>-6477.69</v>
      </c>
      <c r="Y308" s="8">
        <v>-20453</v>
      </c>
      <c r="Z308" s="8">
        <v>-10972.29</v>
      </c>
      <c r="AA308" s="8">
        <v>-20791.79</v>
      </c>
      <c r="AB308" s="8">
        <v>-32933.050000000003</v>
      </c>
      <c r="AC308" s="8">
        <v>-67114.75</v>
      </c>
      <c r="AD308" s="8">
        <v>-80257.72</v>
      </c>
      <c r="AE308" s="8">
        <v>-84633.8</v>
      </c>
      <c r="AF308" s="8">
        <v>-13868.8</v>
      </c>
      <c r="AG308" s="8">
        <v>-36272.800000000003</v>
      </c>
      <c r="AH308" s="8">
        <v>-64923.14</v>
      </c>
      <c r="AI308" s="8">
        <v>-40766.71</v>
      </c>
      <c r="AJ308" s="8">
        <f>IFERROR(INDEX([1]SuSa_2024!BN:BN,MATCH($B308,[1]SuSa_2024!$B:$B,0)),"0")</f>
        <v>50103</v>
      </c>
      <c r="AK308" s="8">
        <f>IFERROR(INDEX([1]SuSa_2024!BO:BO,MATCH($B308,[1]SuSa_2024!$B:$B,0)),"0")</f>
        <v>55703</v>
      </c>
      <c r="AL308" s="8">
        <f>IFERROR(INDEX([1]SuSa_2024!BP:BP,MATCH($B308,[1]SuSa_2024!$B:$B,0)),"0")</f>
        <v>59624</v>
      </c>
      <c r="AM308" s="8">
        <f>IFERROR(INDEX([1]SuSa_2024!BQ:BQ,MATCH($B308,[1]SuSa_2024!$B:$B,0)),"0")</f>
        <v>59624</v>
      </c>
      <c r="AN308" s="8">
        <f>IFERROR(INDEX([1]SuSa_2024!BR:BR,MATCH($B308,[1]SuSa_2024!$B:$B,0)),"0")</f>
        <v>59624</v>
      </c>
      <c r="AO308" s="8">
        <f>IFERROR(INDEX([1]SuSa_2024!BS:BS,MATCH($B308,[1]SuSa_2024!$B:$B,0)),"0")</f>
        <v>59624</v>
      </c>
      <c r="AP308" s="8">
        <f>IFERROR(INDEX([1]SuSa_2024!BT:BT,MATCH($B308,[1]SuSa_2024!$B:$B,0)),"0")</f>
        <v>59624</v>
      </c>
      <c r="AQ308" s="8">
        <f>IFERROR(INDEX([1]SuSa_2024!BU:BU,MATCH($B308,[1]SuSa_2024!$B:$B,0)),"0")</f>
        <v>59624</v>
      </c>
      <c r="AR308" s="8">
        <f>IFERROR(INDEX([1]SuSa_2024!BV:BV,MATCH($B308,[1]SuSa_2024!$B:$B,0)),"0")</f>
        <v>59624</v>
      </c>
      <c r="AS308" s="8">
        <f>IFERROR(INDEX([1]SuSa_2024!BW:BW,MATCH($B308,[1]SuSa_2024!$B:$B,0)),"0")</f>
        <v>59624</v>
      </c>
      <c r="AT308" s="8">
        <f>IFERROR(INDEX([1]SuSa_2024!BX:BX,MATCH($B308,[1]SuSa_2024!$B:$B,0)),"0")</f>
        <v>59624</v>
      </c>
      <c r="AU308" s="8">
        <f>IFERROR(INDEX([1]SuSa_2024!BY:BY,MATCH($B308,[1]SuSa_2024!$B:$B,0)),"0")</f>
        <v>59624</v>
      </c>
      <c r="AV308" s="8">
        <f>IFERROR(INDEX([1]SuSa_2025!AR:AR,MATCH($B308,[1]SuSa_2025!$B:$B,0)),"0")</f>
        <v>0</v>
      </c>
      <c r="AW308" s="8">
        <f>IFERROR(INDEX([1]SuSa_2025!AS:AS,MATCH($B308,[1]SuSa_2025!$B:$B,0)),"0")</f>
        <v>0</v>
      </c>
      <c r="AX308" s="8">
        <f>IFERROR(INDEX([1]SuSa_2025!AT:AT,MATCH($B308,[1]SuSa_2025!$B:$B,0)),"0")</f>
        <v>0</v>
      </c>
      <c r="AY308" s="8">
        <f>IFERROR(INDEX([1]SuSa_2025!AU:AU,MATCH($B308,[1]SuSa_2025!$B:$B,0)),"0")</f>
        <v>0</v>
      </c>
      <c r="AZ308" s="8">
        <f>IFERROR(INDEX([1]SuSa_2025!AV:AV,MATCH($B308,[1]SuSa_2025!$B:$B,0)),"0")</f>
        <v>0</v>
      </c>
      <c r="BA308" s="8">
        <f>IFERROR(INDEX([1]SuSa_2025!AW:AW,MATCH($B308,[1]SuSa_2025!$B:$B,0)),"0")</f>
        <v>0</v>
      </c>
      <c r="BB308" s="8">
        <f>IFERROR(INDEX([1]SuSa_2025!AX:AX,MATCH($B308,[1]SuSa_2025!$B:$B,0)),"0")</f>
        <v>0</v>
      </c>
    </row>
    <row r="309" spans="1:54" outlineLevel="1" collapsed="1" x14ac:dyDescent="0.25">
      <c r="A309" s="5" t="s">
        <v>897</v>
      </c>
      <c r="B309" s="6" t="s">
        <v>908</v>
      </c>
      <c r="C309" t="s">
        <v>909</v>
      </c>
      <c r="F309" s="7">
        <f t="shared" si="25"/>
        <v>-4221.82</v>
      </c>
      <c r="G309" s="7">
        <f t="shared" si="26"/>
        <v>0</v>
      </c>
      <c r="H309" s="7">
        <f t="shared" si="27"/>
        <v>0</v>
      </c>
      <c r="I309" s="7" t="str">
        <f t="shared" si="23"/>
        <v>0</v>
      </c>
      <c r="J309" s="8">
        <f t="shared" si="28"/>
        <v>0</v>
      </c>
      <c r="K309" s="8">
        <f t="shared" si="24"/>
        <v>0</v>
      </c>
      <c r="O309" s="8">
        <v>-17609.97</v>
      </c>
      <c r="P309" s="8">
        <v>-21307.47</v>
      </c>
      <c r="Q309" s="8">
        <v>-24885.7</v>
      </c>
      <c r="R309" s="8">
        <v>-28583.200000000001</v>
      </c>
      <c r="S309" s="8">
        <v>-32280.7</v>
      </c>
      <c r="T309" s="8">
        <v>-17609.97</v>
      </c>
      <c r="U309" s="8">
        <v>-17609.97</v>
      </c>
      <c r="V309" s="8">
        <v>-17609.97</v>
      </c>
      <c r="W309" s="8">
        <v>-4221.82</v>
      </c>
      <c r="Y309" s="8">
        <v>-2422.71</v>
      </c>
      <c r="Z309" s="8">
        <v>0</v>
      </c>
      <c r="AA309" s="8">
        <v>0</v>
      </c>
      <c r="AB309" s="8">
        <v>0</v>
      </c>
      <c r="AC309" s="8">
        <v>-7377.05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f>IFERROR(INDEX([1]SuSa_2024!BN:BN,MATCH($B309,[1]SuSa_2024!$B:$B,0)),"0")</f>
        <v>0</v>
      </c>
      <c r="AK309" s="8">
        <f>IFERROR(INDEX([1]SuSa_2024!BO:BO,MATCH($B309,[1]SuSa_2024!$B:$B,0)),"0")</f>
        <v>0</v>
      </c>
      <c r="AL309" s="8">
        <f>IFERROR(INDEX([1]SuSa_2024!BP:BP,MATCH($B309,[1]SuSa_2024!$B:$B,0)),"0")</f>
        <v>0</v>
      </c>
      <c r="AM309" s="8">
        <f>IFERROR(INDEX([1]SuSa_2024!BQ:BQ,MATCH($B309,[1]SuSa_2024!$B:$B,0)),"0")</f>
        <v>0</v>
      </c>
      <c r="AN309" s="8">
        <f>IFERROR(INDEX([1]SuSa_2024!BR:BR,MATCH($B309,[1]SuSa_2024!$B:$B,0)),"0")</f>
        <v>0</v>
      </c>
      <c r="AO309" s="8">
        <f>IFERROR(INDEX([1]SuSa_2024!BS:BS,MATCH($B309,[1]SuSa_2024!$B:$B,0)),"0")</f>
        <v>0</v>
      </c>
      <c r="AP309" s="8">
        <f>IFERROR(INDEX([1]SuSa_2024!BT:BT,MATCH($B309,[1]SuSa_2024!$B:$B,0)),"0")</f>
        <v>0</v>
      </c>
      <c r="AQ309" s="8">
        <f>IFERROR(INDEX([1]SuSa_2024!BU:BU,MATCH($B309,[1]SuSa_2024!$B:$B,0)),"0")</f>
        <v>0</v>
      </c>
      <c r="AR309" s="8">
        <f>IFERROR(INDEX([1]SuSa_2024!BV:BV,MATCH($B309,[1]SuSa_2024!$B:$B,0)),"0")</f>
        <v>0</v>
      </c>
      <c r="AS309" s="8">
        <f>IFERROR(INDEX([1]SuSa_2024!BW:BW,MATCH($B309,[1]SuSa_2024!$B:$B,0)),"0")</f>
        <v>0</v>
      </c>
      <c r="AT309" s="8">
        <f>IFERROR(INDEX([1]SuSa_2024!BX:BX,MATCH($B309,[1]SuSa_2024!$B:$B,0)),"0")</f>
        <v>0</v>
      </c>
      <c r="AU309" s="8">
        <f>IFERROR(INDEX([1]SuSa_2024!BY:BY,MATCH($B309,[1]SuSa_2024!$B:$B,0)),"0")</f>
        <v>0</v>
      </c>
      <c r="AV309" s="8" t="str">
        <f>IFERROR(INDEX([1]SuSa_2025!AR:AR,MATCH($B309,[1]SuSa_2025!$B:$B,0)),"0")</f>
        <v>0</v>
      </c>
      <c r="AW309" s="8" t="str">
        <f>IFERROR(INDEX([1]SuSa_2025!AS:AS,MATCH($B309,[1]SuSa_2025!$B:$B,0)),"0")</f>
        <v>0</v>
      </c>
      <c r="AX309" s="8" t="str">
        <f>IFERROR(INDEX([1]SuSa_2025!AT:AT,MATCH($B309,[1]SuSa_2025!$B:$B,0)),"0")</f>
        <v>0</v>
      </c>
      <c r="AY309" s="8" t="str">
        <f>IFERROR(INDEX([1]SuSa_2025!AU:AU,MATCH($B309,[1]SuSa_2025!$B:$B,0)),"0")</f>
        <v>0</v>
      </c>
      <c r="AZ309" s="8" t="str">
        <f>IFERROR(INDEX([1]SuSa_2025!AV:AV,MATCH($B309,[1]SuSa_2025!$B:$B,0)),"0")</f>
        <v>0</v>
      </c>
      <c r="BA309" s="8" t="str">
        <f>IFERROR(INDEX([1]SuSa_2025!AW:AW,MATCH($B309,[1]SuSa_2025!$B:$B,0)),"0")</f>
        <v>0</v>
      </c>
      <c r="BB309" s="8" t="str">
        <f>IFERROR(INDEX([1]SuSa_2025!AX:AX,MATCH($B309,[1]SuSa_2025!$B:$B,0)),"0")</f>
        <v>0</v>
      </c>
    </row>
    <row r="310" spans="1:54" outlineLevel="1" collapsed="1" x14ac:dyDescent="0.25">
      <c r="A310" s="5" t="s">
        <v>910</v>
      </c>
      <c r="B310" s="6" t="s">
        <v>911</v>
      </c>
      <c r="C310" t="s">
        <v>912</v>
      </c>
      <c r="F310" s="7">
        <f t="shared" si="25"/>
        <v>0</v>
      </c>
      <c r="G310" s="7">
        <f t="shared" si="26"/>
        <v>0</v>
      </c>
      <c r="H310" s="7">
        <f t="shared" si="27"/>
        <v>0</v>
      </c>
      <c r="I310" s="7" t="str">
        <f t="shared" si="23"/>
        <v>0</v>
      </c>
      <c r="J310" s="8">
        <f t="shared" si="28"/>
        <v>0</v>
      </c>
      <c r="K310" s="8">
        <f t="shared" si="24"/>
        <v>0</v>
      </c>
      <c r="X310" s="8">
        <v>-40217.64</v>
      </c>
      <c r="Y310" s="8">
        <v>-159128.53</v>
      </c>
      <c r="Z310" s="8">
        <v>-138752.92000000001</v>
      </c>
      <c r="AA310" s="8">
        <v>-146037.85</v>
      </c>
      <c r="AB310" s="8">
        <v>-135590.39999999999</v>
      </c>
      <c r="AC310" s="8">
        <v>-145106.95000000001</v>
      </c>
      <c r="AD310" s="8">
        <v>-175904.71</v>
      </c>
      <c r="AE310" s="8">
        <v>-169058.86</v>
      </c>
      <c r="AF310" s="8">
        <v>-170236.04</v>
      </c>
      <c r="AG310" s="8">
        <v>-175343.12</v>
      </c>
      <c r="AH310" s="8">
        <v>-166575.97</v>
      </c>
      <c r="AI310" s="8">
        <v>0</v>
      </c>
      <c r="AJ310" s="8">
        <f>IFERROR(INDEX([1]SuSa_2024!BN:BN,MATCH($B310,[1]SuSa_2024!$B:$B,0)),"0")</f>
        <v>0</v>
      </c>
      <c r="AK310" s="8">
        <f>IFERROR(INDEX([1]SuSa_2024!BO:BO,MATCH($B310,[1]SuSa_2024!$B:$B,0)),"0")</f>
        <v>0</v>
      </c>
      <c r="AL310" s="8">
        <f>IFERROR(INDEX([1]SuSa_2024!BP:BP,MATCH($B310,[1]SuSa_2024!$B:$B,0)),"0")</f>
        <v>0</v>
      </c>
      <c r="AM310" s="8">
        <f>IFERROR(INDEX([1]SuSa_2024!BQ:BQ,MATCH($B310,[1]SuSa_2024!$B:$B,0)),"0")</f>
        <v>0</v>
      </c>
      <c r="AN310" s="8">
        <f>IFERROR(INDEX([1]SuSa_2024!BR:BR,MATCH($B310,[1]SuSa_2024!$B:$B,0)),"0")</f>
        <v>0</v>
      </c>
      <c r="AO310" s="8">
        <f>IFERROR(INDEX([1]SuSa_2024!BS:BS,MATCH($B310,[1]SuSa_2024!$B:$B,0)),"0")</f>
        <v>0</v>
      </c>
      <c r="AP310" s="8">
        <f>IFERROR(INDEX([1]SuSa_2024!BT:BT,MATCH($B310,[1]SuSa_2024!$B:$B,0)),"0")</f>
        <v>0</v>
      </c>
      <c r="AQ310" s="8">
        <f>IFERROR(INDEX([1]SuSa_2024!BU:BU,MATCH($B310,[1]SuSa_2024!$B:$B,0)),"0")</f>
        <v>0</v>
      </c>
      <c r="AR310" s="8">
        <f>IFERROR(INDEX([1]SuSa_2024!BV:BV,MATCH($B310,[1]SuSa_2024!$B:$B,0)),"0")</f>
        <v>0</v>
      </c>
      <c r="AS310" s="8">
        <f>IFERROR(INDEX([1]SuSa_2024!BW:BW,MATCH($B310,[1]SuSa_2024!$B:$B,0)),"0")</f>
        <v>0</v>
      </c>
      <c r="AT310" s="8">
        <f>IFERROR(INDEX([1]SuSa_2024!BX:BX,MATCH($B310,[1]SuSa_2024!$B:$B,0)),"0")</f>
        <v>0</v>
      </c>
      <c r="AU310" s="8">
        <f>IFERROR(INDEX([1]SuSa_2024!BY:BY,MATCH($B310,[1]SuSa_2024!$B:$B,0)),"0")</f>
        <v>0</v>
      </c>
      <c r="AV310" s="8" t="str">
        <f>IFERROR(INDEX([1]SuSa_2025!AR:AR,MATCH($B310,[1]SuSa_2025!$B:$B,0)),"0")</f>
        <v>0</v>
      </c>
      <c r="AW310" s="8" t="str">
        <f>IFERROR(INDEX([1]SuSa_2025!AS:AS,MATCH($B310,[1]SuSa_2025!$B:$B,0)),"0")</f>
        <v>0</v>
      </c>
      <c r="AX310" s="8" t="str">
        <f>IFERROR(INDEX([1]SuSa_2025!AT:AT,MATCH($B310,[1]SuSa_2025!$B:$B,0)),"0")</f>
        <v>0</v>
      </c>
      <c r="AY310" s="8" t="str">
        <f>IFERROR(INDEX([1]SuSa_2025!AU:AU,MATCH($B310,[1]SuSa_2025!$B:$B,0)),"0")</f>
        <v>0</v>
      </c>
      <c r="AZ310" s="8" t="str">
        <f>IFERROR(INDEX([1]SuSa_2025!AV:AV,MATCH($B310,[1]SuSa_2025!$B:$B,0)),"0")</f>
        <v>0</v>
      </c>
      <c r="BA310" s="8" t="str">
        <f>IFERROR(INDEX([1]SuSa_2025!AW:AW,MATCH($B310,[1]SuSa_2025!$B:$B,0)),"0")</f>
        <v>0</v>
      </c>
      <c r="BB310" s="8" t="str">
        <f>IFERROR(INDEX([1]SuSa_2025!AX:AX,MATCH($B310,[1]SuSa_2025!$B:$B,0)),"0")</f>
        <v>0</v>
      </c>
    </row>
    <row r="311" spans="1:54" outlineLevel="1" collapsed="1" x14ac:dyDescent="0.25">
      <c r="A311" s="5" t="s">
        <v>913</v>
      </c>
      <c r="B311" s="6" t="s">
        <v>914</v>
      </c>
      <c r="C311" t="s">
        <v>915</v>
      </c>
      <c r="F311" s="7">
        <f t="shared" si="25"/>
        <v>0</v>
      </c>
      <c r="G311" s="7">
        <f t="shared" si="26"/>
        <v>-25434.69</v>
      </c>
      <c r="H311" s="7">
        <f t="shared" si="27"/>
        <v>-4762.62</v>
      </c>
      <c r="I311" s="7">
        <f t="shared" si="23"/>
        <v>0</v>
      </c>
      <c r="J311" s="8">
        <f t="shared" si="28"/>
        <v>0</v>
      </c>
      <c r="K311" s="8">
        <f t="shared" si="24"/>
        <v>-4762.62</v>
      </c>
      <c r="AI311" s="8">
        <v>-25434.69</v>
      </c>
      <c r="AJ311" s="8">
        <f>IFERROR(INDEX([1]SuSa_2024!BN:BN,MATCH($B311,[1]SuSa_2024!$B:$B,0)),"0")</f>
        <v>-5354.41</v>
      </c>
      <c r="AK311" s="8">
        <f>IFERROR(INDEX([1]SuSa_2024!BO:BO,MATCH($B311,[1]SuSa_2024!$B:$B,0)),"0")</f>
        <v>-5658.37</v>
      </c>
      <c r="AL311" s="8">
        <f>IFERROR(INDEX([1]SuSa_2024!BP:BP,MATCH($B311,[1]SuSa_2024!$B:$B,0)),"0")</f>
        <v>-5296.72</v>
      </c>
      <c r="AM311" s="8">
        <f>IFERROR(INDEX([1]SuSa_2024!BQ:BQ,MATCH($B311,[1]SuSa_2024!$B:$B,0)),"0")</f>
        <v>-5068.97</v>
      </c>
      <c r="AN311" s="8">
        <f>IFERROR(INDEX([1]SuSa_2024!BR:BR,MATCH($B311,[1]SuSa_2024!$B:$B,0)),"0")</f>
        <v>-4762.62</v>
      </c>
      <c r="AO311" s="8">
        <f>IFERROR(INDEX([1]SuSa_2024!BS:BS,MATCH($B311,[1]SuSa_2024!$B:$B,0)),"0")</f>
        <v>-4762.62</v>
      </c>
      <c r="AP311" s="8">
        <f>IFERROR(INDEX([1]SuSa_2024!BT:BT,MATCH($B311,[1]SuSa_2024!$B:$B,0)),"0")</f>
        <v>-4762.62</v>
      </c>
      <c r="AQ311" s="8">
        <f>IFERROR(INDEX([1]SuSa_2024!BU:BU,MATCH($B311,[1]SuSa_2024!$B:$B,0)),"0")</f>
        <v>-4762.62</v>
      </c>
      <c r="AR311" s="8">
        <f>IFERROR(INDEX([1]SuSa_2024!BV:BV,MATCH($B311,[1]SuSa_2024!$B:$B,0)),"0")</f>
        <v>-4762.62</v>
      </c>
      <c r="AS311" s="8">
        <f>IFERROR(INDEX([1]SuSa_2024!BW:BW,MATCH($B311,[1]SuSa_2024!$B:$B,0)),"0")</f>
        <v>-4762.62</v>
      </c>
      <c r="AT311" s="8">
        <f>IFERROR(INDEX([1]SuSa_2024!BX:BX,MATCH($B311,[1]SuSa_2024!$B:$B,0)),"0")</f>
        <v>-4762.62</v>
      </c>
      <c r="AU311" s="8">
        <f>IFERROR(INDEX([1]SuSa_2024!BY:BY,MATCH($B311,[1]SuSa_2024!$B:$B,0)),"0")</f>
        <v>-4762.62</v>
      </c>
      <c r="AV311" s="8">
        <f>IFERROR(INDEX([1]SuSa_2025!AR:AR,MATCH($B311,[1]SuSa_2025!$B:$B,0)),"0")</f>
        <v>0</v>
      </c>
      <c r="AW311" s="8">
        <f>IFERROR(INDEX([1]SuSa_2025!AS:AS,MATCH($B311,[1]SuSa_2025!$B:$B,0)),"0")</f>
        <v>0</v>
      </c>
      <c r="AX311" s="8">
        <f>IFERROR(INDEX([1]SuSa_2025!AT:AT,MATCH($B311,[1]SuSa_2025!$B:$B,0)),"0")</f>
        <v>0</v>
      </c>
      <c r="AY311" s="8">
        <f>IFERROR(INDEX([1]SuSa_2025!AU:AU,MATCH($B311,[1]SuSa_2025!$B:$B,0)),"0")</f>
        <v>0</v>
      </c>
      <c r="AZ311" s="8">
        <f>IFERROR(INDEX([1]SuSa_2025!AV:AV,MATCH($B311,[1]SuSa_2025!$B:$B,0)),"0")</f>
        <v>0</v>
      </c>
      <c r="BA311" s="8">
        <f>IFERROR(INDEX([1]SuSa_2025!AW:AW,MATCH($B311,[1]SuSa_2025!$B:$B,0)),"0")</f>
        <v>0</v>
      </c>
      <c r="BB311" s="8">
        <f>IFERROR(INDEX([1]SuSa_2025!AX:AX,MATCH($B311,[1]SuSa_2025!$B:$B,0)),"0")</f>
        <v>0</v>
      </c>
    </row>
    <row r="312" spans="1:54" outlineLevel="1" collapsed="1" x14ac:dyDescent="0.25">
      <c r="A312" s="5" t="s">
        <v>913</v>
      </c>
      <c r="B312" s="6" t="s">
        <v>916</v>
      </c>
      <c r="C312" t="s">
        <v>917</v>
      </c>
      <c r="F312" s="7">
        <f t="shared" si="25"/>
        <v>0</v>
      </c>
      <c r="G312" s="7">
        <f t="shared" si="26"/>
        <v>-8431.17</v>
      </c>
      <c r="H312" s="7">
        <f t="shared" si="27"/>
        <v>-5681.2199999999993</v>
      </c>
      <c r="I312" s="7">
        <f t="shared" si="23"/>
        <v>0</v>
      </c>
      <c r="J312" s="8">
        <f t="shared" si="28"/>
        <v>0</v>
      </c>
      <c r="K312" s="8">
        <f t="shared" si="24"/>
        <v>-5681.2199999999993</v>
      </c>
      <c r="AI312" s="8">
        <v>-8431.17</v>
      </c>
      <c r="AJ312" s="8">
        <f>IFERROR(INDEX([1]SuSa_2024!BN:BN,MATCH($B312,[1]SuSa_2024!$B:$B,0)),"0")</f>
        <v>-3458.46</v>
      </c>
      <c r="AK312" s="8">
        <f>IFERROR(INDEX([1]SuSa_2024!BO:BO,MATCH($B312,[1]SuSa_2024!$B:$B,0)),"0")</f>
        <v>-6170.25</v>
      </c>
      <c r="AL312" s="8">
        <f>IFERROR(INDEX([1]SuSa_2024!BP:BP,MATCH($B312,[1]SuSa_2024!$B:$B,0)),"0")</f>
        <v>-6044.95</v>
      </c>
      <c r="AM312" s="8">
        <f>IFERROR(INDEX([1]SuSa_2024!BQ:BQ,MATCH($B312,[1]SuSa_2024!$B:$B,0)),"0")</f>
        <v>-5939.15</v>
      </c>
      <c r="AN312" s="8">
        <f>IFERROR(INDEX([1]SuSa_2024!BR:BR,MATCH($B312,[1]SuSa_2024!$B:$B,0)),"0")</f>
        <v>-5681.2199999999993</v>
      </c>
      <c r="AO312" s="8">
        <f>IFERROR(INDEX([1]SuSa_2024!BS:BS,MATCH($B312,[1]SuSa_2024!$B:$B,0)),"0")</f>
        <v>-5681.2199999999993</v>
      </c>
      <c r="AP312" s="8">
        <f>IFERROR(INDEX([1]SuSa_2024!BT:BT,MATCH($B312,[1]SuSa_2024!$B:$B,0)),"0")</f>
        <v>-5681.2199999999993</v>
      </c>
      <c r="AQ312" s="8">
        <f>IFERROR(INDEX([1]SuSa_2024!BU:BU,MATCH($B312,[1]SuSa_2024!$B:$B,0)),"0")</f>
        <v>-5681.2199999999993</v>
      </c>
      <c r="AR312" s="8">
        <f>IFERROR(INDEX([1]SuSa_2024!BV:BV,MATCH($B312,[1]SuSa_2024!$B:$B,0)),"0")</f>
        <v>-5681.2199999999993</v>
      </c>
      <c r="AS312" s="8">
        <f>IFERROR(INDEX([1]SuSa_2024!BW:BW,MATCH($B312,[1]SuSa_2024!$B:$B,0)),"0")</f>
        <v>-5681.2199999999993</v>
      </c>
      <c r="AT312" s="8">
        <f>IFERROR(INDEX([1]SuSa_2024!BX:BX,MATCH($B312,[1]SuSa_2024!$B:$B,0)),"0")</f>
        <v>-5681.2199999999993</v>
      </c>
      <c r="AU312" s="8">
        <f>IFERROR(INDEX([1]SuSa_2024!BY:BY,MATCH($B312,[1]SuSa_2024!$B:$B,0)),"0")</f>
        <v>-5681.2199999999993</v>
      </c>
      <c r="AV312" s="8">
        <f>IFERROR(INDEX([1]SuSa_2025!AR:AR,MATCH($B312,[1]SuSa_2025!$B:$B,0)),"0")</f>
        <v>0</v>
      </c>
      <c r="AW312" s="8">
        <f>IFERROR(INDEX([1]SuSa_2025!AS:AS,MATCH($B312,[1]SuSa_2025!$B:$B,0)),"0")</f>
        <v>0</v>
      </c>
      <c r="AX312" s="8">
        <f>IFERROR(INDEX([1]SuSa_2025!AT:AT,MATCH($B312,[1]SuSa_2025!$B:$B,0)),"0")</f>
        <v>0</v>
      </c>
      <c r="AY312" s="8">
        <f>IFERROR(INDEX([1]SuSa_2025!AU:AU,MATCH($B312,[1]SuSa_2025!$B:$B,0)),"0")</f>
        <v>0</v>
      </c>
      <c r="AZ312" s="8">
        <f>IFERROR(INDEX([1]SuSa_2025!AV:AV,MATCH($B312,[1]SuSa_2025!$B:$B,0)),"0")</f>
        <v>0</v>
      </c>
      <c r="BA312" s="8">
        <f>IFERROR(INDEX([1]SuSa_2025!AW:AW,MATCH($B312,[1]SuSa_2025!$B:$B,0)),"0")</f>
        <v>0</v>
      </c>
      <c r="BB312" s="8">
        <f>IFERROR(INDEX([1]SuSa_2025!AX:AX,MATCH($B312,[1]SuSa_2025!$B:$B,0)),"0")</f>
        <v>0</v>
      </c>
    </row>
    <row r="313" spans="1:54" outlineLevel="1" collapsed="1" x14ac:dyDescent="0.25">
      <c r="A313" s="5" t="s">
        <v>918</v>
      </c>
      <c r="B313" s="6" t="s">
        <v>919</v>
      </c>
      <c r="C313" t="s">
        <v>920</v>
      </c>
      <c r="F313" s="7">
        <f t="shared" si="25"/>
        <v>0</v>
      </c>
      <c r="G313" s="7">
        <f t="shared" si="26"/>
        <v>0</v>
      </c>
      <c r="H313" s="7">
        <f t="shared" si="27"/>
        <v>0</v>
      </c>
      <c r="I313" s="7">
        <f t="shared" si="23"/>
        <v>2842581.45</v>
      </c>
      <c r="J313" s="8">
        <f t="shared" si="28"/>
        <v>2842581.45</v>
      </c>
      <c r="K313" s="8">
        <f t="shared" si="24"/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f>IFERROR(INDEX([1]SuSa_2024!BN:BN,MATCH($B313,[1]SuSa_2024!$B:$B,0)),"0")</f>
        <v>0</v>
      </c>
      <c r="AK313" s="8">
        <f>IFERROR(INDEX([1]SuSa_2024!BO:BO,MATCH($B313,[1]SuSa_2024!$B:$B,0)),"0")</f>
        <v>0</v>
      </c>
      <c r="AL313" s="8">
        <f>IFERROR(INDEX([1]SuSa_2024!BP:BP,MATCH($B313,[1]SuSa_2024!$B:$B,0)),"0")</f>
        <v>0</v>
      </c>
      <c r="AM313" s="8">
        <f>IFERROR(INDEX([1]SuSa_2024!BQ:BQ,MATCH($B313,[1]SuSa_2024!$B:$B,0)),"0")</f>
        <v>0</v>
      </c>
      <c r="AN313" s="8">
        <f>IFERROR(INDEX([1]SuSa_2024!BR:BR,MATCH($B313,[1]SuSa_2024!$B:$B,0)),"0")</f>
        <v>0</v>
      </c>
      <c r="AO313" s="8">
        <f>IFERROR(INDEX([1]SuSa_2024!BS:BS,MATCH($B313,[1]SuSa_2024!$B:$B,0)),"0")</f>
        <v>0</v>
      </c>
      <c r="AP313" s="8">
        <f>IFERROR(INDEX([1]SuSa_2024!BT:BT,MATCH($B313,[1]SuSa_2024!$B:$B,0)),"0")</f>
        <v>0</v>
      </c>
      <c r="AQ313" s="8">
        <f>IFERROR(INDEX([1]SuSa_2024!BU:BU,MATCH($B313,[1]SuSa_2024!$B:$B,0)),"0")</f>
        <v>0</v>
      </c>
      <c r="AR313" s="8">
        <f>IFERROR(INDEX([1]SuSa_2024!BV:BV,MATCH($B313,[1]SuSa_2024!$B:$B,0)),"0")</f>
        <v>0</v>
      </c>
      <c r="AS313" s="8">
        <f>IFERROR(INDEX([1]SuSa_2024!BW:BW,MATCH($B313,[1]SuSa_2024!$B:$B,0)),"0")</f>
        <v>0</v>
      </c>
      <c r="AT313" s="8">
        <f>IFERROR(INDEX([1]SuSa_2024!BX:BX,MATCH($B313,[1]SuSa_2024!$B:$B,0)),"0")</f>
        <v>0</v>
      </c>
      <c r="AU313" s="8">
        <f>IFERROR(INDEX([1]SuSa_2024!BY:BY,MATCH($B313,[1]SuSa_2024!$B:$B,0)),"0")</f>
        <v>0</v>
      </c>
      <c r="AV313" s="8">
        <f>IFERROR(INDEX([1]SuSa_2025!AR:AR,MATCH($B313,[1]SuSa_2025!$B:$B,0)),"0")</f>
        <v>2842581.45</v>
      </c>
      <c r="AW313" s="8">
        <f>IFERROR(INDEX([1]SuSa_2025!AS:AS,MATCH($B313,[1]SuSa_2025!$B:$B,0)),"0")</f>
        <v>2842581.45</v>
      </c>
      <c r="AX313" s="8">
        <f>IFERROR(INDEX([1]SuSa_2025!AT:AT,MATCH($B313,[1]SuSa_2025!$B:$B,0)),"0")</f>
        <v>2842581.45</v>
      </c>
      <c r="AY313" s="8">
        <f>IFERROR(INDEX([1]SuSa_2025!AU:AU,MATCH($B313,[1]SuSa_2025!$B:$B,0)),"0")</f>
        <v>2842581.45</v>
      </c>
      <c r="AZ313" s="8">
        <f>IFERROR(INDEX([1]SuSa_2025!AV:AV,MATCH($B313,[1]SuSa_2025!$B:$B,0)),"0")</f>
        <v>2842581.45</v>
      </c>
      <c r="BA313" s="8">
        <f>IFERROR(INDEX([1]SuSa_2025!AW:AW,MATCH($B313,[1]SuSa_2025!$B:$B,0)),"0")</f>
        <v>2842581.45</v>
      </c>
      <c r="BB313" s="8">
        <f>IFERROR(INDEX([1]SuSa_2025!AX:AX,MATCH($B313,[1]SuSa_2025!$B:$B,0)),"0")</f>
        <v>2842581.45</v>
      </c>
    </row>
    <row r="314" spans="1:54" outlineLevel="1" collapsed="1" x14ac:dyDescent="0.25">
      <c r="A314" s="5" t="s">
        <v>921</v>
      </c>
      <c r="B314" s="6" t="s">
        <v>922</v>
      </c>
      <c r="C314" t="s">
        <v>923</v>
      </c>
      <c r="F314" s="7">
        <f t="shared" si="25"/>
        <v>0</v>
      </c>
      <c r="G314" s="7">
        <f t="shared" si="26"/>
        <v>0</v>
      </c>
      <c r="H314" s="7">
        <f t="shared" si="27"/>
        <v>0</v>
      </c>
      <c r="I314" s="7">
        <f t="shared" si="23"/>
        <v>-122130.64</v>
      </c>
      <c r="J314" s="8">
        <f t="shared" si="28"/>
        <v>-122130.64</v>
      </c>
      <c r="K314" s="8">
        <f t="shared" si="24"/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f>IFERROR(INDEX([1]SuSa_2024!BN:BN,MATCH($B314,[1]SuSa_2024!$B:$B,0)),"0")</f>
        <v>0</v>
      </c>
      <c r="AK314" s="8">
        <f>IFERROR(INDEX([1]SuSa_2024!BO:BO,MATCH($B314,[1]SuSa_2024!$B:$B,0)),"0")</f>
        <v>0</v>
      </c>
      <c r="AL314" s="8">
        <f>IFERROR(INDEX([1]SuSa_2024!BP:BP,MATCH($B314,[1]SuSa_2024!$B:$B,0)),"0")</f>
        <v>0</v>
      </c>
      <c r="AM314" s="8">
        <f>IFERROR(INDEX([1]SuSa_2024!BQ:BQ,MATCH($B314,[1]SuSa_2024!$B:$B,0)),"0")</f>
        <v>0</v>
      </c>
      <c r="AN314" s="8">
        <f>IFERROR(INDEX([1]SuSa_2024!BR:BR,MATCH($B314,[1]SuSa_2024!$B:$B,0)),"0")</f>
        <v>0</v>
      </c>
      <c r="AO314" s="8">
        <f>IFERROR(INDEX([1]SuSa_2024!BS:BS,MATCH($B314,[1]SuSa_2024!$B:$B,0)),"0")</f>
        <v>0</v>
      </c>
      <c r="AP314" s="8">
        <f>IFERROR(INDEX([1]SuSa_2024!BT:BT,MATCH($B314,[1]SuSa_2024!$B:$B,0)),"0")</f>
        <v>0</v>
      </c>
      <c r="AQ314" s="8">
        <f>IFERROR(INDEX([1]SuSa_2024!BU:BU,MATCH($B314,[1]SuSa_2024!$B:$B,0)),"0")</f>
        <v>0</v>
      </c>
      <c r="AR314" s="8">
        <f>IFERROR(INDEX([1]SuSa_2024!BV:BV,MATCH($B314,[1]SuSa_2024!$B:$B,0)),"0")</f>
        <v>0</v>
      </c>
      <c r="AS314" s="8">
        <f>IFERROR(INDEX([1]SuSa_2024!BW:BW,MATCH($B314,[1]SuSa_2024!$B:$B,0)),"0")</f>
        <v>0</v>
      </c>
      <c r="AT314" s="8">
        <f>IFERROR(INDEX([1]SuSa_2024!BX:BX,MATCH($B314,[1]SuSa_2024!$B:$B,0)),"0")</f>
        <v>0</v>
      </c>
      <c r="AU314" s="8">
        <f>IFERROR(INDEX([1]SuSa_2024!BY:BY,MATCH($B314,[1]SuSa_2024!$B:$B,0)),"0")</f>
        <v>0</v>
      </c>
      <c r="AV314" s="8">
        <f>IFERROR(INDEX([1]SuSa_2025!AR:AR,MATCH($B314,[1]SuSa_2025!$B:$B,0)),"0")</f>
        <v>-122130.64</v>
      </c>
      <c r="AW314" s="8">
        <f>IFERROR(INDEX([1]SuSa_2025!AS:AS,MATCH($B314,[1]SuSa_2025!$B:$B,0)),"0")</f>
        <v>-122130.64</v>
      </c>
      <c r="AX314" s="8">
        <f>IFERROR(INDEX([1]SuSa_2025!AT:AT,MATCH($B314,[1]SuSa_2025!$B:$B,0)),"0")</f>
        <v>-122130.64</v>
      </c>
      <c r="AY314" s="8">
        <f>IFERROR(INDEX([1]SuSa_2025!AU:AU,MATCH($B314,[1]SuSa_2025!$B:$B,0)),"0")</f>
        <v>-122130.64</v>
      </c>
      <c r="AZ314" s="8">
        <f>IFERROR(INDEX([1]SuSa_2025!AV:AV,MATCH($B314,[1]SuSa_2025!$B:$B,0)),"0")</f>
        <v>-122130.64</v>
      </c>
      <c r="BA314" s="8">
        <f>IFERROR(INDEX([1]SuSa_2025!AW:AW,MATCH($B314,[1]SuSa_2025!$B:$B,0)),"0")</f>
        <v>-122130.64</v>
      </c>
      <c r="BB314" s="8">
        <f>IFERROR(INDEX([1]SuSa_2025!AX:AX,MATCH($B314,[1]SuSa_2025!$B:$B,0)),"0")</f>
        <v>-122130.64</v>
      </c>
    </row>
    <row r="315" spans="1:54" outlineLevel="1" collapsed="1" x14ac:dyDescent="0.25">
      <c r="A315" s="5" t="s">
        <v>924</v>
      </c>
      <c r="B315" s="6" t="s">
        <v>925</v>
      </c>
      <c r="C315" t="s">
        <v>926</v>
      </c>
      <c r="F315" s="7">
        <f t="shared" si="25"/>
        <v>0</v>
      </c>
      <c r="G315" s="7">
        <f t="shared" si="26"/>
        <v>0</v>
      </c>
      <c r="H315" s="7">
        <f t="shared" si="27"/>
        <v>0</v>
      </c>
      <c r="I315" s="7">
        <f t="shared" si="23"/>
        <v>-382.34</v>
      </c>
      <c r="J315" s="8">
        <f t="shared" si="28"/>
        <v>-382.34</v>
      </c>
      <c r="K315" s="8">
        <f t="shared" si="24"/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f>IFERROR(INDEX([1]SuSa_2024!BN:BN,MATCH($B315,[1]SuSa_2024!$B:$B,0)),"0")</f>
        <v>0</v>
      </c>
      <c r="AK315" s="8">
        <f>IFERROR(INDEX([1]SuSa_2024!BO:BO,MATCH($B315,[1]SuSa_2024!$B:$B,0)),"0")</f>
        <v>0</v>
      </c>
      <c r="AL315" s="8">
        <f>IFERROR(INDEX([1]SuSa_2024!BP:BP,MATCH($B315,[1]SuSa_2024!$B:$B,0)),"0")</f>
        <v>0</v>
      </c>
      <c r="AM315" s="8">
        <f>IFERROR(INDEX([1]SuSa_2024!BQ:BQ,MATCH($B315,[1]SuSa_2024!$B:$B,0)),"0")</f>
        <v>0</v>
      </c>
      <c r="AN315" s="8">
        <f>IFERROR(INDEX([1]SuSa_2024!BR:BR,MATCH($B315,[1]SuSa_2024!$B:$B,0)),"0")</f>
        <v>0</v>
      </c>
      <c r="AO315" s="8">
        <f>IFERROR(INDEX([1]SuSa_2024!BS:BS,MATCH($B315,[1]SuSa_2024!$B:$B,0)),"0")</f>
        <v>0</v>
      </c>
      <c r="AP315" s="8">
        <f>IFERROR(INDEX([1]SuSa_2024!BT:BT,MATCH($B315,[1]SuSa_2024!$B:$B,0)),"0")</f>
        <v>0</v>
      </c>
      <c r="AQ315" s="8">
        <f>IFERROR(INDEX([1]SuSa_2024!BU:BU,MATCH($B315,[1]SuSa_2024!$B:$B,0)),"0")</f>
        <v>0</v>
      </c>
      <c r="AR315" s="8">
        <f>IFERROR(INDEX([1]SuSa_2024!BV:BV,MATCH($B315,[1]SuSa_2024!$B:$B,0)),"0")</f>
        <v>0</v>
      </c>
      <c r="AS315" s="8">
        <f>IFERROR(INDEX([1]SuSa_2024!BW:BW,MATCH($B315,[1]SuSa_2024!$B:$B,0)),"0")</f>
        <v>0</v>
      </c>
      <c r="AT315" s="8">
        <f>IFERROR(INDEX([1]SuSa_2024!BX:BX,MATCH($B315,[1]SuSa_2024!$B:$B,0)),"0")</f>
        <v>0</v>
      </c>
      <c r="AU315" s="8">
        <f>IFERROR(INDEX([1]SuSa_2024!BY:BY,MATCH($B315,[1]SuSa_2024!$B:$B,0)),"0")</f>
        <v>0</v>
      </c>
      <c r="AV315" s="8">
        <f>IFERROR(INDEX([1]SuSa_2025!AR:AR,MATCH($B315,[1]SuSa_2025!$B:$B,0)),"0")</f>
        <v>-382.34</v>
      </c>
      <c r="AW315" s="8">
        <f>IFERROR(INDEX([1]SuSa_2025!AS:AS,MATCH($B315,[1]SuSa_2025!$B:$B,0)),"0")</f>
        <v>-382.34</v>
      </c>
      <c r="AX315" s="8">
        <f>IFERROR(INDEX([1]SuSa_2025!AT:AT,MATCH($B315,[1]SuSa_2025!$B:$B,0)),"0")</f>
        <v>-382.34</v>
      </c>
      <c r="AY315" s="8">
        <f>IFERROR(INDEX([1]SuSa_2025!AU:AU,MATCH($B315,[1]SuSa_2025!$B:$B,0)),"0")</f>
        <v>-382.34</v>
      </c>
      <c r="AZ315" s="8">
        <f>IFERROR(INDEX([1]SuSa_2025!AV:AV,MATCH($B315,[1]SuSa_2025!$B:$B,0)),"0")</f>
        <v>-382.34</v>
      </c>
      <c r="BA315" s="8">
        <f>IFERROR(INDEX([1]SuSa_2025!AW:AW,MATCH($B315,[1]SuSa_2025!$B:$B,0)),"0")</f>
        <v>-382.34</v>
      </c>
      <c r="BB315" s="8">
        <f>IFERROR(INDEX([1]SuSa_2025!AX:AX,MATCH($B315,[1]SuSa_2025!$B:$B,0)),"0")</f>
        <v>-382.34</v>
      </c>
    </row>
    <row r="316" spans="1:54" outlineLevel="1" collapsed="1" x14ac:dyDescent="0.25">
      <c r="A316" s="5" t="s">
        <v>927</v>
      </c>
      <c r="B316" s="6" t="s">
        <v>928</v>
      </c>
      <c r="C316" t="s">
        <v>929</v>
      </c>
      <c r="F316" s="7">
        <f t="shared" si="25"/>
        <v>3246950.61</v>
      </c>
      <c r="G316" s="7">
        <f t="shared" si="26"/>
        <v>1614672</v>
      </c>
      <c r="H316" s="7">
        <f t="shared" si="27"/>
        <v>0</v>
      </c>
      <c r="I316" s="7">
        <f t="shared" si="23"/>
        <v>0</v>
      </c>
      <c r="J316" s="8">
        <f t="shared" si="28"/>
        <v>0</v>
      </c>
      <c r="K316" s="8">
        <f t="shared" si="24"/>
        <v>0</v>
      </c>
      <c r="L316" s="8">
        <v>222652</v>
      </c>
      <c r="M316" s="8">
        <v>239652</v>
      </c>
      <c r="N316" s="8">
        <v>528012</v>
      </c>
      <c r="O316" s="8">
        <v>615712</v>
      </c>
      <c r="P316" s="8">
        <v>723002</v>
      </c>
      <c r="Q316" s="8">
        <v>1097971</v>
      </c>
      <c r="R316" s="8">
        <v>1127634</v>
      </c>
      <c r="S316" s="8">
        <v>1296407</v>
      </c>
      <c r="T316" s="8">
        <v>1355407</v>
      </c>
      <c r="U316" s="8">
        <v>2418195.75</v>
      </c>
      <c r="V316" s="8">
        <v>2592601.83</v>
      </c>
      <c r="W316" s="8">
        <v>3246950.61</v>
      </c>
      <c r="X316" s="8">
        <v>3272450.61</v>
      </c>
      <c r="Y316" s="8">
        <v>59145</v>
      </c>
      <c r="Z316" s="8">
        <v>59145</v>
      </c>
      <c r="AA316" s="8">
        <v>662208</v>
      </c>
      <c r="AB316" s="8">
        <v>819764</v>
      </c>
      <c r="AC316" s="8">
        <v>1068014</v>
      </c>
      <c r="AD316" s="8">
        <v>1068014</v>
      </c>
      <c r="AE316" s="8">
        <v>1242389</v>
      </c>
      <c r="AF316" s="8">
        <v>1242389</v>
      </c>
      <c r="AG316" s="8">
        <v>1242389</v>
      </c>
      <c r="AH316" s="8">
        <v>1519672</v>
      </c>
      <c r="AI316" s="8">
        <v>1614672</v>
      </c>
      <c r="AJ316" s="8">
        <f>IFERROR(INDEX([1]SuSa_2024!BN:BN,MATCH($B316,[1]SuSa_2024!$B:$B,0)),"0")</f>
        <v>0</v>
      </c>
      <c r="AK316" s="8">
        <f>IFERROR(INDEX([1]SuSa_2024!BO:BO,MATCH($B316,[1]SuSa_2024!$B:$B,0)),"0")</f>
        <v>0</v>
      </c>
      <c r="AL316" s="8">
        <f>IFERROR(INDEX([1]SuSa_2024!BP:BP,MATCH($B316,[1]SuSa_2024!$B:$B,0)),"0")</f>
        <v>0</v>
      </c>
      <c r="AM316" s="8">
        <f>IFERROR(INDEX([1]SuSa_2024!BQ:BQ,MATCH($B316,[1]SuSa_2024!$B:$B,0)),"0")</f>
        <v>0</v>
      </c>
      <c r="AN316" s="8">
        <f>IFERROR(INDEX([1]SuSa_2024!BR:BR,MATCH($B316,[1]SuSa_2024!$B:$B,0)),"0")</f>
        <v>0</v>
      </c>
      <c r="AO316" s="8">
        <f>IFERROR(INDEX([1]SuSa_2024!BS:BS,MATCH($B316,[1]SuSa_2024!$B:$B,0)),"0")</f>
        <v>0</v>
      </c>
      <c r="AP316" s="8">
        <f>IFERROR(INDEX([1]SuSa_2024!BT:BT,MATCH($B316,[1]SuSa_2024!$B:$B,0)),"0")</f>
        <v>0</v>
      </c>
      <c r="AQ316" s="8">
        <f>IFERROR(INDEX([1]SuSa_2024!BU:BU,MATCH($B316,[1]SuSa_2024!$B:$B,0)),"0")</f>
        <v>0</v>
      </c>
      <c r="AR316" s="8">
        <f>IFERROR(INDEX([1]SuSa_2024!BV:BV,MATCH($B316,[1]SuSa_2024!$B:$B,0)),"0")</f>
        <v>0</v>
      </c>
      <c r="AS316" s="8">
        <f>IFERROR(INDEX([1]SuSa_2024!BW:BW,MATCH($B316,[1]SuSa_2024!$B:$B,0)),"0")</f>
        <v>0</v>
      </c>
      <c r="AT316" s="8">
        <f>IFERROR(INDEX([1]SuSa_2024!BX:BX,MATCH($B316,[1]SuSa_2024!$B:$B,0)),"0")</f>
        <v>0</v>
      </c>
      <c r="AU316" s="8">
        <f>IFERROR(INDEX([1]SuSa_2024!BY:BY,MATCH($B316,[1]SuSa_2024!$B:$B,0)),"0")</f>
        <v>0</v>
      </c>
      <c r="AV316" s="8">
        <f>IFERROR(INDEX([1]SuSa_2025!AR:AR,MATCH($B316,[1]SuSa_2025!$B:$B,0)),"0")</f>
        <v>0</v>
      </c>
      <c r="AW316" s="8">
        <f>IFERROR(INDEX([1]SuSa_2025!AS:AS,MATCH($B316,[1]SuSa_2025!$B:$B,0)),"0")</f>
        <v>0</v>
      </c>
      <c r="AX316" s="8">
        <f>IFERROR(INDEX([1]SuSa_2025!AT:AT,MATCH($B316,[1]SuSa_2025!$B:$B,0)),"0")</f>
        <v>0</v>
      </c>
      <c r="AY316" s="8">
        <f>IFERROR(INDEX([1]SuSa_2025!AU:AU,MATCH($B316,[1]SuSa_2025!$B:$B,0)),"0")</f>
        <v>0</v>
      </c>
      <c r="AZ316" s="8">
        <f>IFERROR(INDEX([1]SuSa_2025!AV:AV,MATCH($B316,[1]SuSa_2025!$B:$B,0)),"0")</f>
        <v>0</v>
      </c>
      <c r="BA316" s="8">
        <f>IFERROR(INDEX([1]SuSa_2025!AW:AW,MATCH($B316,[1]SuSa_2025!$B:$B,0)),"0")</f>
        <v>0</v>
      </c>
      <c r="BB316" s="8">
        <f>IFERROR(INDEX([1]SuSa_2025!AX:AX,MATCH($B316,[1]SuSa_2025!$B:$B,0)),"0")</f>
        <v>0</v>
      </c>
    </row>
    <row r="317" spans="1:54" outlineLevel="1" collapsed="1" x14ac:dyDescent="0.25">
      <c r="A317" s="5" t="s">
        <v>930</v>
      </c>
      <c r="B317" s="6" t="s">
        <v>931</v>
      </c>
      <c r="C317" t="s">
        <v>932</v>
      </c>
      <c r="F317" s="7">
        <f t="shared" si="25"/>
        <v>-3246950.61</v>
      </c>
      <c r="G317" s="7">
        <f t="shared" si="26"/>
        <v>-1614672</v>
      </c>
      <c r="H317" s="7">
        <f t="shared" si="27"/>
        <v>0</v>
      </c>
      <c r="I317" s="7">
        <f t="shared" si="23"/>
        <v>0</v>
      </c>
      <c r="J317" s="8">
        <f t="shared" si="28"/>
        <v>0</v>
      </c>
      <c r="K317" s="8">
        <f t="shared" si="24"/>
        <v>0</v>
      </c>
      <c r="L317" s="8">
        <v>-222652</v>
      </c>
      <c r="M317" s="8">
        <v>-239652</v>
      </c>
      <c r="N317" s="8">
        <v>-528012</v>
      </c>
      <c r="O317" s="8">
        <v>-615712</v>
      </c>
      <c r="P317" s="8">
        <v>-723002</v>
      </c>
      <c r="Q317" s="8">
        <v>-1097971</v>
      </c>
      <c r="R317" s="8">
        <v>-1127634</v>
      </c>
      <c r="S317" s="8">
        <v>-1296407</v>
      </c>
      <c r="T317" s="8">
        <v>-1355407</v>
      </c>
      <c r="U317" s="8">
        <v>-2418195.75</v>
      </c>
      <c r="V317" s="8">
        <v>-2592601.83</v>
      </c>
      <c r="W317" s="8">
        <v>-3246950.61</v>
      </c>
      <c r="X317" s="8">
        <v>-3272450.61</v>
      </c>
      <c r="Y317" s="8">
        <v>-59145</v>
      </c>
      <c r="Z317" s="8">
        <v>-59145</v>
      </c>
      <c r="AA317" s="8">
        <v>-662208</v>
      </c>
      <c r="AB317" s="8">
        <v>-819764</v>
      </c>
      <c r="AC317" s="8">
        <v>-1068014</v>
      </c>
      <c r="AD317" s="8">
        <v>-1068014</v>
      </c>
      <c r="AE317" s="8">
        <v>-1242389</v>
      </c>
      <c r="AF317" s="8">
        <v>-1242389</v>
      </c>
      <c r="AG317" s="8">
        <v>-1242389</v>
      </c>
      <c r="AH317" s="8">
        <v>-1519672</v>
      </c>
      <c r="AI317" s="8">
        <v>-1614672</v>
      </c>
      <c r="AJ317" s="8">
        <f>IFERROR(INDEX([1]SuSa_2024!BN:BN,MATCH($B317,[1]SuSa_2024!$B:$B,0)),"0")</f>
        <v>0</v>
      </c>
      <c r="AK317" s="8">
        <f>IFERROR(INDEX([1]SuSa_2024!BO:BO,MATCH($B317,[1]SuSa_2024!$B:$B,0)),"0")</f>
        <v>0</v>
      </c>
      <c r="AL317" s="8">
        <f>IFERROR(INDEX([1]SuSa_2024!BP:BP,MATCH($B317,[1]SuSa_2024!$B:$B,0)),"0")</f>
        <v>0</v>
      </c>
      <c r="AM317" s="8">
        <f>IFERROR(INDEX([1]SuSa_2024!BQ:BQ,MATCH($B317,[1]SuSa_2024!$B:$B,0)),"0")</f>
        <v>0</v>
      </c>
      <c r="AN317" s="8">
        <f>IFERROR(INDEX([1]SuSa_2024!BR:BR,MATCH($B317,[1]SuSa_2024!$B:$B,0)),"0")</f>
        <v>0</v>
      </c>
      <c r="AO317" s="8">
        <f>IFERROR(INDEX([1]SuSa_2024!BS:BS,MATCH($B317,[1]SuSa_2024!$B:$B,0)),"0")</f>
        <v>0</v>
      </c>
      <c r="AP317" s="8">
        <f>IFERROR(INDEX([1]SuSa_2024!BT:BT,MATCH($B317,[1]SuSa_2024!$B:$B,0)),"0")</f>
        <v>0</v>
      </c>
      <c r="AQ317" s="8">
        <f>IFERROR(INDEX([1]SuSa_2024!BU:BU,MATCH($B317,[1]SuSa_2024!$B:$B,0)),"0")</f>
        <v>0</v>
      </c>
      <c r="AR317" s="8">
        <f>IFERROR(INDEX([1]SuSa_2024!BV:BV,MATCH($B317,[1]SuSa_2024!$B:$B,0)),"0")</f>
        <v>0</v>
      </c>
      <c r="AS317" s="8">
        <f>IFERROR(INDEX([1]SuSa_2024!BW:BW,MATCH($B317,[1]SuSa_2024!$B:$B,0)),"0")</f>
        <v>0</v>
      </c>
      <c r="AT317" s="8">
        <f>IFERROR(INDEX([1]SuSa_2024!BX:BX,MATCH($B317,[1]SuSa_2024!$B:$B,0)),"0")</f>
        <v>0</v>
      </c>
      <c r="AU317" s="8">
        <f>IFERROR(INDEX([1]SuSa_2024!BY:BY,MATCH($B317,[1]SuSa_2024!$B:$B,0)),"0")</f>
        <v>0</v>
      </c>
      <c r="AV317" s="8">
        <f>IFERROR(INDEX([1]SuSa_2025!AR:AR,MATCH($B317,[1]SuSa_2025!$B:$B,0)),"0")</f>
        <v>0</v>
      </c>
      <c r="AW317" s="8">
        <f>IFERROR(INDEX([1]SuSa_2025!AS:AS,MATCH($B317,[1]SuSa_2025!$B:$B,0)),"0")</f>
        <v>0</v>
      </c>
      <c r="AX317" s="8">
        <f>IFERROR(INDEX([1]SuSa_2025!AT:AT,MATCH($B317,[1]SuSa_2025!$B:$B,0)),"0")</f>
        <v>0</v>
      </c>
      <c r="AY317" s="8">
        <f>IFERROR(INDEX([1]SuSa_2025!AU:AU,MATCH($B317,[1]SuSa_2025!$B:$B,0)),"0")</f>
        <v>0</v>
      </c>
      <c r="AZ317" s="8">
        <f>IFERROR(INDEX([1]SuSa_2025!AV:AV,MATCH($B317,[1]SuSa_2025!$B:$B,0)),"0")</f>
        <v>0</v>
      </c>
      <c r="BA317" s="8">
        <f>IFERROR(INDEX([1]SuSa_2025!AW:AW,MATCH($B317,[1]SuSa_2025!$B:$B,0)),"0")</f>
        <v>0</v>
      </c>
      <c r="BB317" s="8">
        <f>IFERROR(INDEX([1]SuSa_2025!AX:AX,MATCH($B317,[1]SuSa_2025!$B:$B,0)),"0")</f>
        <v>0</v>
      </c>
    </row>
    <row r="318" spans="1:54" outlineLevel="1" collapsed="1" x14ac:dyDescent="0.25">
      <c r="A318" s="5" t="s">
        <v>933</v>
      </c>
      <c r="B318" s="6" t="s">
        <v>934</v>
      </c>
      <c r="C318" t="s">
        <v>935</v>
      </c>
      <c r="F318" s="7">
        <f t="shared" si="25"/>
        <v>0</v>
      </c>
      <c r="G318" s="7">
        <f t="shared" si="26"/>
        <v>0</v>
      </c>
      <c r="H318" s="7">
        <f t="shared" si="27"/>
        <v>0</v>
      </c>
      <c r="I318" s="7" t="str">
        <f t="shared" si="23"/>
        <v>0</v>
      </c>
      <c r="J318" s="8">
        <f t="shared" si="28"/>
        <v>0</v>
      </c>
      <c r="K318" s="8">
        <f t="shared" si="24"/>
        <v>0</v>
      </c>
      <c r="L318" s="8">
        <v>-56525</v>
      </c>
      <c r="M318" s="8">
        <v>-181060.88</v>
      </c>
      <c r="N318" s="8">
        <v>-77588</v>
      </c>
      <c r="O318" s="8">
        <v>-17850</v>
      </c>
      <c r="P318" s="8">
        <v>-104363</v>
      </c>
      <c r="Q318" s="8">
        <v>-37830.1</v>
      </c>
      <c r="R318" s="8">
        <v>-53550</v>
      </c>
      <c r="S318" s="8">
        <v>-57120</v>
      </c>
      <c r="T318" s="8">
        <v>0</v>
      </c>
      <c r="U318" s="8">
        <v>-70210</v>
      </c>
      <c r="V318" s="8">
        <v>24027.29</v>
      </c>
      <c r="W318" s="8">
        <v>0</v>
      </c>
      <c r="Y318" s="8">
        <v>-133518</v>
      </c>
      <c r="Z318" s="8">
        <v>0</v>
      </c>
      <c r="AA318" s="8">
        <v>0</v>
      </c>
      <c r="AB318" s="8">
        <v>0</v>
      </c>
      <c r="AC318" s="8">
        <v>-58905</v>
      </c>
      <c r="AD318" s="8">
        <v>-164666.25</v>
      </c>
      <c r="AE318" s="8">
        <v>-117810</v>
      </c>
      <c r="AF318" s="8">
        <v>0</v>
      </c>
      <c r="AG318" s="8">
        <v>0</v>
      </c>
      <c r="AH318" s="8">
        <v>0</v>
      </c>
      <c r="AI318" s="8">
        <v>0</v>
      </c>
      <c r="AV318" s="8" t="str">
        <f>IFERROR(INDEX([1]SuSa_2025!AR:AR,MATCH($B318,[1]SuSa_2025!$B:$B,0)),"0")</f>
        <v>0</v>
      </c>
      <c r="AW318" s="8" t="str">
        <f>IFERROR(INDEX([1]SuSa_2025!AS:AS,MATCH($B318,[1]SuSa_2025!$B:$B,0)),"0")</f>
        <v>0</v>
      </c>
      <c r="AX318" s="8" t="str">
        <f>IFERROR(INDEX([1]SuSa_2025!AT:AT,MATCH($B318,[1]SuSa_2025!$B:$B,0)),"0")</f>
        <v>0</v>
      </c>
      <c r="AY318" s="8" t="str">
        <f>IFERROR(INDEX([1]SuSa_2025!AU:AU,MATCH($B318,[1]SuSa_2025!$B:$B,0)),"0")</f>
        <v>0</v>
      </c>
      <c r="AZ318" s="8" t="str">
        <f>IFERROR(INDEX([1]SuSa_2025!AV:AV,MATCH($B318,[1]SuSa_2025!$B:$B,0)),"0")</f>
        <v>0</v>
      </c>
      <c r="BA318" s="8" t="str">
        <f>IFERROR(INDEX([1]SuSa_2025!AW:AW,MATCH($B318,[1]SuSa_2025!$B:$B,0)),"0")</f>
        <v>0</v>
      </c>
      <c r="BB318" s="8" t="str">
        <f>IFERROR(INDEX([1]SuSa_2025!AX:AX,MATCH($B318,[1]SuSa_2025!$B:$B,0)),"0")</f>
        <v>0</v>
      </c>
    </row>
    <row r="319" spans="1:54" x14ac:dyDescent="0.25">
      <c r="C319" t="s">
        <v>936</v>
      </c>
      <c r="F319" s="7">
        <f t="shared" ref="F319:AY319" si="29">SUM(F2:F318)</f>
        <v>9.3132257461547852E-9</v>
      </c>
      <c r="G319" s="7">
        <f t="shared" si="29"/>
        <v>-3.0267983675003052E-9</v>
      </c>
      <c r="H319" s="7">
        <f t="shared" si="29"/>
        <v>4.3382897274568677E-10</v>
      </c>
      <c r="I319" s="7">
        <f t="shared" si="29"/>
        <v>-1.4150032257020939E-9</v>
      </c>
      <c r="J319" s="8">
        <f t="shared" si="29"/>
        <v>3692141.3700000015</v>
      </c>
      <c r="K319" s="8">
        <f t="shared" si="29"/>
        <v>-2.3455868358723819E-9</v>
      </c>
      <c r="L319" s="8">
        <f t="shared" si="29"/>
        <v>1.3969838619232178E-9</v>
      </c>
      <c r="M319" s="8">
        <f t="shared" si="29"/>
        <v>5.3551048040390015E-9</v>
      </c>
      <c r="N319" s="8">
        <f t="shared" si="29"/>
        <v>5.1222741603851318E-9</v>
      </c>
      <c r="O319" s="8">
        <f t="shared" si="29"/>
        <v>1.280568540096283E-9</v>
      </c>
      <c r="P319" s="8">
        <f t="shared" si="29"/>
        <v>3.0267983675003052E-9</v>
      </c>
      <c r="Q319" s="8">
        <f t="shared" si="29"/>
        <v>-3.6307028494775295E-9</v>
      </c>
      <c r="R319" s="8">
        <f t="shared" si="29"/>
        <v>-9.3132257461547852E-10</v>
      </c>
      <c r="S319" s="8">
        <f t="shared" si="29"/>
        <v>3.9581209421157837E-9</v>
      </c>
      <c r="T319" s="8">
        <f t="shared" si="29"/>
        <v>-1.3969838619232178E-9</v>
      </c>
      <c r="U319" s="8">
        <f t="shared" si="29"/>
        <v>7.4505805969238281E-9</v>
      </c>
      <c r="V319" s="8">
        <f t="shared" si="29"/>
        <v>3.2232492230832577E-9</v>
      </c>
      <c r="W319" s="8">
        <f t="shared" si="29"/>
        <v>9.3132257461547852E-9</v>
      </c>
      <c r="X319" s="8">
        <f t="shared" si="29"/>
        <v>0</v>
      </c>
      <c r="Y319" s="8">
        <f t="shared" si="29"/>
        <v>-1.3678800314664841E-9</v>
      </c>
      <c r="Z319" s="8">
        <f t="shared" si="29"/>
        <v>1.5425030142068863E-9</v>
      </c>
      <c r="AA319" s="8">
        <f t="shared" si="29"/>
        <v>2.3283064365386963E-10</v>
      </c>
      <c r="AB319" s="8">
        <f t="shared" si="29"/>
        <v>1.0477378964424133E-9</v>
      </c>
      <c r="AC319" s="8">
        <f t="shared" si="29"/>
        <v>-1.3969838619232178E-9</v>
      </c>
      <c r="AD319" s="8">
        <f t="shared" si="29"/>
        <v>-1.3969838619232178E-9</v>
      </c>
      <c r="AE319" s="8">
        <f t="shared" si="29"/>
        <v>1.6298145055770874E-9</v>
      </c>
      <c r="AF319" s="8">
        <f t="shared" si="29"/>
        <v>-2.5611370801925659E-9</v>
      </c>
      <c r="AG319" s="8">
        <f t="shared" si="29"/>
        <v>-2.7939677238464355E-9</v>
      </c>
      <c r="AH319" s="8">
        <f t="shared" si="29"/>
        <v>-1.3969838619232178E-9</v>
      </c>
      <c r="AI319" s="8">
        <f t="shared" si="29"/>
        <v>-3.0267983675003052E-9</v>
      </c>
      <c r="AJ319" s="8">
        <f t="shared" si="29"/>
        <v>7.084963726811111E-10</v>
      </c>
      <c r="AK319" s="8">
        <f t="shared" si="29"/>
        <v>-2.0854713511653244E-9</v>
      </c>
      <c r="AL319" s="8">
        <f t="shared" si="29"/>
        <v>1.9044819055125117E-9</v>
      </c>
      <c r="AM319" s="8">
        <f t="shared" si="29"/>
        <v>-8.922143024392426E-10</v>
      </c>
      <c r="AN319" s="8">
        <f t="shared" si="29"/>
        <v>-1.3415046851150692E-9</v>
      </c>
      <c r="AO319" s="8">
        <f t="shared" si="29"/>
        <v>-1.457920006942004E-9</v>
      </c>
      <c r="AP319" s="8">
        <f t="shared" si="29"/>
        <v>-2.3455868358723819E-9</v>
      </c>
      <c r="AQ319" s="8">
        <f t="shared" si="29"/>
        <v>-2.2000676835887134E-9</v>
      </c>
      <c r="AR319" s="8">
        <f t="shared" si="29"/>
        <v>-3.4515323932282627E-9</v>
      </c>
      <c r="AS319" s="8">
        <f t="shared" si="29"/>
        <v>-1.065018295776099E-9</v>
      </c>
      <c r="AT319" s="8">
        <f t="shared" si="29"/>
        <v>-4.0481609175913036E-9</v>
      </c>
      <c r="AU319" s="8">
        <f t="shared" si="29"/>
        <v>4.3382897274568677E-10</v>
      </c>
      <c r="AV319" s="8">
        <f t="shared" si="29"/>
        <v>-2.3463258003175724E-9</v>
      </c>
      <c r="AW319" s="8">
        <f t="shared" si="29"/>
        <v>-2.8119870876253117E-9</v>
      </c>
      <c r="AX319" s="8">
        <f t="shared" si="29"/>
        <v>-4.836806510866154E-10</v>
      </c>
      <c r="AY319" s="8">
        <f t="shared" si="29"/>
        <v>-9.4934193839435466E-10</v>
      </c>
      <c r="AZ319" s="8" t="str">
        <f>IF(IFERROR(INDEX(#REF!,MATCH(B319,#REF!,0)),"0")="","0",IFERROR(INDEX(#REF!,MATCH(B319,#REF!,0)),"0"))</f>
        <v>0</v>
      </c>
      <c r="BA319" s="8">
        <f>SUM(BA2:BA318)</f>
        <v>-1.8019363778876141E-11</v>
      </c>
      <c r="BB319" s="8">
        <f>SUM(BB2:BB318)</f>
        <v>-1.4150032257020939E-9</v>
      </c>
    </row>
    <row r="321" spans="1:55" x14ac:dyDescent="0.25">
      <c r="B321" s="6" t="b">
        <f>B269=[1]Umsatzzuordn.!C2</f>
        <v>1</v>
      </c>
    </row>
    <row r="323" spans="1:55" s="25" customFormat="1" x14ac:dyDescent="0.25">
      <c r="A323" s="24"/>
      <c r="B323" s="24" t="s">
        <v>937</v>
      </c>
      <c r="C323"/>
      <c r="E323"/>
      <c r="F323" s="26">
        <f>SUBTOTAL(9,F34:F83)</f>
        <v>662924.50999999978</v>
      </c>
      <c r="G323" s="26">
        <f>SUBTOTAL(9,G34:G83)</f>
        <v>762428.73999999964</v>
      </c>
      <c r="H323" s="26">
        <f>SUBTOTAL(9,H34:H83)</f>
        <v>302927.73999999993</v>
      </c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8"/>
      <c r="AR323" s="8"/>
      <c r="AS323" s="8"/>
      <c r="AT323" s="8"/>
      <c r="AU323" s="8"/>
      <c r="AV323" s="26"/>
      <c r="AW323" s="26"/>
      <c r="AX323" s="26"/>
      <c r="AY323" s="26"/>
      <c r="AZ323" s="26"/>
      <c r="BA323" s="26"/>
      <c r="BB323" s="26"/>
      <c r="BC323" s="26"/>
    </row>
    <row r="324" spans="1:55" s="25" customFormat="1" x14ac:dyDescent="0.25">
      <c r="A324" s="24"/>
      <c r="B324" s="24" t="s">
        <v>938</v>
      </c>
      <c r="C324"/>
      <c r="E324"/>
      <c r="F324" s="26"/>
      <c r="G324" s="26">
        <f>G323+46680.53</f>
        <v>809109.26999999967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8"/>
      <c r="AR324" s="8"/>
      <c r="AS324" s="8"/>
      <c r="AT324" s="8"/>
      <c r="AU324" s="8"/>
      <c r="AV324" s="26"/>
      <c r="AW324" s="26"/>
      <c r="AX324" s="26"/>
      <c r="AY324" s="26"/>
      <c r="AZ324" s="26"/>
      <c r="BA324" s="26"/>
      <c r="BB324" s="26"/>
      <c r="BC324" s="26"/>
    </row>
    <row r="327" spans="1:55" s="25" customFormat="1" x14ac:dyDescent="0.25">
      <c r="A327" s="24"/>
      <c r="B327" s="24" t="s">
        <v>939</v>
      </c>
      <c r="C327"/>
      <c r="E327"/>
      <c r="F327" s="26"/>
      <c r="G327" s="26"/>
      <c r="H327" s="26">
        <f>H20+G328+H328</f>
        <v>13474981.469999999</v>
      </c>
      <c r="I327" s="26">
        <f>H327+I328</f>
        <v>12435450.459999999</v>
      </c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8"/>
      <c r="AR327" s="8"/>
      <c r="AS327" s="8"/>
      <c r="AT327" s="8"/>
      <c r="AU327" s="8"/>
      <c r="AV327" s="26"/>
      <c r="AW327" s="26"/>
      <c r="AX327" s="26"/>
      <c r="AY327" s="26"/>
      <c r="AZ327" s="26"/>
      <c r="BA327" s="26"/>
      <c r="BB327" s="26"/>
      <c r="BC327" s="26"/>
    </row>
    <row r="328" spans="1:55" s="25" customFormat="1" x14ac:dyDescent="0.25">
      <c r="A328" s="26"/>
      <c r="B328" s="24" t="s">
        <v>940</v>
      </c>
      <c r="C328"/>
      <c r="E328"/>
      <c r="F328" s="26">
        <f>-'[1]Lead PL'!F54*1000</f>
        <v>-2038912.88</v>
      </c>
      <c r="G328" s="26">
        <f>-'[1]Lead PL'!G54*1000</f>
        <v>-5245688.6000000006</v>
      </c>
      <c r="H328" s="26">
        <f>-'[1]Lead PL'!H54*1000</f>
        <v>-2236231.04</v>
      </c>
      <c r="I328" s="26">
        <f>-'[1]Lead PL'!J54*1000</f>
        <v>-1039531.0100000001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8"/>
      <c r="AR328" s="8"/>
      <c r="AS328" s="8"/>
      <c r="AT328" s="8"/>
      <c r="AU328" s="8"/>
      <c r="AV328" s="26"/>
      <c r="AW328" s="26"/>
      <c r="AX328" s="26"/>
      <c r="AY328" s="26"/>
      <c r="AZ328" s="26"/>
      <c r="BA328" s="26"/>
      <c r="BB328" s="26"/>
      <c r="BC328" s="26"/>
    </row>
    <row r="329" spans="1:55" s="25" customFormat="1" outlineLevel="2" x14ac:dyDescent="0.25">
      <c r="A329" s="24"/>
      <c r="B329" s="24" t="s">
        <v>941</v>
      </c>
      <c r="C329" s="27"/>
      <c r="E329"/>
      <c r="F329" s="26">
        <f>SUBTOTAL(9,F17:F328)</f>
        <v>747663.44000000553</v>
      </c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8"/>
      <c r="AR329" s="28"/>
      <c r="AS329" s="28"/>
      <c r="AT329" s="28"/>
      <c r="AU329" s="28"/>
      <c r="AV329" s="26"/>
      <c r="AW329" s="26"/>
      <c r="AX329" s="26"/>
      <c r="AY329" s="26"/>
      <c r="AZ329" s="26"/>
      <c r="BA329" s="26"/>
      <c r="BC329" s="26"/>
    </row>
    <row r="330" spans="1:55" s="25" customFormat="1" outlineLevel="2" x14ac:dyDescent="0.25">
      <c r="A330" s="24"/>
      <c r="B330" s="24" t="s">
        <v>942</v>
      </c>
      <c r="C330" s="27"/>
      <c r="E330"/>
      <c r="F330" s="26"/>
      <c r="G330" s="26">
        <f>G18-F18</f>
        <v>-6000000</v>
      </c>
      <c r="H330" s="26">
        <f>H18-G18</f>
        <v>-3311446.2600000016</v>
      </c>
      <c r="I330" s="26">
        <f>I18-H18</f>
        <v>0</v>
      </c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8"/>
      <c r="AR330" s="28"/>
      <c r="AS330" s="28"/>
      <c r="AT330" s="28"/>
      <c r="AU330" s="28"/>
      <c r="AV330" s="26"/>
      <c r="AW330" s="26"/>
      <c r="AX330" s="26"/>
      <c r="AY330" s="26"/>
      <c r="AZ330" s="26"/>
      <c r="BA330" s="26"/>
      <c r="BC330" s="26"/>
    </row>
    <row r="331" spans="1:55" s="25" customFormat="1" outlineLevel="2" x14ac:dyDescent="0.25">
      <c r="A331" s="24"/>
      <c r="B331" s="24" t="s">
        <v>943</v>
      </c>
      <c r="C331" s="27"/>
      <c r="E331"/>
      <c r="F331" s="26"/>
      <c r="G331" s="26">
        <f>F329+G328+G330</f>
        <v>-10498025.159999995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8"/>
      <c r="AR331" s="28"/>
      <c r="AS331" s="28"/>
      <c r="AT331" s="28"/>
      <c r="AU331" s="28"/>
      <c r="AV331" s="26"/>
      <c r="AW331" s="26"/>
      <c r="AX331" s="26"/>
      <c r="AY331" s="26"/>
      <c r="AZ331" s="26"/>
      <c r="BA331" s="26"/>
      <c r="BC331" s="26"/>
    </row>
    <row r="332" spans="1:55" s="25" customFormat="1" outlineLevel="2" x14ac:dyDescent="0.25">
      <c r="A332" s="24"/>
      <c r="B332" s="24" t="s">
        <v>944</v>
      </c>
      <c r="C332" s="27"/>
      <c r="E332"/>
      <c r="F332" s="26"/>
      <c r="G332" s="26"/>
      <c r="H332" s="26">
        <f>G331+H328+H330</f>
        <v>-16045702.459999997</v>
      </c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8"/>
      <c r="AR332" s="28"/>
      <c r="AS332" s="28"/>
      <c r="AT332" s="28"/>
      <c r="AU332" s="28"/>
      <c r="AV332" s="26"/>
      <c r="AW332" s="26"/>
      <c r="AX332" s="26"/>
      <c r="AY332" s="26"/>
      <c r="AZ332" s="26"/>
      <c r="BA332" s="26"/>
      <c r="BC332" s="26"/>
    </row>
    <row r="333" spans="1:55" s="25" customFormat="1" outlineLevel="2" x14ac:dyDescent="0.25">
      <c r="A333" s="24"/>
      <c r="B333" s="24" t="s">
        <v>945</v>
      </c>
      <c r="C333" s="27"/>
      <c r="E333"/>
      <c r="F333" s="26"/>
      <c r="G333" s="26"/>
      <c r="H333" s="26"/>
      <c r="I333" s="26">
        <f>H332+I328+I330</f>
        <v>-17085233.469999999</v>
      </c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8"/>
      <c r="AR333" s="28"/>
      <c r="AS333" s="28"/>
      <c r="AT333" s="28"/>
      <c r="AU333" s="28"/>
      <c r="AV333" s="26"/>
      <c r="AW333" s="26"/>
      <c r="AX333" s="26"/>
      <c r="AY333" s="26"/>
      <c r="AZ333" s="26"/>
      <c r="BA333" s="26"/>
      <c r="BC333" s="26"/>
    </row>
    <row r="334" spans="1:55" s="27" customFormat="1" outlineLevel="2" x14ac:dyDescent="0.25">
      <c r="A334" s="29"/>
      <c r="B334" s="6"/>
      <c r="E334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C334" s="28"/>
    </row>
    <row r="335" spans="1:55" s="27" customFormat="1" outlineLevel="2" x14ac:dyDescent="0.25">
      <c r="A335" s="29"/>
      <c r="B335" s="6"/>
      <c r="E335"/>
      <c r="F335" s="28"/>
      <c r="G335" s="28"/>
      <c r="H335" s="28">
        <f>-H17-H18-H20</f>
        <v>3317525.4900000021</v>
      </c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C335" s="28"/>
    </row>
    <row r="336" spans="1:55" s="27" customFormat="1" outlineLevel="2" x14ac:dyDescent="0.25">
      <c r="A336" s="29"/>
      <c r="B336" s="6"/>
      <c r="E336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C336" s="28"/>
    </row>
    <row r="337" spans="1:55" s="27" customFormat="1" outlineLevel="2" x14ac:dyDescent="0.25">
      <c r="A337" s="27" t="str">
        <f>A128</f>
        <v>3100</v>
      </c>
      <c r="B337" s="27" t="str">
        <f>B128</f>
        <v>0 Fremdleistungen EDV Service</v>
      </c>
      <c r="E337"/>
      <c r="F337" s="28"/>
      <c r="G337" s="28">
        <f>G128-F128</f>
        <v>195866.34000000003</v>
      </c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C337" s="28"/>
    </row>
    <row r="338" spans="1:55" s="27" customFormat="1" outlineLevel="2" x14ac:dyDescent="0.25">
      <c r="A338" s="27" t="str">
        <f>A130</f>
        <v>3106</v>
      </c>
      <c r="B338" s="27" t="str">
        <f>B130</f>
        <v>0 Fremdleistungen 19% Vorsteuer</v>
      </c>
      <c r="E338"/>
      <c r="F338" s="28"/>
      <c r="G338" s="28">
        <f>G130-F130</f>
        <v>588930.04</v>
      </c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</row>
    <row r="339" spans="1:55" s="27" customFormat="1" outlineLevel="2" x14ac:dyDescent="0.25">
      <c r="A339" s="27" t="str">
        <f>A132</f>
        <v>3109</v>
      </c>
      <c r="B339" s="27" t="str">
        <f>B132</f>
        <v>0 Fremdleistungen ohne Vorsteuer</v>
      </c>
      <c r="E339"/>
      <c r="F339" s="28"/>
      <c r="G339" s="28">
        <f>G132-F132</f>
        <v>106926.66</v>
      </c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</row>
    <row r="340" spans="1:55" s="27" customFormat="1" outlineLevel="2" x14ac:dyDescent="0.25">
      <c r="A340" s="27" t="str">
        <f>A120</f>
        <v>3000</v>
      </c>
      <c r="B340" s="27" t="str">
        <f>B120</f>
        <v>1 Aufwendungen RHB Gewürze</v>
      </c>
      <c r="E340"/>
      <c r="F340" s="28"/>
      <c r="G340" s="28">
        <f>G120-F120</f>
        <v>72909.55</v>
      </c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</row>
    <row r="341" spans="1:55" s="27" customFormat="1" outlineLevel="2" x14ac:dyDescent="0.25">
      <c r="A341" s="27" t="str">
        <f>A129</f>
        <v>3100</v>
      </c>
      <c r="B341" s="27" t="str">
        <f>B129</f>
        <v>1 Fremdleistungen Reverse Charge</v>
      </c>
      <c r="E341"/>
      <c r="F341" s="28"/>
      <c r="G341" s="28">
        <f>G129-F129</f>
        <v>23928.11</v>
      </c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</row>
    <row r="342" spans="1:55" s="27" customFormat="1" outlineLevel="2" x14ac:dyDescent="0.25">
      <c r="A342" s="29"/>
      <c r="B342" s="29"/>
      <c r="E342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</row>
    <row r="343" spans="1:55" s="27" customFormat="1" outlineLevel="2" x14ac:dyDescent="0.25">
      <c r="A343" s="29"/>
      <c r="B343" s="29"/>
      <c r="E343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</row>
    <row r="344" spans="1:55" s="27" customFormat="1" outlineLevel="2" x14ac:dyDescent="0.25">
      <c r="A344" s="29"/>
      <c r="B344" s="29"/>
      <c r="E344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</row>
    <row r="345" spans="1:55" s="27" customFormat="1" outlineLevel="2" x14ac:dyDescent="0.25">
      <c r="A345" s="27" t="str">
        <f>A304</f>
        <v>8970</v>
      </c>
      <c r="B345" s="27" t="str">
        <f>B304</f>
        <v>2 BV UFL - Native Advertising</v>
      </c>
      <c r="E345"/>
      <c r="F345" s="28"/>
      <c r="G345" s="28">
        <f>G304-F304</f>
        <v>75118.510000000009</v>
      </c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</row>
    <row r="346" spans="1:55" s="27" customFormat="1" outlineLevel="2" x14ac:dyDescent="0.25">
      <c r="A346" s="27" t="str">
        <f t="shared" ref="A346:B353" si="30">A305</f>
        <v>8970</v>
      </c>
      <c r="B346" s="27" t="str">
        <f t="shared" si="30"/>
        <v>5 BV UFL - Other B2B Revenues</v>
      </c>
      <c r="E346"/>
      <c r="F346" s="28"/>
      <c r="G346" s="28">
        <f t="shared" ref="G346:G353" si="31">G305-F305</f>
        <v>18000</v>
      </c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</row>
    <row r="347" spans="1:55" s="27" customFormat="1" outlineLevel="2" x14ac:dyDescent="0.25">
      <c r="A347" s="27" t="str">
        <f t="shared" si="30"/>
        <v>8970</v>
      </c>
      <c r="B347" s="27" t="str">
        <f t="shared" si="30"/>
        <v>6 BV UFL - Service Production</v>
      </c>
      <c r="E347"/>
      <c r="F347" s="28"/>
      <c r="G347" s="28">
        <f t="shared" si="31"/>
        <v>-0.26</v>
      </c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</row>
    <row r="348" spans="1:55" s="27" customFormat="1" outlineLevel="2" x14ac:dyDescent="0.25">
      <c r="A348" s="27" t="str">
        <f t="shared" si="30"/>
        <v>8970</v>
      </c>
      <c r="B348" s="27" t="str">
        <f t="shared" si="30"/>
        <v>7 BV UFL - Display Advertising</v>
      </c>
      <c r="E348"/>
      <c r="F348" s="28"/>
      <c r="G348" s="28">
        <f t="shared" si="31"/>
        <v>-46937.31</v>
      </c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</row>
    <row r="349" spans="1:55" s="27" customFormat="1" outlineLevel="2" x14ac:dyDescent="0.25">
      <c r="A349" s="27" t="str">
        <f t="shared" si="30"/>
        <v>8970</v>
      </c>
      <c r="B349" s="27" t="str">
        <f t="shared" si="30"/>
        <v>9 BV UFL - Native Production</v>
      </c>
      <c r="E349"/>
      <c r="F349" s="28"/>
      <c r="G349" s="28">
        <f t="shared" si="31"/>
        <v>-74828.679999999993</v>
      </c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</row>
    <row r="350" spans="1:55" s="27" customFormat="1" outlineLevel="2" x14ac:dyDescent="0.25">
      <c r="A350" s="27" t="str">
        <f t="shared" si="30"/>
        <v>8970</v>
      </c>
      <c r="B350" s="27" t="str">
        <f t="shared" si="30"/>
        <v>0 BV UFL - Other Operative Revenues</v>
      </c>
      <c r="E350"/>
      <c r="F350" s="28"/>
      <c r="G350" s="28">
        <f t="shared" si="31"/>
        <v>4221.82</v>
      </c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</row>
    <row r="351" spans="1:55" s="27" customFormat="1" outlineLevel="2" x14ac:dyDescent="0.25">
      <c r="A351" s="27" t="str">
        <f t="shared" si="30"/>
        <v>8971</v>
      </c>
      <c r="B351" s="27" t="str">
        <f t="shared" si="30"/>
        <v>0 BV UFL - Foodfittery</v>
      </c>
      <c r="E351"/>
      <c r="F351" s="28"/>
      <c r="G351" s="28">
        <f t="shared" si="31"/>
        <v>0</v>
      </c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</row>
    <row r="352" spans="1:55" s="27" customFormat="1" outlineLevel="2" x14ac:dyDescent="0.25">
      <c r="A352" s="27" t="str">
        <f t="shared" si="30"/>
        <v>8980</v>
      </c>
      <c r="B352" s="27" t="str">
        <f t="shared" si="30"/>
        <v>1 BV Gewürzmischungen Online-Shop</v>
      </c>
      <c r="E352"/>
      <c r="F352" s="28"/>
      <c r="G352" s="28">
        <f t="shared" si="31"/>
        <v>-25434.69</v>
      </c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</row>
    <row r="353" spans="1:55" s="27" customFormat="1" outlineLevel="2" x14ac:dyDescent="0.25">
      <c r="A353" s="27" t="str">
        <f t="shared" si="30"/>
        <v>8980</v>
      </c>
      <c r="B353" s="27" t="str">
        <f t="shared" si="30"/>
        <v>2 BV Sets Online-Shop</v>
      </c>
      <c r="E353"/>
      <c r="F353" s="28"/>
      <c r="G353" s="28">
        <f t="shared" si="31"/>
        <v>-8431.17</v>
      </c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</row>
    <row r="354" spans="1:55" s="27" customFormat="1" outlineLevel="2" x14ac:dyDescent="0.25">
      <c r="A354" s="29"/>
      <c r="B354" s="29"/>
      <c r="E354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</row>
    <row r="355" spans="1:55" s="27" customFormat="1" outlineLevel="2" x14ac:dyDescent="0.25">
      <c r="A355" s="29"/>
      <c r="B355" s="29"/>
      <c r="E355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</row>
    <row r="356" spans="1:55" s="27" customFormat="1" outlineLevel="2" x14ac:dyDescent="0.25">
      <c r="A356" s="29"/>
      <c r="B356" s="29"/>
      <c r="E356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</row>
    <row r="357" spans="1:55" s="27" customFormat="1" outlineLevel="2" x14ac:dyDescent="0.25">
      <c r="E357"/>
      <c r="F357" s="28"/>
      <c r="G357" s="28">
        <f>G141-F141</f>
        <v>1600</v>
      </c>
      <c r="H357" s="28">
        <f>H141-G141</f>
        <v>-1600</v>
      </c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</row>
    <row r="358" spans="1:55" s="27" customFormat="1" outlineLevel="2" x14ac:dyDescent="0.25">
      <c r="E358"/>
      <c r="F358" s="28"/>
      <c r="G358" s="28">
        <f t="shared" ref="G358:H373" si="32">G142-F142</f>
        <v>78345.5</v>
      </c>
      <c r="H358" s="28">
        <f t="shared" si="32"/>
        <v>33845.910000000003</v>
      </c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</row>
    <row r="359" spans="1:55" s="27" customFormat="1" outlineLevel="2" x14ac:dyDescent="0.25">
      <c r="E359"/>
      <c r="F359" s="28"/>
      <c r="G359" s="28">
        <f t="shared" si="32"/>
        <v>34484.259999999776</v>
      </c>
      <c r="H359" s="28">
        <f t="shared" si="32"/>
        <v>-503679.01999999955</v>
      </c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</row>
    <row r="360" spans="1:55" s="27" customFormat="1" outlineLevel="2" x14ac:dyDescent="0.25">
      <c r="E360"/>
      <c r="F360" s="28"/>
      <c r="G360" s="28">
        <f t="shared" si="32"/>
        <v>0</v>
      </c>
      <c r="H360" s="28">
        <f t="shared" si="32"/>
        <v>0</v>
      </c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</row>
    <row r="361" spans="1:55" s="27" customFormat="1" outlineLevel="2" x14ac:dyDescent="0.25">
      <c r="E361"/>
      <c r="F361" s="28"/>
      <c r="G361" s="28">
        <f t="shared" si="32"/>
        <v>0</v>
      </c>
      <c r="H361" s="28">
        <f t="shared" si="32"/>
        <v>0</v>
      </c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</row>
    <row r="362" spans="1:55" s="27" customFormat="1" outlineLevel="2" x14ac:dyDescent="0.25">
      <c r="E362"/>
      <c r="F362" s="28"/>
      <c r="G362" s="28">
        <f t="shared" si="32"/>
        <v>0</v>
      </c>
      <c r="H362" s="28">
        <f t="shared" si="32"/>
        <v>0</v>
      </c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</row>
    <row r="363" spans="1:55" s="27" customFormat="1" outlineLevel="2" x14ac:dyDescent="0.25">
      <c r="E363"/>
      <c r="F363" s="28"/>
      <c r="G363" s="28">
        <f t="shared" si="32"/>
        <v>0</v>
      </c>
      <c r="H363" s="28">
        <f t="shared" si="32"/>
        <v>0</v>
      </c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</row>
    <row r="364" spans="1:55" s="27" customFormat="1" outlineLevel="2" x14ac:dyDescent="0.25">
      <c r="E364"/>
      <c r="F364" s="28"/>
      <c r="G364" s="28">
        <f t="shared" si="32"/>
        <v>0</v>
      </c>
      <c r="H364" s="28">
        <f t="shared" si="32"/>
        <v>0</v>
      </c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</row>
    <row r="365" spans="1:55" s="27" customFormat="1" outlineLevel="2" x14ac:dyDescent="0.25">
      <c r="E365"/>
      <c r="F365" s="28"/>
      <c r="G365" s="28">
        <f t="shared" si="32"/>
        <v>0</v>
      </c>
      <c r="H365" s="28">
        <f t="shared" si="32"/>
        <v>0</v>
      </c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</row>
    <row r="366" spans="1:55" s="27" customFormat="1" outlineLevel="2" x14ac:dyDescent="0.25">
      <c r="E366"/>
      <c r="F366" s="28"/>
      <c r="G366" s="28">
        <f t="shared" si="32"/>
        <v>0</v>
      </c>
      <c r="H366" s="28">
        <f t="shared" si="32"/>
        <v>0</v>
      </c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</row>
    <row r="367" spans="1:55" s="27" customFormat="1" outlineLevel="2" x14ac:dyDescent="0.25">
      <c r="E367"/>
      <c r="F367" s="28"/>
      <c r="G367" s="28">
        <f t="shared" si="32"/>
        <v>0</v>
      </c>
      <c r="H367" s="28">
        <f t="shared" si="32"/>
        <v>0</v>
      </c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</row>
    <row r="368" spans="1:55" s="27" customFormat="1" outlineLevel="2" x14ac:dyDescent="0.25">
      <c r="E368"/>
      <c r="F368" s="28"/>
      <c r="G368" s="28">
        <f t="shared" si="32"/>
        <v>0</v>
      </c>
      <c r="H368" s="28">
        <f t="shared" si="32"/>
        <v>0</v>
      </c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</row>
    <row r="369" spans="5:55" s="27" customFormat="1" outlineLevel="2" x14ac:dyDescent="0.25">
      <c r="E369"/>
      <c r="F369" s="28"/>
      <c r="G369" s="28">
        <f t="shared" si="32"/>
        <v>0</v>
      </c>
      <c r="H369" s="28">
        <f t="shared" si="32"/>
        <v>0</v>
      </c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</row>
    <row r="370" spans="5:55" s="27" customFormat="1" outlineLevel="2" x14ac:dyDescent="0.25">
      <c r="E370"/>
      <c r="F370" s="28"/>
      <c r="G370" s="28">
        <f t="shared" si="32"/>
        <v>0</v>
      </c>
      <c r="H370" s="28">
        <f t="shared" si="32"/>
        <v>0</v>
      </c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</row>
    <row r="371" spans="5:55" s="27" customFormat="1" outlineLevel="2" x14ac:dyDescent="0.25">
      <c r="E371"/>
      <c r="F371" s="28"/>
      <c r="G371" s="28">
        <f t="shared" si="32"/>
        <v>0</v>
      </c>
      <c r="H371" s="28">
        <f t="shared" si="32"/>
        <v>0</v>
      </c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</row>
    <row r="372" spans="5:55" s="27" customFormat="1" outlineLevel="2" x14ac:dyDescent="0.25">
      <c r="E372"/>
      <c r="F372" s="28"/>
      <c r="G372" s="28">
        <f t="shared" si="32"/>
        <v>0</v>
      </c>
      <c r="H372" s="28">
        <f t="shared" si="32"/>
        <v>0</v>
      </c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</row>
    <row r="373" spans="5:55" s="27" customFormat="1" outlineLevel="2" x14ac:dyDescent="0.25">
      <c r="E373"/>
      <c r="F373" s="28"/>
      <c r="G373" s="28">
        <f t="shared" si="32"/>
        <v>185.53</v>
      </c>
      <c r="H373" s="28">
        <f t="shared" si="32"/>
        <v>-185.53</v>
      </c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</row>
    <row r="374" spans="5:55" s="27" customFormat="1" outlineLevel="2" x14ac:dyDescent="0.25">
      <c r="E374"/>
      <c r="F374" s="28"/>
      <c r="G374" s="28">
        <f t="shared" ref="G374:H389" si="33">G158-F158</f>
        <v>123106.87</v>
      </c>
      <c r="H374" s="28">
        <f t="shared" si="33"/>
        <v>133640.93</v>
      </c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</row>
    <row r="375" spans="5:55" s="27" customFormat="1" outlineLevel="2" x14ac:dyDescent="0.25">
      <c r="E375"/>
      <c r="F375" s="28"/>
      <c r="G375" s="28">
        <f t="shared" si="33"/>
        <v>78321.989999999991</v>
      </c>
      <c r="H375" s="28">
        <f t="shared" si="33"/>
        <v>-127149.57000000007</v>
      </c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</row>
    <row r="376" spans="5:55" s="27" customFormat="1" outlineLevel="2" x14ac:dyDescent="0.25">
      <c r="E376"/>
      <c r="F376" s="28"/>
      <c r="G376" s="28">
        <f t="shared" si="33"/>
        <v>0</v>
      </c>
      <c r="H376" s="28">
        <f t="shared" si="33"/>
        <v>0</v>
      </c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</row>
    <row r="377" spans="5:55" s="27" customFormat="1" outlineLevel="2" x14ac:dyDescent="0.25">
      <c r="E377"/>
      <c r="F377" s="28"/>
      <c r="G377" s="28">
        <f t="shared" si="33"/>
        <v>0</v>
      </c>
      <c r="H377" s="28">
        <f t="shared" si="33"/>
        <v>0</v>
      </c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</row>
    <row r="378" spans="5:55" s="27" customFormat="1" outlineLevel="2" x14ac:dyDescent="0.25">
      <c r="E378"/>
      <c r="F378" s="28"/>
      <c r="G378" s="28">
        <f t="shared" si="33"/>
        <v>0</v>
      </c>
      <c r="H378" s="28">
        <f t="shared" si="33"/>
        <v>0</v>
      </c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</row>
    <row r="379" spans="5:55" s="27" customFormat="1" outlineLevel="2" x14ac:dyDescent="0.25">
      <c r="E379"/>
      <c r="F379" s="28"/>
      <c r="G379" s="28">
        <f t="shared" si="33"/>
        <v>0</v>
      </c>
      <c r="H379" s="28">
        <f t="shared" si="33"/>
        <v>0</v>
      </c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</row>
    <row r="380" spans="5:55" s="27" customFormat="1" outlineLevel="2" x14ac:dyDescent="0.25">
      <c r="E380"/>
      <c r="F380" s="28"/>
      <c r="G380" s="28">
        <f t="shared" si="33"/>
        <v>89.73</v>
      </c>
      <c r="H380" s="28">
        <f t="shared" si="33"/>
        <v>-89.73</v>
      </c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</row>
    <row r="381" spans="5:55" s="27" customFormat="1" outlineLevel="2" x14ac:dyDescent="0.25">
      <c r="E381"/>
      <c r="F381" s="28"/>
      <c r="G381" s="28">
        <f t="shared" si="33"/>
        <v>0</v>
      </c>
      <c r="H381" s="28">
        <f t="shared" si="33"/>
        <v>0</v>
      </c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</row>
    <row r="382" spans="5:55" s="27" customFormat="1" outlineLevel="2" x14ac:dyDescent="0.25">
      <c r="E382"/>
      <c r="F382" s="28"/>
      <c r="G382" s="28">
        <f t="shared" si="33"/>
        <v>0</v>
      </c>
      <c r="H382" s="28">
        <f t="shared" si="33"/>
        <v>0</v>
      </c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</row>
    <row r="383" spans="5:55" s="27" customFormat="1" outlineLevel="2" x14ac:dyDescent="0.25">
      <c r="E383"/>
      <c r="F383" s="28"/>
      <c r="G383" s="28">
        <f t="shared" si="33"/>
        <v>0</v>
      </c>
      <c r="H383" s="28">
        <f t="shared" si="33"/>
        <v>0</v>
      </c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</row>
    <row r="384" spans="5:55" s="27" customFormat="1" outlineLevel="2" x14ac:dyDescent="0.25">
      <c r="E384"/>
      <c r="F384" s="28"/>
      <c r="G384" s="28">
        <f t="shared" si="33"/>
        <v>-6268.98</v>
      </c>
      <c r="H384" s="28">
        <f t="shared" si="33"/>
        <v>6084.6</v>
      </c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</row>
    <row r="385" spans="5:55" s="27" customFormat="1" outlineLevel="2" x14ac:dyDescent="0.25">
      <c r="E385"/>
      <c r="F385" s="28"/>
      <c r="G385" s="28">
        <f t="shared" si="33"/>
        <v>0</v>
      </c>
      <c r="H385" s="28">
        <f t="shared" si="33"/>
        <v>-12624</v>
      </c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</row>
    <row r="386" spans="5:55" s="27" customFormat="1" outlineLevel="2" x14ac:dyDescent="0.25">
      <c r="E386"/>
      <c r="F386" s="28"/>
      <c r="G386" s="28">
        <f t="shared" si="33"/>
        <v>4187.1500000000005</v>
      </c>
      <c r="H386" s="28">
        <f t="shared" si="33"/>
        <v>-4409.91</v>
      </c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</row>
    <row r="387" spans="5:55" s="27" customFormat="1" outlineLevel="2" x14ac:dyDescent="0.25">
      <c r="E387"/>
      <c r="F387" s="28"/>
      <c r="G387" s="28">
        <f t="shared" si="33"/>
        <v>-9595.27</v>
      </c>
      <c r="H387" s="28">
        <f t="shared" si="33"/>
        <v>-5407.7199999999993</v>
      </c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</row>
    <row r="388" spans="5:55" s="27" customFormat="1" outlineLevel="2" x14ac:dyDescent="0.25">
      <c r="E388"/>
      <c r="F388" s="28"/>
      <c r="G388" s="28">
        <f t="shared" si="33"/>
        <v>-407.6400000000001</v>
      </c>
      <c r="H388" s="28">
        <f t="shared" si="33"/>
        <v>-786.99</v>
      </c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</row>
    <row r="389" spans="5:55" s="27" customFormat="1" outlineLevel="2" x14ac:dyDescent="0.25">
      <c r="E389"/>
      <c r="F389" s="28"/>
      <c r="G389" s="28">
        <f t="shared" si="33"/>
        <v>263.61999999999989</v>
      </c>
      <c r="H389" s="28">
        <f t="shared" si="33"/>
        <v>-1413.6399999999999</v>
      </c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</row>
    <row r="390" spans="5:55" s="27" customFormat="1" outlineLevel="2" x14ac:dyDescent="0.25">
      <c r="E390"/>
      <c r="F390" s="28"/>
      <c r="G390" s="28">
        <f t="shared" ref="G390:H405" si="34">G174-F174</f>
        <v>139.55000000000001</v>
      </c>
      <c r="H390" s="28">
        <f t="shared" si="34"/>
        <v>-139.55000000000001</v>
      </c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</row>
    <row r="391" spans="5:55" s="27" customFormat="1" outlineLevel="2" x14ac:dyDescent="0.25">
      <c r="E391"/>
      <c r="F391" s="28"/>
      <c r="G391" s="28">
        <f t="shared" si="34"/>
        <v>0</v>
      </c>
      <c r="H391" s="28">
        <f t="shared" si="34"/>
        <v>111.21</v>
      </c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</row>
    <row r="392" spans="5:55" s="27" customFormat="1" outlineLevel="2" x14ac:dyDescent="0.25">
      <c r="E392"/>
      <c r="F392" s="28"/>
      <c r="G392" s="28">
        <f t="shared" si="34"/>
        <v>0</v>
      </c>
      <c r="H392" s="28">
        <f t="shared" si="34"/>
        <v>541.38</v>
      </c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</row>
    <row r="393" spans="5:55" s="27" customFormat="1" outlineLevel="2" x14ac:dyDescent="0.25">
      <c r="E393"/>
      <c r="F393" s="28"/>
      <c r="G393" s="28">
        <f t="shared" si="34"/>
        <v>0</v>
      </c>
      <c r="H393" s="28">
        <f t="shared" si="34"/>
        <v>16664.100000000002</v>
      </c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</row>
    <row r="394" spans="5:55" s="27" customFormat="1" outlineLevel="2" x14ac:dyDescent="0.25">
      <c r="E394"/>
      <c r="F394" s="28"/>
      <c r="G394" s="28">
        <f t="shared" si="34"/>
        <v>3297.9</v>
      </c>
      <c r="H394" s="28">
        <f t="shared" si="34"/>
        <v>9297.9500000000007</v>
      </c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</row>
    <row r="395" spans="5:55" s="27" customFormat="1" outlineLevel="2" x14ac:dyDescent="0.25">
      <c r="E395"/>
      <c r="F395" s="28"/>
      <c r="G395" s="28">
        <f t="shared" si="34"/>
        <v>0</v>
      </c>
      <c r="H395" s="28">
        <f t="shared" si="34"/>
        <v>89.9</v>
      </c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</row>
    <row r="396" spans="5:55" s="27" customFormat="1" outlineLevel="2" x14ac:dyDescent="0.25">
      <c r="E396"/>
      <c r="F396" s="28"/>
      <c r="G396" s="28">
        <f t="shared" si="34"/>
        <v>-21788.620000000003</v>
      </c>
      <c r="H396" s="28">
        <f t="shared" si="34"/>
        <v>-61548.039999999994</v>
      </c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</row>
    <row r="397" spans="5:55" s="27" customFormat="1" outlineLevel="2" x14ac:dyDescent="0.25">
      <c r="E397"/>
      <c r="F397" s="28"/>
      <c r="G397" s="28">
        <f t="shared" si="34"/>
        <v>20977.29</v>
      </c>
      <c r="H397" s="28">
        <f t="shared" si="34"/>
        <v>-16054</v>
      </c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</row>
    <row r="398" spans="5:55" s="27" customFormat="1" outlineLevel="2" x14ac:dyDescent="0.25">
      <c r="E398"/>
      <c r="F398" s="28"/>
      <c r="G398" s="28">
        <f t="shared" si="34"/>
        <v>-739.6</v>
      </c>
      <c r="H398" s="28">
        <f t="shared" si="34"/>
        <v>-48.67</v>
      </c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</row>
    <row r="399" spans="5:55" s="27" customFormat="1" outlineLevel="2" x14ac:dyDescent="0.25">
      <c r="E399"/>
      <c r="F399" s="28"/>
      <c r="G399" s="28">
        <f t="shared" si="34"/>
        <v>0</v>
      </c>
      <c r="H399" s="28">
        <f t="shared" si="34"/>
        <v>74.86</v>
      </c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</row>
    <row r="400" spans="5:55" s="27" customFormat="1" outlineLevel="2" x14ac:dyDescent="0.25">
      <c r="E400"/>
      <c r="F400" s="28"/>
      <c r="G400" s="28">
        <f t="shared" si="34"/>
        <v>0</v>
      </c>
      <c r="H400" s="28">
        <f t="shared" si="34"/>
        <v>0</v>
      </c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</row>
    <row r="401" spans="1:55" s="27" customFormat="1" outlineLevel="2" x14ac:dyDescent="0.25">
      <c r="E401"/>
      <c r="F401" s="28"/>
      <c r="G401" s="28">
        <f t="shared" si="34"/>
        <v>51.930000000000007</v>
      </c>
      <c r="H401" s="28">
        <f t="shared" si="34"/>
        <v>-38.629999999999967</v>
      </c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</row>
    <row r="402" spans="1:55" s="27" customFormat="1" outlineLevel="2" x14ac:dyDescent="0.25">
      <c r="E402"/>
      <c r="F402" s="28"/>
      <c r="G402" s="28">
        <f t="shared" si="34"/>
        <v>1596.13</v>
      </c>
      <c r="H402" s="28">
        <f t="shared" si="34"/>
        <v>-5841.89</v>
      </c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</row>
    <row r="403" spans="1:55" s="27" customFormat="1" outlineLevel="2" x14ac:dyDescent="0.25">
      <c r="E403"/>
      <c r="F403" s="28"/>
      <c r="G403" s="28">
        <f t="shared" si="34"/>
        <v>0</v>
      </c>
      <c r="H403" s="28">
        <f t="shared" si="34"/>
        <v>29.79</v>
      </c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</row>
    <row r="404" spans="1:55" s="27" customFormat="1" outlineLevel="2" x14ac:dyDescent="0.25">
      <c r="E404"/>
      <c r="F404" s="28"/>
      <c r="G404" s="28">
        <f t="shared" si="34"/>
        <v>0</v>
      </c>
      <c r="H404" s="28">
        <f t="shared" si="34"/>
        <v>0</v>
      </c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</row>
    <row r="405" spans="1:55" s="27" customFormat="1" outlineLevel="2" x14ac:dyDescent="0.25">
      <c r="E405"/>
      <c r="F405" s="28"/>
      <c r="G405" s="28">
        <f t="shared" si="34"/>
        <v>0</v>
      </c>
      <c r="H405" s="28">
        <f t="shared" si="34"/>
        <v>0</v>
      </c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</row>
    <row r="406" spans="1:55" s="27" customFormat="1" outlineLevel="2" x14ac:dyDescent="0.25">
      <c r="E406"/>
      <c r="F406" s="28"/>
      <c r="G406" s="28">
        <f t="shared" ref="G406:H406" si="35">G190-F190</f>
        <v>0</v>
      </c>
      <c r="H406" s="28">
        <f t="shared" si="35"/>
        <v>0</v>
      </c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</row>
    <row r="407" spans="1:55" outlineLevel="2" x14ac:dyDescent="0.25">
      <c r="B407" s="5"/>
    </row>
    <row r="408" spans="1:55" outlineLevel="2" x14ac:dyDescent="0.25">
      <c r="B408" s="5"/>
    </row>
    <row r="409" spans="1:55" outlineLevel="2" x14ac:dyDescent="0.25">
      <c r="B409" s="5"/>
    </row>
    <row r="410" spans="1:55" s="27" customFormat="1" outlineLevel="2" x14ac:dyDescent="0.25">
      <c r="A410" s="27" t="str">
        <f>A202</f>
        <v>4600</v>
      </c>
      <c r="B410" s="27" t="str">
        <f>B202</f>
        <v>0 Marketing Partner Campaigns</v>
      </c>
      <c r="E410"/>
      <c r="F410" s="28"/>
      <c r="G410" s="28">
        <f>G202-F202</f>
        <v>1012819.1599999999</v>
      </c>
      <c r="H410" s="28">
        <f>H202-G202</f>
        <v>-1100828.44</v>
      </c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</row>
    <row r="411" spans="1:55" s="27" customFormat="1" outlineLevel="2" x14ac:dyDescent="0.25">
      <c r="A411" s="27" t="str">
        <f t="shared" ref="A411:B415" si="36">A203</f>
        <v>4600</v>
      </c>
      <c r="B411" s="27" t="str">
        <f t="shared" si="36"/>
        <v>1 Stellenanzeigen</v>
      </c>
      <c r="E411"/>
      <c r="F411" s="28"/>
      <c r="G411" s="28">
        <f t="shared" ref="G411:H415" si="37">G203-F203</f>
        <v>-365.68</v>
      </c>
      <c r="H411" s="28">
        <f t="shared" si="37"/>
        <v>0</v>
      </c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</row>
    <row r="412" spans="1:55" s="27" customFormat="1" outlineLevel="2" x14ac:dyDescent="0.25">
      <c r="A412" s="27" t="str">
        <f t="shared" si="36"/>
        <v>4601</v>
      </c>
      <c r="B412" s="27" t="str">
        <f t="shared" si="36"/>
        <v>0 Marketing User Growth B2C</v>
      </c>
      <c r="E412"/>
      <c r="F412" s="28"/>
      <c r="G412" s="28">
        <f t="shared" si="37"/>
        <v>-454791.94</v>
      </c>
      <c r="H412" s="28">
        <f t="shared" si="37"/>
        <v>174202.41999999998</v>
      </c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</row>
    <row r="413" spans="1:55" s="27" customFormat="1" outlineLevel="2" x14ac:dyDescent="0.25">
      <c r="A413" s="27" t="str">
        <f t="shared" si="36"/>
        <v>4602</v>
      </c>
      <c r="B413" s="27" t="str">
        <f t="shared" si="36"/>
        <v xml:space="preserve">0 Marketing B2B Ads </v>
      </c>
      <c r="E413"/>
      <c r="F413" s="28"/>
      <c r="G413" s="28">
        <f t="shared" si="37"/>
        <v>968.18</v>
      </c>
      <c r="H413" s="28">
        <f t="shared" si="37"/>
        <v>1879.0400000000002</v>
      </c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</row>
    <row r="414" spans="1:55" s="27" customFormat="1" outlineLevel="2" x14ac:dyDescent="0.25">
      <c r="A414" s="27" t="str">
        <f t="shared" si="36"/>
        <v>4605</v>
      </c>
      <c r="B414" s="27" t="str">
        <f t="shared" si="36"/>
        <v>0 Streuartikel</v>
      </c>
      <c r="E414"/>
      <c r="F414" s="28"/>
      <c r="G414" s="28">
        <f t="shared" si="37"/>
        <v>0</v>
      </c>
      <c r="H414" s="28">
        <f t="shared" si="37"/>
        <v>0</v>
      </c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</row>
    <row r="415" spans="1:55" s="27" customFormat="1" outlineLevel="2" x14ac:dyDescent="0.25">
      <c r="A415" s="27" t="str">
        <f t="shared" si="36"/>
        <v>4610</v>
      </c>
      <c r="B415" s="27" t="str">
        <f t="shared" si="36"/>
        <v>0 Werbekosten</v>
      </c>
      <c r="E415"/>
      <c r="F415" s="28"/>
      <c r="G415" s="28">
        <f t="shared" si="37"/>
        <v>-55.349999999999909</v>
      </c>
      <c r="H415" s="28">
        <f t="shared" si="37"/>
        <v>-2559.13</v>
      </c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</row>
    <row r="416" spans="1:55" s="27" customFormat="1" outlineLevel="2" x14ac:dyDescent="0.25">
      <c r="A416" s="27" t="str">
        <f>A219</f>
        <v>4660</v>
      </c>
      <c r="B416" s="27" t="str">
        <f>B219</f>
        <v>0 Reisekosten Arbeitnehmer</v>
      </c>
      <c r="E416"/>
      <c r="F416" s="28"/>
      <c r="G416" s="28">
        <f>G219-F219</f>
        <v>368</v>
      </c>
      <c r="H416" s="28">
        <f>H219-G219</f>
        <v>-368</v>
      </c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</row>
    <row r="417" spans="1:55" s="27" customFormat="1" outlineLevel="2" x14ac:dyDescent="0.25">
      <c r="A417" s="27" t="str">
        <f t="shared" ref="A417:B427" si="38">A220</f>
        <v>4663</v>
      </c>
      <c r="B417" s="27" t="str">
        <f t="shared" si="38"/>
        <v>0 Reisekosten Arbeitnehmer, Fahrtkosten</v>
      </c>
      <c r="E417"/>
      <c r="F417" s="28"/>
      <c r="G417" s="28">
        <f t="shared" ref="G417:H427" si="39">G220-F220</f>
        <v>3397.7199999999993</v>
      </c>
      <c r="H417" s="28">
        <f t="shared" si="39"/>
        <v>1038.1200000000008</v>
      </c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</row>
    <row r="418" spans="1:55" s="27" customFormat="1" outlineLevel="2" x14ac:dyDescent="0.25">
      <c r="A418" s="27" t="str">
        <f t="shared" si="38"/>
        <v>4663</v>
      </c>
      <c r="B418" s="27" t="str">
        <f t="shared" si="38"/>
        <v>2 Reisekosten AN Fahrtkosten externe Proje</v>
      </c>
      <c r="E418"/>
      <c r="F418" s="28"/>
      <c r="G418" s="28">
        <f t="shared" si="39"/>
        <v>-1501.6899999999996</v>
      </c>
      <c r="H418" s="28">
        <f t="shared" si="39"/>
        <v>-1304.46</v>
      </c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</row>
    <row r="419" spans="1:55" s="27" customFormat="1" outlineLevel="2" x14ac:dyDescent="0.25">
      <c r="A419" s="27" t="str">
        <f t="shared" si="38"/>
        <v>4663</v>
      </c>
      <c r="B419" s="27" t="str">
        <f t="shared" si="38"/>
        <v>1 Reisekosten AN Fahrtkosten Team</v>
      </c>
      <c r="E419"/>
      <c r="F419" s="28"/>
      <c r="G419" s="28">
        <f t="shared" si="39"/>
        <v>-1441.3799999999999</v>
      </c>
      <c r="H419" s="28">
        <f t="shared" si="39"/>
        <v>-136.19999999999999</v>
      </c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</row>
    <row r="420" spans="1:55" s="27" customFormat="1" outlineLevel="2" x14ac:dyDescent="0.25">
      <c r="A420" s="27" t="str">
        <f t="shared" si="38"/>
        <v>4663</v>
      </c>
      <c r="B420" s="27" t="str">
        <f t="shared" si="38"/>
        <v>9 Reisekosten Recruiting</v>
      </c>
      <c r="E420"/>
      <c r="F420" s="28"/>
      <c r="G420" s="28">
        <f t="shared" si="39"/>
        <v>-831.97</v>
      </c>
      <c r="H420" s="28">
        <f t="shared" si="39"/>
        <v>-39.6</v>
      </c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</row>
    <row r="421" spans="1:55" s="27" customFormat="1" outlineLevel="2" x14ac:dyDescent="0.25">
      <c r="A421" s="27" t="str">
        <f t="shared" si="38"/>
        <v>4664</v>
      </c>
      <c r="B421" s="27" t="str">
        <f t="shared" si="38"/>
        <v>1 Reisekosten AN VMA Team</v>
      </c>
      <c r="E421"/>
      <c r="F421" s="28"/>
      <c r="G421" s="28">
        <f t="shared" si="39"/>
        <v>-224</v>
      </c>
      <c r="H421" s="28">
        <f t="shared" si="39"/>
        <v>0</v>
      </c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</row>
    <row r="422" spans="1:55" s="27" customFormat="1" outlineLevel="2" x14ac:dyDescent="0.25">
      <c r="A422" s="27" t="str">
        <f t="shared" si="38"/>
        <v>4664</v>
      </c>
      <c r="B422" s="27" t="str">
        <f t="shared" si="38"/>
        <v>0 Reisekosten AN Verpfleg.mehraufwand</v>
      </c>
      <c r="E422"/>
      <c r="F422" s="28"/>
      <c r="G422" s="28">
        <f t="shared" si="39"/>
        <v>-0.55000000000001137</v>
      </c>
      <c r="H422" s="28">
        <f t="shared" si="39"/>
        <v>-321.05</v>
      </c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</row>
    <row r="423" spans="1:55" s="27" customFormat="1" outlineLevel="2" x14ac:dyDescent="0.25">
      <c r="A423" s="27" t="str">
        <f t="shared" si="38"/>
        <v>4664</v>
      </c>
      <c r="B423" s="27" t="str">
        <f t="shared" si="38"/>
        <v>2 Reisekosten AN VMA externe Projekte</v>
      </c>
      <c r="E423"/>
      <c r="F423" s="28"/>
      <c r="G423" s="28">
        <f t="shared" si="39"/>
        <v>291.2</v>
      </c>
      <c r="H423" s="28">
        <f t="shared" si="39"/>
        <v>-291.2</v>
      </c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</row>
    <row r="424" spans="1:55" s="27" customFormat="1" outlineLevel="2" x14ac:dyDescent="0.25">
      <c r="A424" s="27" t="str">
        <f t="shared" si="38"/>
        <v>4666</v>
      </c>
      <c r="B424" s="27" t="str">
        <f t="shared" si="38"/>
        <v>0 Reisekosten AN Übernachtungsaufwand</v>
      </c>
      <c r="E424"/>
      <c r="F424" s="28"/>
      <c r="G424" s="28">
        <f t="shared" si="39"/>
        <v>-1728.5299999999997</v>
      </c>
      <c r="H424" s="28">
        <f t="shared" si="39"/>
        <v>-3825.77</v>
      </c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</row>
    <row r="425" spans="1:55" s="27" customFormat="1" outlineLevel="2" x14ac:dyDescent="0.25">
      <c r="A425" s="27" t="str">
        <f t="shared" si="38"/>
        <v>4666</v>
      </c>
      <c r="B425" s="27" t="str">
        <f t="shared" si="38"/>
        <v>2 Reisekosten AN Übernachtung externe Proj</v>
      </c>
      <c r="E425"/>
      <c r="F425" s="28"/>
      <c r="G425" s="28">
        <f t="shared" si="39"/>
        <v>1227.56</v>
      </c>
      <c r="H425" s="28">
        <f t="shared" si="39"/>
        <v>-1519.71</v>
      </c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</row>
    <row r="426" spans="1:55" s="27" customFormat="1" outlineLevel="2" x14ac:dyDescent="0.25">
      <c r="A426" s="27" t="str">
        <f t="shared" si="38"/>
        <v>4666</v>
      </c>
      <c r="B426" s="27" t="str">
        <f t="shared" si="38"/>
        <v>1 Reisekosten AN Übernachtung Team</v>
      </c>
      <c r="E426"/>
      <c r="F426" s="28"/>
      <c r="G426" s="28">
        <f t="shared" si="39"/>
        <v>382.14</v>
      </c>
      <c r="H426" s="28">
        <f t="shared" si="39"/>
        <v>-515.88</v>
      </c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</row>
    <row r="427" spans="1:55" s="27" customFormat="1" outlineLevel="2" x14ac:dyDescent="0.25">
      <c r="A427" s="27" t="str">
        <f t="shared" si="38"/>
        <v>4668</v>
      </c>
      <c r="B427" s="27" t="str">
        <f t="shared" si="38"/>
        <v>0 Kilometergelderstattung Arbeitnehmer</v>
      </c>
      <c r="E427"/>
      <c r="F427" s="28"/>
      <c r="G427" s="28">
        <f t="shared" si="39"/>
        <v>-267.76</v>
      </c>
      <c r="H427" s="28">
        <f t="shared" si="39"/>
        <v>-44.6</v>
      </c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</row>
    <row r="429" spans="1:55" x14ac:dyDescent="0.25">
      <c r="F429" s="8">
        <f>SUM(F81:F93,F54:F55)</f>
        <v>-34024.380000000048</v>
      </c>
      <c r="G429" s="8">
        <f>SUM(G81:G93,G54:G55)</f>
        <v>-70074.529999999926</v>
      </c>
      <c r="H429" s="8">
        <f>SUM(H81:H93,H54:H55)</f>
        <v>-17827.580000000104</v>
      </c>
      <c r="I429" s="8">
        <f>SUM(I81:I93,I54:I55)</f>
        <v>-62702.740000000049</v>
      </c>
    </row>
    <row r="430" spans="1:55" x14ac:dyDescent="0.25">
      <c r="G430" s="28"/>
      <c r="H430" s="28"/>
    </row>
    <row r="431" spans="1:55" x14ac:dyDescent="0.25">
      <c r="A431" s="8"/>
      <c r="B431" s="30"/>
      <c r="D431" s="8"/>
    </row>
    <row r="432" spans="1:55" x14ac:dyDescent="0.25">
      <c r="A432" s="27"/>
      <c r="B432" s="31"/>
      <c r="G432" s="28"/>
      <c r="H432" s="28"/>
    </row>
    <row r="433" spans="1:37" x14ac:dyDescent="0.25">
      <c r="A433" s="27"/>
      <c r="B433" s="31"/>
      <c r="G433" s="28"/>
      <c r="H433" s="28"/>
      <c r="I433" s="8">
        <f>SUM('Trial Balance (Susa)'!I119:I127)+SUM('Trial Balance (Susa)'!I129:I140)</f>
        <v>33740.49</v>
      </c>
      <c r="AJ433" s="8">
        <f>AJ264-AI264</f>
        <v>-91897</v>
      </c>
      <c r="AK433" s="8">
        <f>AK308-AJ308</f>
        <v>5600</v>
      </c>
    </row>
    <row r="434" spans="1:37" x14ac:dyDescent="0.25">
      <c r="A434" s="27"/>
      <c r="B434" s="31"/>
      <c r="G434" s="28"/>
      <c r="H434" s="28"/>
    </row>
    <row r="435" spans="1:37" x14ac:dyDescent="0.25">
      <c r="A435" s="27"/>
      <c r="B435" s="31"/>
      <c r="G435" s="28"/>
      <c r="H435" s="28"/>
    </row>
    <row r="436" spans="1:37" x14ac:dyDescent="0.25">
      <c r="A436" s="27"/>
      <c r="B436" s="31"/>
      <c r="G436" s="28"/>
      <c r="H436" s="28"/>
    </row>
    <row r="437" spans="1:37" x14ac:dyDescent="0.25">
      <c r="A437" s="27"/>
      <c r="B437" s="31"/>
      <c r="G437" s="28"/>
      <c r="H437" s="28"/>
    </row>
    <row r="438" spans="1:37" x14ac:dyDescent="0.25">
      <c r="A438" s="27"/>
      <c r="B438" s="31"/>
      <c r="G438" s="28"/>
      <c r="H438" s="28"/>
    </row>
    <row r="439" spans="1:37" x14ac:dyDescent="0.25">
      <c r="A439" s="27"/>
      <c r="B439" s="31"/>
      <c r="G439" s="28"/>
      <c r="H439" s="28"/>
    </row>
    <row r="440" spans="1:37" x14ac:dyDescent="0.25">
      <c r="A440" s="27"/>
      <c r="B440" s="31"/>
      <c r="G440" s="28"/>
      <c r="H440" s="28"/>
    </row>
    <row r="441" spans="1:37" x14ac:dyDescent="0.25">
      <c r="A441" s="27"/>
      <c r="B441" s="31"/>
      <c r="G441" s="28"/>
      <c r="H441" s="28"/>
    </row>
    <row r="442" spans="1:37" x14ac:dyDescent="0.25">
      <c r="A442" s="27"/>
      <c r="B442" s="31"/>
      <c r="G442" s="28"/>
      <c r="H442" s="28"/>
    </row>
    <row r="443" spans="1:37" x14ac:dyDescent="0.25">
      <c r="A443" s="27"/>
      <c r="B443" s="31"/>
      <c r="G443" s="28"/>
      <c r="H443" s="28"/>
    </row>
    <row r="444" spans="1:37" x14ac:dyDescent="0.25">
      <c r="A444" s="27"/>
      <c r="B444" s="31"/>
      <c r="G444" s="28"/>
      <c r="H444" s="28"/>
    </row>
    <row r="445" spans="1:37" x14ac:dyDescent="0.25">
      <c r="A445" s="27"/>
      <c r="B445" s="31"/>
      <c r="G445" s="28"/>
      <c r="H445" s="28"/>
    </row>
    <row r="446" spans="1:37" x14ac:dyDescent="0.25">
      <c r="A446" s="27"/>
      <c r="B446" s="31"/>
      <c r="G446" s="28"/>
      <c r="H446" s="28"/>
    </row>
    <row r="447" spans="1:37" x14ac:dyDescent="0.25">
      <c r="A447" s="27"/>
      <c r="B447" s="31"/>
      <c r="G447" s="28"/>
      <c r="H447" s="28"/>
    </row>
    <row r="448" spans="1:37" x14ac:dyDescent="0.25">
      <c r="A448" s="27"/>
      <c r="B448" s="31"/>
      <c r="G448" s="28"/>
      <c r="H448" s="28"/>
    </row>
    <row r="449" spans="1:8" x14ac:dyDescent="0.25">
      <c r="A449" s="27"/>
      <c r="B449" s="31"/>
      <c r="G449" s="28"/>
      <c r="H449" s="28"/>
    </row>
    <row r="450" spans="1:8" x14ac:dyDescent="0.25">
      <c r="A450" s="27"/>
      <c r="B450" s="31"/>
      <c r="G450" s="28"/>
      <c r="H450" s="28"/>
    </row>
    <row r="451" spans="1:8" x14ac:dyDescent="0.25">
      <c r="A451" s="27"/>
      <c r="B451" s="31"/>
      <c r="G451" s="28"/>
      <c r="H451" s="28"/>
    </row>
    <row r="452" spans="1:8" x14ac:dyDescent="0.25">
      <c r="A452" s="27"/>
      <c r="B452" s="31"/>
      <c r="G452" s="28"/>
      <c r="H452" s="28"/>
    </row>
    <row r="453" spans="1:8" x14ac:dyDescent="0.25">
      <c r="A453" s="27"/>
      <c r="B453" s="31"/>
      <c r="G453" s="28"/>
      <c r="H453" s="28"/>
    </row>
    <row r="454" spans="1:8" x14ac:dyDescent="0.25">
      <c r="A454" s="27"/>
      <c r="B454" s="31"/>
      <c r="G454" s="28"/>
      <c r="H454" s="28"/>
    </row>
    <row r="455" spans="1:8" x14ac:dyDescent="0.25">
      <c r="A455" s="27"/>
      <c r="B455" s="31"/>
      <c r="G455" s="28"/>
      <c r="H455" s="28"/>
    </row>
    <row r="456" spans="1:8" x14ac:dyDescent="0.25">
      <c r="A456" s="27"/>
      <c r="B456" s="31"/>
      <c r="G456" s="28"/>
      <c r="H456" s="28"/>
    </row>
    <row r="457" spans="1:8" x14ac:dyDescent="0.25">
      <c r="A457" s="27"/>
      <c r="B457" s="31"/>
      <c r="G457" s="28"/>
      <c r="H457" s="28"/>
    </row>
    <row r="458" spans="1:8" x14ac:dyDescent="0.25">
      <c r="A458" s="27"/>
      <c r="B458" s="31"/>
      <c r="G458" s="28"/>
      <c r="H458" s="28"/>
    </row>
    <row r="459" spans="1:8" x14ac:dyDescent="0.25">
      <c r="A459" s="27"/>
      <c r="B459" s="31"/>
      <c r="G459" s="28"/>
      <c r="H459" s="28"/>
    </row>
    <row r="460" spans="1:8" x14ac:dyDescent="0.25">
      <c r="A460" s="27"/>
      <c r="B460" s="31"/>
      <c r="G460" s="28"/>
      <c r="H460" s="28"/>
    </row>
    <row r="461" spans="1:8" x14ac:dyDescent="0.25">
      <c r="A461" s="27"/>
      <c r="B461" s="31"/>
      <c r="G461" s="28"/>
      <c r="H461" s="28"/>
    </row>
    <row r="462" spans="1:8" x14ac:dyDescent="0.25">
      <c r="A462" s="27"/>
      <c r="B462" s="31"/>
      <c r="G462" s="28"/>
      <c r="H462" s="28"/>
    </row>
    <row r="463" spans="1:8" x14ac:dyDescent="0.25">
      <c r="A463" s="27"/>
      <c r="B463" s="31"/>
      <c r="G463" s="28"/>
      <c r="H463" s="28"/>
    </row>
    <row r="464" spans="1:8" x14ac:dyDescent="0.25">
      <c r="A464" s="27"/>
      <c r="B464" s="31"/>
      <c r="G464" s="28"/>
      <c r="H464" s="28"/>
    </row>
    <row r="465" spans="1:8" x14ac:dyDescent="0.25">
      <c r="A465" s="27"/>
      <c r="B465" s="31"/>
      <c r="G465" s="28"/>
      <c r="H465" s="28"/>
    </row>
    <row r="466" spans="1:8" x14ac:dyDescent="0.25">
      <c r="A466" s="27"/>
      <c r="B466" s="31"/>
      <c r="G466" s="28"/>
      <c r="H466" s="28"/>
    </row>
    <row r="467" spans="1:8" x14ac:dyDescent="0.25">
      <c r="A467" s="27"/>
      <c r="B467" s="31"/>
      <c r="G467" s="28"/>
      <c r="H467" s="28"/>
    </row>
    <row r="468" spans="1:8" x14ac:dyDescent="0.25">
      <c r="A468" s="27"/>
      <c r="B468" s="31"/>
      <c r="G468" s="28"/>
      <c r="H468" s="28"/>
    </row>
    <row r="469" spans="1:8" x14ac:dyDescent="0.25">
      <c r="A469" s="27"/>
      <c r="B469" s="31"/>
      <c r="G469" s="28"/>
      <c r="H469" s="28"/>
    </row>
    <row r="470" spans="1:8" x14ac:dyDescent="0.25">
      <c r="A470" s="27"/>
      <c r="B470" s="31"/>
      <c r="G470" s="28"/>
      <c r="H470" s="28"/>
    </row>
    <row r="471" spans="1:8" x14ac:dyDescent="0.25">
      <c r="A471" s="27"/>
      <c r="B471" s="31"/>
      <c r="G471" s="28"/>
      <c r="H471" s="28"/>
    </row>
    <row r="472" spans="1:8" x14ac:dyDescent="0.25">
      <c r="A472" s="27"/>
      <c r="B472" s="31"/>
      <c r="G472" s="28"/>
      <c r="H472" s="28"/>
    </row>
    <row r="473" spans="1:8" x14ac:dyDescent="0.25">
      <c r="A473" s="27"/>
      <c r="B473" s="31"/>
      <c r="G473" s="28"/>
      <c r="H473" s="28"/>
    </row>
    <row r="474" spans="1:8" x14ac:dyDescent="0.25">
      <c r="A474" s="27"/>
      <c r="B474" s="31"/>
      <c r="G474" s="28"/>
      <c r="H474" s="28"/>
    </row>
    <row r="475" spans="1:8" x14ac:dyDescent="0.25">
      <c r="A475" s="27"/>
      <c r="B475" s="31"/>
      <c r="G475" s="28"/>
      <c r="H475" s="28"/>
    </row>
    <row r="476" spans="1:8" x14ac:dyDescent="0.25">
      <c r="A476" s="27"/>
      <c r="B476" s="31"/>
      <c r="G476" s="28"/>
      <c r="H476" s="28"/>
    </row>
    <row r="477" spans="1:8" x14ac:dyDescent="0.25">
      <c r="A477" s="27"/>
      <c r="B477" s="31"/>
      <c r="G477" s="28"/>
      <c r="H477" s="28"/>
    </row>
    <row r="478" spans="1:8" x14ac:dyDescent="0.25">
      <c r="A478" s="27"/>
      <c r="B478" s="31"/>
      <c r="G478" s="28"/>
      <c r="H478" s="28"/>
    </row>
    <row r="479" spans="1:8" x14ac:dyDescent="0.25">
      <c r="A479" s="27"/>
      <c r="B479" s="31"/>
      <c r="G479" s="28"/>
      <c r="H479" s="28"/>
    </row>
    <row r="480" spans="1:8" x14ac:dyDescent="0.25">
      <c r="A480" s="27"/>
      <c r="B480" s="31"/>
      <c r="G480" s="28"/>
      <c r="H480" s="28"/>
    </row>
    <row r="481" spans="1:8" x14ac:dyDescent="0.25">
      <c r="A481" s="27"/>
      <c r="B481" s="31"/>
      <c r="G481" s="28"/>
      <c r="H481" s="28"/>
    </row>
    <row r="482" spans="1:8" x14ac:dyDescent="0.25">
      <c r="A482" s="27"/>
      <c r="B482" s="31"/>
      <c r="G482" s="28"/>
      <c r="H482" s="28"/>
    </row>
    <row r="483" spans="1:8" x14ac:dyDescent="0.25">
      <c r="A483" s="27"/>
      <c r="B483" s="31"/>
      <c r="G483" s="28"/>
      <c r="H483" s="28"/>
    </row>
    <row r="484" spans="1:8" x14ac:dyDescent="0.25">
      <c r="A484" s="27"/>
      <c r="B484" s="31"/>
      <c r="G484" s="28"/>
      <c r="H484" s="28"/>
    </row>
    <row r="485" spans="1:8" x14ac:dyDescent="0.25">
      <c r="A485" s="27"/>
      <c r="B485" s="31"/>
      <c r="G485" s="28"/>
      <c r="H485" s="28"/>
    </row>
    <row r="486" spans="1:8" x14ac:dyDescent="0.25">
      <c r="A486" s="27"/>
      <c r="B486" s="31"/>
      <c r="G486" s="28"/>
      <c r="H486" s="28"/>
    </row>
    <row r="487" spans="1:8" x14ac:dyDescent="0.25">
      <c r="A487" s="27"/>
      <c r="B487" s="31"/>
      <c r="G487" s="28"/>
      <c r="H487" s="28"/>
    </row>
    <row r="488" spans="1:8" x14ac:dyDescent="0.25">
      <c r="A488" s="27"/>
      <c r="B488" s="31"/>
      <c r="G488" s="28"/>
      <c r="H488" s="28"/>
    </row>
    <row r="489" spans="1:8" x14ac:dyDescent="0.25">
      <c r="A489" s="27"/>
      <c r="B489" s="31"/>
      <c r="G489" s="28"/>
      <c r="H489" s="28"/>
    </row>
    <row r="490" spans="1:8" x14ac:dyDescent="0.25">
      <c r="A490" s="27"/>
      <c r="B490" s="31"/>
      <c r="G490" s="28"/>
      <c r="H490" s="28"/>
    </row>
    <row r="491" spans="1:8" x14ac:dyDescent="0.25">
      <c r="A491" s="27"/>
      <c r="B491" s="31"/>
      <c r="G491" s="28"/>
      <c r="H491" s="28"/>
    </row>
    <row r="492" spans="1:8" x14ac:dyDescent="0.25">
      <c r="A492" s="27"/>
      <c r="B492" s="31"/>
      <c r="G492" s="28"/>
      <c r="H492" s="28"/>
    </row>
    <row r="493" spans="1:8" x14ac:dyDescent="0.25">
      <c r="A493" s="27"/>
      <c r="B493" s="31"/>
      <c r="G493" s="28"/>
      <c r="H493" s="28"/>
    </row>
    <row r="494" spans="1:8" x14ac:dyDescent="0.25">
      <c r="A494" s="27"/>
      <c r="B494" s="31"/>
      <c r="G494" s="28"/>
      <c r="H494" s="28"/>
    </row>
    <row r="495" spans="1:8" x14ac:dyDescent="0.25">
      <c r="A495" s="27"/>
      <c r="B495" s="31"/>
      <c r="G495" s="28"/>
      <c r="H495" s="28"/>
    </row>
    <row r="496" spans="1:8" x14ac:dyDescent="0.25">
      <c r="A496" s="27"/>
      <c r="B496" s="31"/>
      <c r="G496" s="28"/>
      <c r="H496" s="28"/>
    </row>
    <row r="497" spans="1:8" x14ac:dyDescent="0.25">
      <c r="A497" s="27"/>
      <c r="B497" s="31"/>
      <c r="G497" s="28"/>
      <c r="H497" s="28"/>
    </row>
    <row r="498" spans="1:8" x14ac:dyDescent="0.25">
      <c r="A498" s="27"/>
      <c r="B498" s="31"/>
      <c r="G498" s="28"/>
      <c r="H498" s="28"/>
    </row>
    <row r="499" spans="1:8" x14ac:dyDescent="0.25">
      <c r="A499" s="27"/>
      <c r="B499" s="31"/>
      <c r="G499" s="28"/>
      <c r="H499" s="28"/>
    </row>
    <row r="500" spans="1:8" x14ac:dyDescent="0.25">
      <c r="A500" s="27"/>
      <c r="B500" s="31"/>
      <c r="G500" s="28"/>
      <c r="H500" s="28"/>
    </row>
    <row r="501" spans="1:8" x14ac:dyDescent="0.25">
      <c r="A501" s="27"/>
      <c r="B501" s="31"/>
      <c r="G501" s="28"/>
      <c r="H501" s="28"/>
    </row>
    <row r="502" spans="1:8" x14ac:dyDescent="0.25">
      <c r="A502" s="27"/>
      <c r="B502" s="31"/>
      <c r="G502" s="28"/>
      <c r="H502" s="28"/>
    </row>
    <row r="503" spans="1:8" x14ac:dyDescent="0.25">
      <c r="A503" s="27"/>
      <c r="B503" s="31"/>
      <c r="G503" s="28"/>
      <c r="H503" s="28"/>
    </row>
    <row r="504" spans="1:8" x14ac:dyDescent="0.25">
      <c r="A504" s="27"/>
      <c r="B504" s="31"/>
      <c r="G504" s="28"/>
      <c r="H504" s="28"/>
    </row>
    <row r="505" spans="1:8" x14ac:dyDescent="0.25">
      <c r="A505" s="27"/>
      <c r="B505" s="31"/>
      <c r="G505" s="28"/>
      <c r="H505" s="28"/>
    </row>
    <row r="506" spans="1:8" x14ac:dyDescent="0.25">
      <c r="A506" s="27"/>
      <c r="B506" s="31"/>
      <c r="G506" s="28"/>
      <c r="H506" s="28"/>
    </row>
    <row r="507" spans="1:8" x14ac:dyDescent="0.25">
      <c r="A507" s="27"/>
      <c r="B507" s="31"/>
      <c r="G507" s="28"/>
      <c r="H507" s="28"/>
    </row>
    <row r="508" spans="1:8" x14ac:dyDescent="0.25">
      <c r="A508" s="27"/>
      <c r="B508" s="31"/>
      <c r="G508" s="28"/>
      <c r="H508" s="28"/>
    </row>
    <row r="509" spans="1:8" x14ac:dyDescent="0.25">
      <c r="A509" s="27"/>
      <c r="B509" s="31"/>
      <c r="G509" s="28"/>
      <c r="H509" s="28"/>
    </row>
    <row r="510" spans="1:8" x14ac:dyDescent="0.25">
      <c r="A510" s="27"/>
      <c r="B510" s="31"/>
      <c r="G510" s="28"/>
      <c r="H510" s="28"/>
    </row>
    <row r="511" spans="1:8" x14ac:dyDescent="0.25">
      <c r="A511" s="27"/>
      <c r="B511" s="31"/>
      <c r="G511" s="28"/>
      <c r="H511" s="28"/>
    </row>
    <row r="512" spans="1:8" x14ac:dyDescent="0.25">
      <c r="A512" s="27"/>
      <c r="B512" s="31"/>
      <c r="G512" s="28"/>
      <c r="H512" s="28"/>
    </row>
    <row r="513" spans="1:8" x14ac:dyDescent="0.25">
      <c r="A513" s="27"/>
      <c r="B513" s="31"/>
      <c r="G513" s="28"/>
      <c r="H513" s="28"/>
    </row>
    <row r="514" spans="1:8" x14ac:dyDescent="0.25">
      <c r="A514" s="27"/>
      <c r="B514" s="31"/>
      <c r="G514" s="28"/>
      <c r="H514" s="28"/>
    </row>
    <row r="515" spans="1:8" x14ac:dyDescent="0.25">
      <c r="A515" s="27"/>
      <c r="B515" s="31"/>
      <c r="G515" s="28"/>
      <c r="H515" s="28"/>
    </row>
    <row r="516" spans="1:8" x14ac:dyDescent="0.25">
      <c r="A516" s="27"/>
      <c r="B516" s="31"/>
      <c r="G516" s="28"/>
      <c r="H516" s="28"/>
    </row>
    <row r="517" spans="1:8" x14ac:dyDescent="0.25">
      <c r="A517" s="27"/>
      <c r="B517" s="31"/>
      <c r="G517" s="28"/>
      <c r="H517" s="28"/>
    </row>
    <row r="518" spans="1:8" x14ac:dyDescent="0.25">
      <c r="A518" s="27"/>
      <c r="B518" s="31"/>
      <c r="G518" s="28"/>
      <c r="H518" s="28"/>
    </row>
    <row r="519" spans="1:8" x14ac:dyDescent="0.25">
      <c r="A519" s="27"/>
      <c r="B519" s="31"/>
      <c r="G519" s="28"/>
      <c r="H519" s="28"/>
    </row>
    <row r="520" spans="1:8" x14ac:dyDescent="0.25">
      <c r="A520" s="27"/>
      <c r="B520" s="31"/>
      <c r="G520" s="28"/>
      <c r="H520" s="28"/>
    </row>
    <row r="521" spans="1:8" x14ac:dyDescent="0.25">
      <c r="A521" s="27"/>
      <c r="B521" s="31"/>
      <c r="G521" s="28"/>
      <c r="H521" s="28"/>
    </row>
    <row r="522" spans="1:8" x14ac:dyDescent="0.25">
      <c r="A522" s="27"/>
      <c r="B522" s="31"/>
      <c r="G522" s="28"/>
      <c r="H522" s="28"/>
    </row>
    <row r="523" spans="1:8" x14ac:dyDescent="0.25">
      <c r="A523" s="27"/>
      <c r="B523" s="31"/>
      <c r="G523" s="28"/>
      <c r="H523" s="28"/>
    </row>
    <row r="524" spans="1:8" x14ac:dyDescent="0.25">
      <c r="A524" s="27"/>
      <c r="B524" s="31"/>
      <c r="G524" s="28"/>
      <c r="H524" s="28"/>
    </row>
    <row r="525" spans="1:8" x14ac:dyDescent="0.25">
      <c r="A525" s="27"/>
      <c r="B525" s="31"/>
      <c r="G525" s="28"/>
      <c r="H525" s="28"/>
    </row>
    <row r="526" spans="1:8" x14ac:dyDescent="0.25">
      <c r="A526" s="27"/>
      <c r="B526" s="31"/>
      <c r="G526" s="28"/>
      <c r="H526" s="28"/>
    </row>
    <row r="527" spans="1:8" x14ac:dyDescent="0.25">
      <c r="A527" s="27"/>
      <c r="B527" s="31"/>
      <c r="G527" s="28"/>
      <c r="H527" s="28"/>
    </row>
    <row r="528" spans="1:8" x14ac:dyDescent="0.25">
      <c r="A528" s="27"/>
      <c r="B528" s="31"/>
      <c r="G528" s="28"/>
      <c r="H528" s="28"/>
    </row>
    <row r="529" spans="1:8" x14ac:dyDescent="0.25">
      <c r="A529" s="27"/>
      <c r="B529" s="31"/>
      <c r="G529" s="28"/>
      <c r="H529" s="28"/>
    </row>
    <row r="530" spans="1:8" x14ac:dyDescent="0.25">
      <c r="A530" s="27"/>
      <c r="B530" s="31"/>
      <c r="G530" s="28"/>
      <c r="H530" s="28"/>
    </row>
    <row r="531" spans="1:8" x14ac:dyDescent="0.25">
      <c r="A531" s="27"/>
      <c r="B531" s="31"/>
      <c r="G531" s="28"/>
      <c r="H531" s="28"/>
    </row>
    <row r="532" spans="1:8" x14ac:dyDescent="0.25">
      <c r="A532" s="27"/>
      <c r="B532" s="31"/>
      <c r="G532" s="28"/>
      <c r="H532" s="28"/>
    </row>
    <row r="533" spans="1:8" x14ac:dyDescent="0.25">
      <c r="A533" s="27"/>
      <c r="B533" s="31"/>
      <c r="G533" s="28"/>
      <c r="H533" s="28"/>
    </row>
    <row r="534" spans="1:8" x14ac:dyDescent="0.25">
      <c r="A534" s="27"/>
      <c r="B534" s="31"/>
      <c r="G534" s="28"/>
      <c r="H534" s="28"/>
    </row>
    <row r="535" spans="1:8" x14ac:dyDescent="0.25">
      <c r="A535" s="27"/>
      <c r="B535" s="31"/>
      <c r="G535" s="28"/>
      <c r="H535" s="28"/>
    </row>
    <row r="536" spans="1:8" x14ac:dyDescent="0.25">
      <c r="A536" s="27"/>
      <c r="B536" s="31"/>
      <c r="G536" s="28"/>
      <c r="H536" s="28"/>
    </row>
    <row r="537" spans="1:8" x14ac:dyDescent="0.25">
      <c r="A537" s="27"/>
      <c r="B537" s="31"/>
    </row>
  </sheetData>
  <autoFilter ref="A1:BC319" xr:uid="{5B5F11D5-5C40-478F-9485-968C0A719549}"/>
  <conditionalFormatting sqref="B1:B1048576">
    <cfRule type="containsText" dxfId="4" priority="1" operator="containsText" text="umsatz">
      <formula>NOT(ISERROR(SEARCH("umsatz",B1)))</formula>
    </cfRule>
  </conditionalFormatting>
  <conditionalFormatting sqref="F50:I93">
    <cfRule type="cellIs" dxfId="3" priority="2" operator="lessThan">
      <formula>-15000</formula>
    </cfRule>
    <cfRule type="cellIs" dxfId="2" priority="3" operator="greaterThan">
      <formula>15000</formula>
    </cfRule>
  </conditionalFormatting>
  <conditionalFormatting sqref="F94:J303">
    <cfRule type="cellIs" dxfId="1" priority="4" operator="lessThan">
      <formula>-15000</formula>
    </cfRule>
    <cfRule type="cellIs" dxfId="0" priority="5" operator="greaterThan">
      <formula>15000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(Susa)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Zirek</dc:creator>
  <cp:lastModifiedBy>Cem Zirek</cp:lastModifiedBy>
  <dcterms:created xsi:type="dcterms:W3CDTF">2026-08-14T11:55:17Z</dcterms:created>
  <dcterms:modified xsi:type="dcterms:W3CDTF">2026-08-14T12:05:00Z</dcterms:modified>
</cp:coreProperties>
</file>